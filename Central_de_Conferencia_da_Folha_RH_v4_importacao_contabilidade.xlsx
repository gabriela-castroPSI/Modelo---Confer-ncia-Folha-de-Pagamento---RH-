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247cf8500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29091fd573b43cb"/>
    <x:sheet xmlns:r="http://schemas.openxmlformats.org/officeDocument/2006/relationships" name="Cadastro" sheetId="2" r:id="Rc32004d746c84d57"/>
    <x:sheet xmlns:r="http://schemas.openxmlformats.org/officeDocument/2006/relationships" name="Movimentações" sheetId="3" r:id="Re6321e2cf99445fc"/>
    <x:sheet xmlns:r="http://schemas.openxmlformats.org/officeDocument/2006/relationships" name="Parâmetros" sheetId="4" r:id="Rc121506926114018"/>
    <x:sheet xmlns:r="http://schemas.openxmlformats.org/officeDocument/2006/relationships" name="Conferência" sheetId="5" r:id="Rcddab89125d04c45"/>
    <x:sheet xmlns:r="http://schemas.openxmlformats.org/officeDocument/2006/relationships" name="Férias" sheetId="6" r:id="R7ae89e790ff444b9"/>
    <x:sheet xmlns:r="http://schemas.openxmlformats.org/officeDocument/2006/relationships" name="13º Salário" sheetId="7" r:id="R403d0a88d198422a"/>
    <x:sheet xmlns:r="http://schemas.openxmlformats.org/officeDocument/2006/relationships" name="Rescisões" sheetId="8" r:id="Rc17866590b08430c"/>
    <x:sheet xmlns:r="http://schemas.openxmlformats.org/officeDocument/2006/relationships" name="Diagnóstico" sheetId="9" r:id="R339a85a3e6804614"/>
    <x:sheet xmlns:r="http://schemas.openxmlformats.org/officeDocument/2006/relationships" name="Checklist Mensal" sheetId="10" r:id="R81da876acb574ea2"/>
    <x:sheet xmlns:r="http://schemas.openxmlformats.org/officeDocument/2006/relationships" name="Importação Contabilidade" sheetId="11" r:id="R305b56294942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.00"/>
    <x:numFmt numFmtId="202" formatCode="0.0%"/>
    <x:numFmt numFmtId="203" formatCode="R$ #,##0.00"/>
    <x:numFmt numFmtId="204" formatCode="dd/mm/yyyy"/>
    <x:numFmt numFmtId="205" formatCode="R$ #,##0.00;[Red]-R$ #,##0.00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1"/>
      <x:color rgb="FF9C0006"/>
      <x:name val="Carlito"/>
    </x:font>
    <x:font>
      <x:b/>
      <x:sz val="18"/>
      <x:color rgb="FFFFFFFF"/>
      <x:name val="Carlito"/>
    </x:font>
    <x:font>
      <x:b/>
      <x:sz val="11"/>
      <x:color rgb="FF375623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2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CEFE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4" borderId="0" xfId="0" applyNumberFormat="1" applyFont="1" applyFill="1" applyBorder="1"/>
    <x:xf numFmtId="203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4" fontId="0" fillId="4" borderId="0" xfId="0" applyNumberFormat="1" applyFont="1" applyFill="1" applyBorder="1"/>
    <x:xf numFmtId="204" fontId="0" fillId="4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3" fontId="0" fillId="6" borderId="0" xfId="0" applyNumberFormat="1" applyFont="1" applyFill="1" applyBorder="1"/>
    <x:xf numFmtId="203" fontId="0" fillId="6" borderId="1" xfId="0" applyNumberFormat="1" applyFont="1" applyFill="1" applyBorder="1"/>
    <x:xf numFmtId="203" fontId="0" borderId="0" xfId="0" applyNumberFormat="1" applyFont="1" applyFill="0" applyBorder="1"/>
    <x:xf numFmtId="203" fontId="0" fillId="7" borderId="0" xfId="0" applyNumberFormat="1" applyFont="1" applyFill="1" applyBorder="1"/>
    <x:xf numFmtId="203" fontId="0" borderId="1" xfId="0" applyNumberFormat="1" applyFont="1" applyFill="0" applyBorder="1"/>
    <x:xf numFmtId="203" fontId="0" fillId="7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4" fontId="0" fillId="4" borderId="0" xfId="0" applyNumberFormat="1" applyFont="1" applyFill="1" applyBorder="1" applyAlignment="1">
      <x:alignment wrapText="1"/>
    </x:xf>
    <x:xf numFmtId="203" fontId="0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4" fontId="0" fillId="4" borderId="1" xfId="0" applyNumberFormat="1" applyFont="1" applyFill="1" applyBorder="1" applyAlignment="1">
      <x:alignment wrapText="1"/>
    </x:xf>
    <x:xf numFmtId="203" fontId="0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3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3" fontId="0" borderId="0" xfId="0" applyNumberFormat="1" applyFont="1" applyFill="0" applyBorder="1" applyAlignment="1">
      <x:alignment wrapText="1"/>
    </x:xf>
    <x:xf numFmtId="203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3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3" fontId="0" borderId="1" xfId="0" applyNumberFormat="1" applyFont="1" applyFill="0" applyBorder="1" applyAlignment="1">
      <x:alignment wrapText="1"/>
    </x:xf>
    <x:xf numFmtId="203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2" fillId="1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wrapText="1"/>
    </x:xf>
    <x:xf numFmtId="204" fontId="0" fillId="4" xfId="0" applyNumberFormat="1" applyFont="1" applyFill="1" applyBorder="0" applyAlignment="1">
      <x:alignment wrapText="1"/>
    </x:xf>
    <x:xf numFmtId="204" fontId="0" fillId="0" xfId="0" applyNumberFormat="1" applyFont="1" applyFill="1" applyBorder="0" applyAlignment="1">
      <x:alignment wrapText="1"/>
    </x:xf>
    <x:xf numFmtId="203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203" fontId="0" fillId="4" xfId="0" applyNumberFormat="1" applyFont="1" applyFill="1" applyBorder="0" applyAlignment="1">
      <x:alignment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wrapText="1"/>
    </x:xf>
    <x:xf numFmtId="204" fontId="0" fillId="12" borderId="0" xfId="0" applyNumberFormat="1" applyFont="1" applyFill="1" applyBorder="1" applyAlignment="1">
      <x:alignment wrapText="1"/>
    </x:xf>
    <x:xf numFmtId="203" fontId="0" fillId="1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205" fontId="0" fillId="0" borderId="0" xfId="0" applyNumberFormat="1" applyFont="1" applyFill="1" applyBorder="1"/>
    <x:xf numFmtId="205" fontId="0" fillId="16" borderId="0" xfId="0" applyNumberFormat="1" applyFont="1" applyFill="1" applyBorder="1"/>
    <x:xf numFmtId="0" fontId="2" fillId="15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205" fontId="0" fillId="0" xfId="0" applyNumberFormat="1" applyFont="1" applyFill="1" applyBorder="0"/>
    <x:xf numFmtId="205" fontId="0" fillId="16" xfId="0" applyNumberFormat="1" applyFont="1" applyFill="1" applyBorder="0"/>
    <x:xf numFmtId="0" fontId="1" fillId="13" borderId="0" xfId="0" applyNumberFormat="1" applyFont="1" applyFill="1" applyBorder="1" applyAlignment="1">
      <x:alignment horizontal="center" vertical="center" wrapText="1"/>
    </x:xf>
    <x:xf numFmtId="205" fontId="0" fillId="0" xfId="0" applyNumberFormat="1" applyFont="1" applyFill="1" applyBorder="0" applyAlignment="1">
      <x:alignment wrapText="1"/>
    </x:xf>
    <x:xf numFmtId="205" fontId="0" fillId="16" xfId="0" applyNumberFormat="1" applyFont="1" applyFill="1" applyBorder="0" applyAlignment="1">
      <x:alignment wrapText="1"/>
    </x:xf>
    <x:xf numFmtId="0" fontId="8" fillId="14" borderId="0" xfId="0" applyNumberFormat="1" applyFont="1" applyFill="1" applyBorder="1" applyAlignment="1">
      <x:alignment vertical="center" wrapText="1"/>
    </x:xf>
    <x:xf numFmtId="205" fontId="0" fillId="4" borderId="0" xfId="0" applyNumberFormat="1" applyFont="1" applyFill="1" applyBorder="1"/>
    <x:xf numFmtId="205" fontId="0" fillId="4" xfId="0" applyNumberFormat="1" applyFont="1" applyFill="1" applyBorder="0"/>
    <x:xf numFmtId="0" fontId="1" fillId="2" borderId="0" xfId="0" applyNumberFormat="1" applyFont="1" applyFill="1" applyBorder="1" applyAlignment="1">
      <x:alignment horizontal="center" vertical="center" wrapText="1"/>
    </x:xf>
    <x:xf numFmtId="205" fontId="0" fillId="4" xfId="0" applyNumberFormat="1" applyFont="1" applyFill="1" applyBorder="0" applyAlignment="1">
      <x:alignment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8" fillId="18" borderId="0" xfId="0" applyNumberFormat="1" applyFont="1" applyFill="1" applyBorder="1"/>
    <x:xf numFmtId="0" fontId="8" fillId="18" xfId="0" applyNumberFormat="1" applyFont="1" applyFill="1" applyBorder="0"/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20" xfId="0" applyNumberFormat="1" applyFont="1" applyFill="1" applyBorder="0"/>
    <x:xf numFmtId="0" fontId="0" fillId="21" xfId="0" applyNumberFormat="1" applyFont="1" applyFill="1" applyBorder="0"/>
    <x:xf numFmtId="0" fontId="0" fillId="20" xfId="0" applyNumberFormat="1" applyFont="1" applyFill="1" applyBorder="0" applyAlignment="1">
      <x:alignment wrapText="1"/>
    </x:xf>
    <x:xf numFmtId="0" fontId="0" fillId="21" xfId="0" applyNumberFormat="1" applyFont="1" applyFill="1" applyBorder="0" applyAlignment="1">
      <x:alignment wrapText="1"/>
    </x:xf>
    <x:xf numFmtId="204" fontId="0" fillId="21" xfId="0" applyNumberFormat="1" applyFont="1" applyFill="1" applyBorder="0" applyAlignment="1">
      <x:alignment wrapText="1"/>
    </x:xf>
    <x:xf numFmtId="0" fontId="0" fillId="22" borderId="0" xfId="0" applyNumberFormat="1" applyFont="1" applyFill="1" applyBorder="1"/>
    <x:xf numFmtId="0" fontId="6" fillId="22" borderId="0" xfId="0" applyNumberFormat="1" applyFont="1" applyFill="1" applyBorder="1"/>
    <x:xf numFmtId="0" fontId="6" fillId="22" borderId="0" xfId="0" applyNumberFormat="1" applyFont="1" applyFill="1" applyBorder="1" applyAlignment="1">
      <x:alignment wrapText="1"/>
    </x:xf>
    <x:xf numFmtId="0" fontId="6" fillId="22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0" xfId="0" applyNumberFormat="1" applyFont="1" applyFill="1" applyBorder="1" applyAlignment="1">
      <x:alignment wrapText="1"/>
    </x:xf>
    <x:xf numFmtId="0" fontId="9" fillId="21" borderId="0" xfId="0" applyNumberFormat="1" applyFont="1" applyFill="1" applyBorder="1" applyAlignment="1">
      <x:alignment vertical="center" wrapText="1"/>
    </x:xf>
    <x:xf numFmtId="0" fontId="8" fillId="6" xfId="0" applyNumberFormat="1" applyFont="1" applyFill="1" applyBorder="0"/>
    <x:xf numFmtId="0" fontId="0" fillId="4" xfId="0" applyNumberFormat="1" applyFont="1" applyFill="1" applyBorder="0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horizontal="center"/>
    </x:xf>
    <x:xf numFmtId="0" fontId="1" fillId="23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8" fillId="24" borderId="0" xfId="0" applyNumberFormat="1" applyFont="1" applyFill="1" applyBorder="1"/>
    <x:xf numFmtId="0" fontId="8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2" fillId="25" borderId="0" xfId="0" applyNumberFormat="1" applyFont="1" applyFill="1" applyBorder="1" applyAlignment="1">
      <x:alignment wrapText="1"/>
    </x:xf>
    <x:xf numFmtId="0" fontId="2" fillId="25" borderId="0" xfId="0" applyNumberFormat="1" applyFont="1" applyFill="1" applyBorder="1" applyAlignment="1">
      <x:alignment horizontal="center" wrapText="1"/>
    </x:xf>
    <x:xf numFmtId="0" fontId="2" fillId="25" borderId="0" xfId="0" applyNumberFormat="1" applyFont="1" applyFill="1" applyBorder="1" applyAlignment="1">
      <x:alignment horizontal="center" vertical="center" wrapText="1"/>
    </x:xf>
    <x:xf numFmtId="0" fontId="0" fillId="26" xfId="0" applyNumberFormat="1" applyFont="1" applyFill="1" applyBorder="0"/>
    <x:xf numFmtId="0" fontId="0" fillId="27" xfId="0" applyNumberFormat="1" applyFont="1" applyFill="1" applyBorder="0"/>
    <x:xf numFmtId="203" fontId="0" fillId="27" xfId="0" applyNumberFormat="1" applyFont="1" applyFill="1" applyBorder="0"/>
    <x:xf numFmtId="204" fontId="0" fillId="27" xfId="0" applyNumberFormat="1" applyFont="1" applyFill="1" applyBorder="0"/>
    <x:xf numFmtId="204" fontId="0" fillId="0" borderId="0" xfId="0" applyNumberFormat="1" applyFont="1" applyFill="1" applyBorder="1"/>
    <x:xf numFmtId="0" fontId="2" fillId="23" borderId="0" xfId="0" applyNumberFormat="1" applyFont="1" applyFill="1" applyBorder="1"/>
    <x:xf numFmtId="0" fontId="2" fillId="23" xfId="0" applyNumberFormat="1" applyFont="1" applyFill="1" applyBorder="0"/>
    <x:xf numFmtId="0" fontId="8" fillId="24" xfId="0" applyNumberFormat="1" applyFont="1" applyFill="1" applyBorder="0"/>
    <x:xf numFmtId="0" fontId="0" fillId="28" borderId="0" xfId="0" applyNumberFormat="1" applyFont="1" applyFill="1" applyBorder="1"/>
    <x:xf numFmtId="0" fontId="6" fillId="28" borderId="0" xfId="0" applyNumberFormat="1" applyFont="1" applyFill="1" applyBorder="1"/>
    <x:xf numFmtId="0" fontId="6" fillId="28" borderId="0" xfId="0" applyNumberFormat="1" applyFont="1" applyFill="1" applyBorder="1" applyAlignment="1">
      <x:alignment wrapText="1"/>
    </x:xf>
    <x:xf numFmtId="0" fontId="6" fillId="2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7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i/>
        <x:color rgb="FF595959"/>
      </x:font>
      <x:fill>
        <x:patternFill>
          <x:bgColor rgb="FFE7E6E6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6e620a8a8490b" /><Relationship Type="http://schemas.openxmlformats.org/officeDocument/2006/relationships/theme" Target="/xl/theme/theme1.xml" Id="R47be5726d1de4baa" /><Relationship Type="http://schemas.openxmlformats.org/officeDocument/2006/relationships/sharedStrings" Target="/xl/sharedStrings.xml" Id="R63bd26d66dbc4638" /><Relationship Type="http://schemas.openxmlformats.org/officeDocument/2006/relationships/worksheet" Target="/xl/worksheets/sheet1.xml" Id="R329091fd573b43cb" /><Relationship Type="http://schemas.openxmlformats.org/officeDocument/2006/relationships/worksheet" Target="/xl/worksheets/sheet2.xml" Id="Rc32004d746c84d57" /><Relationship Type="http://schemas.openxmlformats.org/officeDocument/2006/relationships/worksheet" Target="/xl/worksheets/sheet3.xml" Id="Re6321e2cf99445fc" /><Relationship Type="http://schemas.openxmlformats.org/officeDocument/2006/relationships/worksheet" Target="/xl/worksheets/sheet4.xml" Id="Rc121506926114018" /><Relationship Type="http://schemas.openxmlformats.org/officeDocument/2006/relationships/worksheet" Target="/xl/worksheets/sheet5.xml" Id="Rcddab89125d04c45" /><Relationship Type="http://schemas.openxmlformats.org/officeDocument/2006/relationships/worksheet" Target="/xl/worksheets/sheet6.xml" Id="R7ae89e790ff444b9" /><Relationship Type="http://schemas.openxmlformats.org/officeDocument/2006/relationships/worksheet" Target="/xl/worksheets/sheet7.xml" Id="R403d0a88d198422a" /><Relationship Type="http://schemas.openxmlformats.org/officeDocument/2006/relationships/worksheet" Target="/xl/worksheets/sheet8.xml" Id="Rc17866590b08430c" /><Relationship Type="http://schemas.openxmlformats.org/officeDocument/2006/relationships/worksheet" Target="/xl/worksheets/sheet9.xml" Id="R339a85a3e6804614" /><Relationship Type="http://schemas.openxmlformats.org/officeDocument/2006/relationships/worksheet" Target="/xl/worksheets/sheet10.xml" Id="R81da876acb574ea2" /><Relationship Type="http://schemas.openxmlformats.org/officeDocument/2006/relationships/worksheet" Target="/xl/worksheets/sheet11.xml" Id="R305b562949424b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eed20790624a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das conferências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'Dashboard'!$D$5:$D$7</c:f>
              <c:strCache>
                <c:ptCount val="0"/>
              </c:strCache>
            </c:strRef>
          </c:cat>
          <c:val>
            <c:numRef>
              <c:f>'Dashboard'!$E$5:$E$7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eed20790624a7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Cadastro" displayName="tbCadastro" ref="A1:P101" headerRowCount="1" totalsRowCount="0" totalsRowShown="0">
  <x:tableColumns count="16">
    <x:tableColumn id="1" name="Matrícula"/>
    <x:tableColumn id="2" name="Nome"/>
    <x:tableColumn id="3" name="CPF"/>
    <x:tableColumn id="4" name="Status"/>
    <x:tableColumn id="5" name="Cargo"/>
    <x:tableColumn id="6" name="Departamento"/>
    <x:tableColumn id="7" name="Centro de Custo"/>
    <x:tableColumn id="8" name="Data Admissão"/>
    <x:tableColumn id="9" name="Salário Base"/>
    <x:tableColumn id="10" name="Jornada Mensal (h)"/>
    <x:tableColumn id="11" name="Dependentes"/>
    <x:tableColumn id="12" name="VT Mensal (R$)"/>
    <x:tableColumn id="13" name="Desconto VA/VR (R$)"/>
    <x:tableColumn id="14" name="Plano Saúde (R$)"/>
    <x:tableColumn id="15" name="Outros Descontos Fixos (R$)"/>
    <x:tableColumn id="16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Movimentacoes" displayName="tbMovimentacoes" ref="A1:I501" headerRowCount="1" totalsRowCount="0" totalsRowShown="0">
  <x:tableColumns count="9">
    <x:tableColumn id="1" name="Competência"/>
    <x:tableColumn id="2" name="Matrícula"/>
    <x:tableColumn id="3" name="Tipo de Movimento"/>
    <x:tableColumn id="4" name="Quantidade"/>
    <x:tableColumn id="5" name="Valor (R$)"/>
    <x:tableColumn id="6" name="Bruto informado pelo sistema"/>
    <x:tableColumn id="7" name="Descontos informados pelo sistema"/>
    <x:tableColumn id="8" name="Líquido informado pelo sistema"/>
    <x:tableColumn id="9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Conferencia" displayName="tbConferencia" ref="A1:AJ101" headerRowCount="1" totalsRowCount="0" totalsRowShown="0">
  <x:tableColumns count="36">
    <x:tableColumn id="1" name="Matrícula"/>
    <x:tableColumn id="2" name="Nome"/>
    <x:tableColumn id="3" name="Departamento"/>
    <x:tableColumn id="4" name="Salário Base"/>
    <x:tableColumn id="5" name="Faltas (dias)"/>
    <x:tableColumn id="6" name="HE 50%"/>
    <x:tableColumn id="7" name="HE 100%"/>
    <x:tableColumn id="8" name="Comissões"/>
    <x:tableColumn id="9" name="Bônus/Grat."/>
    <x:tableColumn id="10" name="Adicionais"/>
    <x:tableColumn id="11" name="Créditos Extras"/>
    <x:tableColumn id="12" name="Descontos Extras"/>
    <x:tableColumn id="13" name="Valor Hora"/>
    <x:tableColumn id="14" name="Desc. Falta"/>
    <x:tableColumn id="15" name="Desc. DSR Falta"/>
    <x:tableColumn id="16" name="Valor HE 50%"/>
    <x:tableColumn id="17" name="Valor HE 100%"/>
    <x:tableColumn id="18" name="DSR s/ HE"/>
    <x:tableColumn id="19" name="DSR s/ Comissão"/>
    <x:tableColumn id="20" name="Bruto Calculado"/>
    <x:tableColumn id="21" name="VT"/>
    <x:tableColumn id="22" name="INSS"/>
    <x:tableColumn id="23" name="IRRF"/>
    <x:tableColumn id="24" name="VA/VR"/>
    <x:tableColumn id="25" name="Plano Saúde"/>
    <x:tableColumn id="26" name="Outros Fixos"/>
    <x:tableColumn id="27" name="Total Descontos Calc."/>
    <x:tableColumn id="28" name="Líquido Calculado"/>
    <x:tableColumn id="29" name="Bruto Sistema"/>
    <x:tableColumn id="30" name="Descontos Sistema"/>
    <x:tableColumn id="31" name="Líquido Sistema"/>
    <x:tableColumn id="32" name="Dif. Bruto"/>
    <x:tableColumn id="33" name="Dif. Descontos"/>
    <x:tableColumn id="34" name="Dif. Líquido"/>
    <x:tableColumn id="35" name="Status Conferência"/>
    <x:tableColumn id="36" name="Alert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ChecklistMensal" displayName="tbChecklistMensal" ref="A8:H53" headerRowCount="1" totalsRowCount="0" totalsRowShown="0">
  <x:tableColumns count="8">
    <x:tableColumn id="1" name="Ordem"/>
    <x:tableColumn id="2" name="Etapa"/>
    <x:tableColumn id="3" name="Item de Conferência"/>
    <x:tableColumn id="4" name="Termos / O que conferir"/>
    <x:tableColumn id="5" name="Status"/>
    <x:tableColumn id="6" name="Responsável"/>
    <x:tableColumn id="7" name="Data Conferência"/>
    <x:tableColumn id="8" name="Evidência / Observaçõ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ImportacaoContabilidade" displayName="tbImportacaoContabilidade" ref="A6:W26" headerRowCount="1" totalsRowCount="0" totalsRowShown="0">
  <x:tableColumns count="23">
    <x:tableColumn id="1" name="Competência"/>
    <x:tableColumn id="2" name="Matrícula"/>
    <x:tableColumn id="3" name="Nome"/>
    <x:tableColumn id="4" name="Desc. Falta"/>
    <x:tableColumn id="5" name="DSR Falta"/>
    <x:tableColumn id="6" name="HE 50%"/>
    <x:tableColumn id="7" name="HE 100%"/>
    <x:tableColumn id="8" name="Comissão"/>
    <x:tableColumn id="9" name="Bônus/Grat."/>
    <x:tableColumn id="10" name="Adicionais"/>
    <x:tableColumn id="11" name="DSR HE"/>
    <x:tableColumn id="12" name="DSR Comissão"/>
    <x:tableColumn id="13" name="VT"/>
    <x:tableColumn id="14" name="INSS"/>
    <x:tableColumn id="15" name="IRRF"/>
    <x:tableColumn id="16" name="VA/VR"/>
    <x:tableColumn id="17" name="Plano Saúde"/>
    <x:tableColumn id="18" name="Outros Fixos"/>
    <x:tableColumn id="19" name="Desconto Extra"/>
    <x:tableColumn id="20" name="Bruto Contabilidade"/>
    <x:tableColumn id="21" name="Descontos Contabilidade"/>
    <x:tableColumn id="22" name="Líquido Contabilidade"/>
    <x:tableColumn id="23" name="Data Import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237f892e2148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b69443f4ec4b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e17dfc9a594f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290ec189db94d7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abc775a1aff346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5.xml" Id="R531113f135c5462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7" t="str">
        <x:v>CENTRAL DE CONFERÊNCIA DA FOLHA</x:v>
      </x:c>
      <x:c r="B1" s="67"/>
      <x:c r="C1" s="67"/>
      <x:c r="D1" s="67"/>
      <x:c r="E1" s="67"/>
      <x:c r="F1" s="67"/>
      <x:c r="G1" s="67"/>
      <x:c r="H1" s="67"/>
    </x:row>
    <x:row r="2">
      <x:c r="A2" s="67"/>
      <x:c r="B2" s="67"/>
      <x:c r="C2" s="67"/>
      <x:c r="D2" s="67"/>
      <x:c r="E2" s="67"/>
      <x:c r="F2" s="67"/>
      <x:c r="G2" s="67"/>
      <x:c r="H2" s="67"/>
    </x:row>
    <x:row r="4" ht="24" customHeight="1">
      <x:c r="A4" s="14" t="str">
        <x:v>Indicador</x:v>
      </x:c>
      <x:c r="B4" s="14" t="str">
        <x:v>Valor</x:v>
      </x:c>
      <x:c r="D4" s="14" t="str">
        <x:v>Conferência</x:v>
      </x:c>
      <x:c r="E4" s="14" t="str">
        <x:v>Quantidade</x:v>
      </x:c>
    </x:row>
    <x:row r="5" ht="24" customHeight="1">
      <x:c r="A5" s="20" t="str">
        <x:v>Funcionários ativos</x:v>
      </x:c>
      <x:c r="B5" s="20" t="n">
        <x:f>COUNTIF(Cadastro!D2:D101,"Ativo")</x:f>
        <x:v>19</x:v>
      </x:c>
      <x:c r="D5" s="20" t="str">
        <x:v>OK</x:v>
      </x:c>
      <x:c r="E5" s="20" t="n">
        <x:f>COUNTIF('Conferência'!AI2:AI101,"OK")</x:f>
        <x:v>14</x:v>
      </x:c>
    </x:row>
    <x:row r="6" ht="24" customHeight="1">
      <x:c r="A6" s="20" t="str">
        <x:v>Folha bruta calculada</x:v>
      </x:c>
      <x:c r="B6" s="35" t="n">
        <x:f>SUM('Conferência'!T2:T101)</x:f>
        <x:v>137190.56473829199</x:v>
      </x:c>
      <x:c r="D6" s="20" t="str">
        <x:v>REVISAR</x:v>
      </x:c>
      <x:c r="E6" s="20" t="n">
        <x:f>COUNTIF('Conferência'!AI2:AI101,"REVISAR")</x:f>
        <x:v>6</x:v>
      </x:c>
    </x:row>
    <x:row r="7" ht="24" customHeight="1">
      <x:c r="A7" s="20" t="str">
        <x:v>Folha líquida calculada</x:v>
      </x:c>
      <x:c r="B7" s="35" t="n">
        <x:f>SUM('Conferência'!AB2:AB101)</x:f>
        <x:v>112644.23869201103</x:v>
      </x:c>
      <x:c r="D7" s="20" t="str">
        <x:v>PENDENTE</x:v>
      </x:c>
      <x:c r="E7" s="20" t="n">
        <x:f>COUNTIF('Conferência'!AI2:AI101,"PENDENTE")</x:f>
        <x:v>0</x:v>
      </x:c>
    </x:row>
    <x:row r="8" ht="24" customHeight="1">
      <x:c r="A8" s="20" t="str">
        <x:v>Total de descontos</x:v>
      </x:c>
      <x:c r="B8" s="35" t="n">
        <x:f>SUM('Conferência'!AA2:AA101)</x:f>
        <x:v>25272.992712947664</x:v>
      </x:c>
      <x:c r="D8" s="20" t="str">
        <x:v>Total analisado</x:v>
      </x:c>
      <x:c r="E8" s="20" t="n">
        <x:f>COUNTIF('Conferência'!A2:A101,"&gt;0")</x:f>
        <x:v>20</x:v>
      </x:c>
    </x:row>
    <x:row r="10">
      <x:c r="A10" s="74" t="str">
        <x:v>Fluxo recomendado: 1) manter Cadastro atualizado; 2) lançar Movimentações da competência; 3) preencher os valores finais gerados pelo sistema/contabilidade nas colunas amarelas da aba Conferência ou em Movimentações; 4) revisar linhas marcadas como REVISAR; 5) aprovar o fechamento.</x:v>
      </x:c>
      <x:c r="B10" s="74"/>
      <x:c r="C10" s="74"/>
      <x:c r="D10" s="74"/>
      <x:c r="E10" s="74"/>
      <x:c r="F10" s="74"/>
      <x:c r="G10" s="74"/>
      <x:c r="H10" s="74"/>
    </x:row>
    <x:row r="11">
      <x:c r="A11" s="74"/>
      <x:c r="B11" s="74"/>
      <x:c r="C11" s="74"/>
      <x:c r="D11" s="74"/>
      <x:c r="E11" s="74"/>
      <x:c r="F11" s="74"/>
      <x:c r="G11" s="74"/>
      <x:c r="H11" s="74"/>
    </x:row>
    <x:row r="12">
      <x:c r="A12" s="74"/>
      <x:c r="B12" s="74"/>
      <x:c r="C12" s="74"/>
      <x:c r="D12" s="74"/>
      <x:c r="E12" s="74"/>
      <x:c r="F12" s="74"/>
      <x:c r="G12" s="74"/>
      <x:c r="H12" s="74"/>
    </x:row>
    <x:row r="13">
      <x:c r="A13" s="74"/>
      <x:c r="B13" s="74"/>
      <x:c r="C13" s="74"/>
      <x:c r="D13" s="74"/>
      <x:c r="E13" s="74"/>
      <x:c r="F13" s="74"/>
      <x:c r="G13" s="74"/>
      <x:c r="H13" s="74"/>
    </x:row>
    <x:row r="15">
      <x:c r="A15" s="44" t="str">
        <x:v>A planilha é uma ferramenta de conferência e auditoria, não substitui sistema oficial de folha, obrigações legais, eSocial ou validação da contabilidade.</x:v>
      </x:c>
      <x:c r="B15" s="44"/>
      <x:c r="C15" s="44"/>
      <x:c r="D15" s="44"/>
      <x:c r="E15" s="44"/>
      <x:c r="F15" s="44"/>
      <x:c r="G15" s="44"/>
      <x:c r="H15" s="44"/>
    </x:row>
    <x:row r="16">
      <x:c r="A16" s="44"/>
      <x:c r="B16" s="44"/>
      <x:c r="C16" s="44"/>
      <x:c r="D16" s="44"/>
      <x:c r="E16" s="44"/>
      <x:c r="F16" s="44"/>
      <x:c r="G16" s="44"/>
      <x:c r="H16" s="44"/>
    </x:row>
    <x:row r="17">
      <x:c r="A17" s="44"/>
      <x:c r="B17" s="44"/>
      <x:c r="C17" s="44"/>
      <x:c r="D17" s="44"/>
      <x:c r="E17" s="44"/>
      <x:c r="F17" s="44"/>
      <x:c r="G17" s="44"/>
      <x:c r="H17" s="44"/>
    </x:row>
    <x:row r="18">
      <x:c r="A18" s="44"/>
      <x:c r="B18" s="44"/>
      <x:c r="C18" s="44"/>
      <x:c r="D18" s="44"/>
      <x:c r="E18" s="44"/>
      <x:c r="F18" s="44"/>
      <x:c r="G18" s="44"/>
      <x:c r="H18" s="44"/>
    </x:row>
    <x:row r="20">
      <x:c r="A20" s="161" t="str">
        <x:v>NOVO: use a aba 'Diagnóstico' quando um funcionário estiver como REVISAR. Preencha/importe nas colunas amarelas os valores detalhados do sistema de folha. A maior diferença será destacada e a coluna 'Causa Provável' apontará a verba a investigar.</x:v>
      </x:c>
      <x:c r="B20" s="161"/>
      <x:c r="C20" s="161"/>
      <x:c r="D20" s="161"/>
      <x:c r="E20" s="161"/>
      <x:c r="F20" s="161"/>
      <x:c r="G20" s="161"/>
      <x:c r="H20" s="161"/>
    </x:row>
    <x:row r="21">
      <x:c r="A21" s="161"/>
      <x:c r="B21" s="161"/>
      <x:c r="C21" s="161"/>
      <x:c r="D21" s="161"/>
      <x:c r="E21" s="161"/>
      <x:c r="F21" s="161"/>
      <x:c r="G21" s="161"/>
      <x:c r="H21" s="161"/>
    </x:row>
    <x:row r="22">
      <x:c r="A22" s="161"/>
      <x:c r="B22" s="161"/>
      <x:c r="C22" s="161"/>
      <x:c r="D22" s="161"/>
      <x:c r="E22" s="161"/>
      <x:c r="F22" s="161"/>
      <x:c r="G22" s="161"/>
      <x:c r="H22" s="161"/>
    </x:row>
    <x:row r="23">
      <x:c r="A23" s="161"/>
      <x:c r="B23" s="161"/>
      <x:c r="C23" s="161"/>
      <x:c r="D23" s="161"/>
      <x:c r="E23" s="161"/>
      <x:c r="F23" s="161"/>
      <x:c r="G23" s="161"/>
      <x:c r="H23" s="161"/>
    </x:row>
    <x:row r="25">
      <x:c r="A25" s="190" t="str">
        <x:v>NOVO: a aba 'Checklist Mensal' organiza todas as etapas do fechamento da folha. Atualize o Status de cada item, informe responsável, data e evidência antes da aprovação final.</x:v>
      </x:c>
      <x:c r="B25" s="190"/>
      <x:c r="C25" s="190"/>
      <x:c r="D25" s="190"/>
      <x:c r="E25" s="190"/>
      <x:c r="F25" s="190"/>
      <x:c r="G25" s="190"/>
      <x:c r="H25" s="190"/>
    </x:row>
    <x:row r="26">
      <x:c r="A26" s="190"/>
      <x:c r="B26" s="190"/>
      <x:c r="C26" s="190"/>
      <x:c r="D26" s="190"/>
      <x:c r="E26" s="190"/>
      <x:c r="F26" s="190"/>
      <x:c r="G26" s="190"/>
      <x:c r="H26" s="190"/>
    </x:row>
    <x:row r="27">
      <x:c r="A27" s="190"/>
      <x:c r="B27" s="190"/>
      <x:c r="C27" s="190"/>
      <x:c r="D27" s="190"/>
      <x:c r="E27" s="190"/>
      <x:c r="F27" s="190"/>
      <x:c r="G27" s="190"/>
      <x:c r="H27" s="190"/>
    </x:row>
    <x:row r="28">
      <x:c r="A28" s="190"/>
      <x:c r="B28" s="190"/>
      <x:c r="C28" s="190"/>
      <x:c r="D28" s="190"/>
      <x:c r="E28" s="190"/>
      <x:c r="F28" s="190"/>
      <x:c r="G28" s="190"/>
      <x:c r="H28" s="190"/>
    </x:row>
    <x:row r="30">
      <x:c r="A30" s="219" t="str">
        <x:v>FLUXO MENSAL: acrescente a folha recebida na aba 'Importação Contabilidade', mantendo Competência + Matrícula. A aba Conferência cruza automaticamente Bruto, Descontos e Líquido; a aba Diagnóstico cruza as rubricas. Não apague competências anteriores: elas formam o histórico de auditoria.</x:v>
      </x:c>
      <x:c r="B30" s="219"/>
      <x:c r="C30" s="219"/>
      <x:c r="D30" s="219"/>
      <x:c r="E30" s="219"/>
      <x:c r="F30" s="219"/>
      <x:c r="G30" s="219"/>
      <x:c r="H30" s="219"/>
    </x:row>
    <x:row r="31">
      <x:c r="A31" s="219"/>
      <x:c r="B31" s="219"/>
      <x:c r="C31" s="219"/>
      <x:c r="D31" s="219"/>
      <x:c r="E31" s="219"/>
      <x:c r="F31" s="219"/>
      <x:c r="G31" s="219"/>
      <x:c r="H31" s="219"/>
    </x:row>
    <x:row r="32">
      <x:c r="A32" s="219"/>
      <x:c r="B32" s="219"/>
      <x:c r="C32" s="219"/>
      <x:c r="D32" s="219"/>
      <x:c r="E32" s="219"/>
      <x:c r="F32" s="219"/>
      <x:c r="G32" s="219"/>
      <x:c r="H32" s="219"/>
    </x:row>
    <x:row r="33">
      <x:c r="A33" s="219"/>
      <x:c r="B33" s="219"/>
      <x:c r="C33" s="219"/>
      <x:c r="D33" s="219"/>
      <x:c r="E33" s="219"/>
      <x:c r="F33" s="219"/>
      <x:c r="G33" s="219"/>
      <x:c r="H33" s="219"/>
    </x:row>
    <x:row r="34">
      <x:c r="A34" s="219"/>
      <x:c r="B34" s="219"/>
      <x:c r="C34" s="219"/>
      <x:c r="D34" s="219"/>
      <x:c r="E34" s="219"/>
      <x:c r="F34" s="219"/>
      <x:c r="G34" s="219"/>
      <x:c r="H34" s="219"/>
    </x:row>
  </x:sheetData>
  <x:mergeCells>
    <x:mergeCell ref="A1:H2"/>
    <x:mergeCell ref="A10:H13"/>
    <x:mergeCell ref="A15:H18"/>
    <x:mergeCell ref="A20:H23"/>
  </x:mergeCells>
  <x:pageMargins left="0.7" right="0.7" top="0.75" bottom="0.75" header="0.3" footer="0.3"/>
  <x:drawing xmlns:r="http://schemas.openxmlformats.org/officeDocument/2006/relationships" r:id="Rc1237f892e21481b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6" hidden="0" customWidth="1"/>
    <x:col min="4" max="4" width="12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12" hidden="0" customWidth="1"/>
    <x:col min="12" max="12" width="14" hidden="0" customWidth="1"/>
    <x:col min="13" max="13" width="16" hidden="0" customWidth="1"/>
    <x:col min="14" max="14" width="16" hidden="0" customWidth="1"/>
    <x:col min="15" max="15" width="20" hidden="0" customWidth="1"/>
    <x:col min="16" max="16" width="28" hidden="0" customWidth="1"/>
  </x:cols>
  <x:sheetData>
    <x:row r="1" ht="40" customHeight="1">
      <x:c r="A1" s="14" t="str">
        <x:v>Matrícula</x:v>
      </x:c>
      <x:c r="B1" s="14" t="str">
        <x:v>Nome</x:v>
      </x:c>
      <x:c r="C1" s="14" t="str">
        <x:v>CPF</x:v>
      </x:c>
      <x:c r="D1" s="14" t="str">
        <x:v>Status</x:v>
      </x:c>
      <x:c r="E1" s="14" t="str">
        <x:v>Cargo</x:v>
      </x:c>
      <x:c r="F1" s="14" t="str">
        <x:v>Departamento</x:v>
      </x:c>
      <x:c r="G1" s="14" t="str">
        <x:v>Centro de Custo</x:v>
      </x:c>
      <x:c r="H1" s="14" t="str">
        <x:v>Data Admissão</x:v>
      </x:c>
      <x:c r="I1" s="14" t="str">
        <x:v>Salário Base</x:v>
      </x:c>
      <x:c r="J1" s="14" t="str">
        <x:v>Jornada Mensal (h)</x:v>
      </x:c>
      <x:c r="K1" s="14" t="str">
        <x:v>Dependentes</x:v>
      </x:c>
      <x:c r="L1" s="14" t="str">
        <x:v>VT Mensal (R$)</x:v>
      </x:c>
      <x:c r="M1" s="14" t="str">
        <x:v>Desconto VA/VR (R$)</x:v>
      </x:c>
      <x:c r="N1" s="14" t="str">
        <x:v>Plano Saúde (R$)</x:v>
      </x:c>
      <x:c r="O1" s="14" t="str">
        <x:v>Outros Descontos Fixos (R$)</x:v>
      </x:c>
      <x:c r="P1" s="14" t="str">
        <x:v>Observações</x:v>
      </x:c>
      <x:c r="Q1" s="85"/>
      <x:c r="R1" s="85"/>
      <x:c r="S1" s="85"/>
      <x:c r="T1" s="85"/>
      <x:c r="U1" s="85"/>
      <x:c r="V1" s="85"/>
      <x:c r="W1" s="85"/>
      <x:c r="X1" s="85"/>
      <x:c r="Y1" s="85"/>
      <x:c r="Z1" s="85"/>
      <x:c r="AA1" s="85"/>
      <x:c r="AB1" s="85"/>
      <x:c r="AC1" s="85"/>
      <x:c r="AD1" s="85"/>
      <x:c r="AE1" s="85"/>
      <x:c r="AF1" s="85"/>
      <x:c r="AG1" s="85"/>
      <x:c r="AH1" s="85"/>
      <x:c r="AI1" s="85"/>
      <x:c r="AJ1" s="85"/>
    </x:row>
    <x:row r="2">
      <x:c r="A2" s="128" t="n">
        <x:v>1001</x:v>
      </x:c>
      <x:c r="B2" s="128" t="str">
        <x:v>Camila Silva</x:v>
      </x:c>
      <x:c r="C2" s="128" t="str">
        <x:v>111.222.333-01</x:v>
      </x:c>
      <x:c r="D2" s="128" t="str">
        <x:v>Ativo</x:v>
      </x:c>
      <x:c r="E2" s="128" t="str">
        <x:v>Consultora de Vendas</x:v>
      </x:c>
      <x:c r="F2" s="128" t="str">
        <x:v>Comercial</x:v>
      </x:c>
      <x:c r="G2" s="128" t="str">
        <x:v>Vendas A</x:v>
      </x:c>
      <x:c r="H2" s="129" t="n">
        <x:v>42443</x:v>
      </x:c>
      <x:c r="I2" s="130" t="n">
        <x:v>4800</x:v>
      </x:c>
      <x:c r="J2" s="128" t="n">
        <x:v>220</x:v>
      </x:c>
      <x:c r="K2" s="128" t="n">
        <x:v>1</x:v>
      </x:c>
      <x:c r="L2" s="130" t="n">
        <x:v>280</x:v>
      </x:c>
      <x:c r="M2" s="130" t="n">
        <x:v>120</x:v>
      </x:c>
      <x:c r="N2" s="130" t="n">
        <x:v>180</x:v>
      </x:c>
      <x:c r="O2" s="130" t="n">
        <x:v>0</x:v>
      </x:c>
      <x:c r="P2" s="128" t="str">
        <x:v>Alta senioridade; carteira residencial</x:v>
      </x:c>
      <x:c r="Q2" s="85"/>
      <x:c r="R2" s="85"/>
      <x:c r="S2" s="85"/>
      <x:c r="T2" s="85"/>
      <x:c r="U2" s="85"/>
      <x:c r="V2" s="85"/>
      <x:c r="W2" s="85"/>
      <x:c r="X2" s="85"/>
      <x:c r="Y2" s="85"/>
      <x:c r="Z2" s="85"/>
      <x:c r="AA2" s="85"/>
      <x:c r="AB2" s="85"/>
      <x:c r="AC2" s="85"/>
      <x:c r="AD2" s="85"/>
      <x:c r="AE2" s="85"/>
      <x:c r="AF2" s="85"/>
      <x:c r="AG2" s="85"/>
      <x:c r="AH2" s="85"/>
      <x:c r="AI2" s="85"/>
      <x:c r="AJ2" s="85"/>
    </x:row>
    <x:row r="3">
      <x:c r="A3" s="128" t="n">
        <x:v>1002</x:v>
      </x:c>
      <x:c r="B3" s="128" t="str">
        <x:v>João Santos</x:v>
      </x:c>
      <x:c r="C3" s="128" t="str">
        <x:v>111.222.333-02</x:v>
      </x:c>
      <x:c r="D3" s="128" t="str">
        <x:v>Ativo</x:v>
      </x:c>
      <x:c r="E3" s="128" t="str">
        <x:v>Consultor de Vendas</x:v>
      </x:c>
      <x:c r="F3" s="128" t="str">
        <x:v>Comercial</x:v>
      </x:c>
      <x:c r="G3" s="128" t="str">
        <x:v>Vendas A</x:v>
      </x:c>
      <x:c r="H3" s="129" t="n">
        <x:v>42583</x:v>
      </x:c>
      <x:c r="I3" s="130" t="n">
        <x:v>5200</x:v>
      </x:c>
      <x:c r="J3" s="128" t="n">
        <x:v>220</x:v>
      </x:c>
      <x:c r="K3" s="128" t="n">
        <x:v>2</x:v>
      </x:c>
      <x:c r="L3" s="130" t="n">
        <x:v>320</x:v>
      </x:c>
      <x:c r="M3" s="130" t="n">
        <x:v>120</x:v>
      </x:c>
      <x:c r="N3" s="130" t="n">
        <x:v>220</x:v>
      </x:c>
      <x:c r="O3" s="130" t="n">
        <x:v>0</x:v>
      </x:c>
      <x:c r="P3" s="128" t="str">
        <x:v>Atuação em lançamentos</x:v>
      </x:c>
      <x:c r="Q3" s="85"/>
      <x:c r="R3" s="85"/>
      <x:c r="S3" s="85"/>
      <x:c r="T3" s="85"/>
      <x:c r="U3" s="85"/>
      <x:c r="V3" s="85"/>
      <x:c r="W3" s="85"/>
      <x:c r="X3" s="85"/>
      <x:c r="Y3" s="85"/>
      <x:c r="Z3" s="85"/>
      <x:c r="AA3" s="85"/>
      <x:c r="AB3" s="85"/>
      <x:c r="AC3" s="85"/>
      <x:c r="AD3" s="85"/>
      <x:c r="AE3" s="85"/>
      <x:c r="AF3" s="85"/>
      <x:c r="AG3" s="85"/>
      <x:c r="AH3" s="85"/>
      <x:c r="AI3" s="85"/>
      <x:c r="AJ3" s="85"/>
    </x:row>
    <x:row r="4">
      <x:c r="A4" s="128" t="n">
        <x:v>1003</x:v>
      </x:c>
      <x:c r="B4" s="128" t="str">
        <x:v>Maria Lima</x:v>
      </x:c>
      <x:c r="C4" s="128" t="str">
        <x:v>111.222.333-03</x:v>
      </x:c>
      <x:c r="D4" s="128" t="str">
        <x:v>Ativo</x:v>
      </x:c>
      <x:c r="E4" s="128" t="str">
        <x:v>Gerente de Vendas</x:v>
      </x:c>
      <x:c r="F4" s="128" t="str">
        <x:v>Comercial</x:v>
      </x:c>
      <x:c r="G4" s="128" t="str">
        <x:v>Gestão Comercial</x:v>
      </x:c>
      <x:c r="H4" s="129" t="n">
        <x:v>42744</x:v>
      </x:c>
      <x:c r="I4" s="130" t="n">
        <x:v>9800</x:v>
      </x:c>
      <x:c r="J4" s="128" t="n">
        <x:v>220</x:v>
      </x:c>
      <x:c r="K4" s="128" t="n">
        <x:v>1</x:v>
      </x:c>
      <x:c r="L4" s="130" t="n">
        <x:v>0</x:v>
      </x:c>
      <x:c r="M4" s="130" t="n">
        <x:v>180</x:v>
      </x:c>
      <x:c r="N4" s="130" t="n">
        <x:v>250</x:v>
      </x:c>
      <x:c r="O4" s="130" t="n">
        <x:v>0</x:v>
      </x:c>
      <x:c r="P4" s="128" t="str">
        <x:v>Gestão de equipe comercial</x:v>
      </x:c>
      <x:c r="Q4" s="85"/>
      <x:c r="R4" s="85"/>
      <x:c r="S4" s="85"/>
      <x:c r="T4" s="85"/>
      <x:c r="U4" s="85"/>
      <x:c r="V4" s="85"/>
      <x:c r="W4" s="85"/>
      <x:c r="X4" s="85"/>
      <x:c r="Y4" s="85"/>
      <x:c r="Z4" s="85"/>
      <x:c r="AA4" s="85"/>
      <x:c r="AB4" s="85"/>
      <x:c r="AC4" s="85"/>
      <x:c r="AD4" s="85"/>
      <x:c r="AE4" s="85"/>
      <x:c r="AF4" s="85"/>
      <x:c r="AG4" s="85"/>
      <x:c r="AH4" s="85"/>
      <x:c r="AI4" s="85"/>
      <x:c r="AJ4" s="85"/>
    </x:row>
    <x:row r="5">
      <x:c r="A5" s="128" t="n">
        <x:v>1004</x:v>
      </x:c>
      <x:c r="B5" s="128" t="str">
        <x:v>Rafael Oliveira</x:v>
      </x:c>
      <x:c r="C5" s="128" t="str">
        <x:v>111.222.333-04</x:v>
      </x:c>
      <x:c r="D5" s="128" t="str">
        <x:v>Ativo</x:v>
      </x:c>
      <x:c r="E5" s="128" t="str">
        <x:v>Consultor de Vendas</x:v>
      </x:c>
      <x:c r="F5" s="128" t="str">
        <x:v>Comercial</x:v>
      </x:c>
      <x:c r="G5" s="128" t="str">
        <x:v>Vendas B</x:v>
      </x:c>
      <x:c r="H5" s="129" t="n">
        <x:v>42905</x:v>
      </x:c>
      <x:c r="I5" s="130" t="n">
        <x:v>4600</x:v>
      </x:c>
      <x:c r="J5" s="128" t="n">
        <x:v>220</x:v>
      </x:c>
      <x:c r="K5" s="128" t="n">
        <x:v>0</x:v>
      </x:c>
      <x:c r="L5" s="130" t="n">
        <x:v>300</x:v>
      </x:c>
      <x:c r="M5" s="130" t="n">
        <x:v>120</x:v>
      </x:c>
      <x:c r="N5" s="130" t="n">
        <x:v>180</x:v>
      </x:c>
      <x:c r="O5" s="130" t="n">
        <x:v>0</x:v>
      </x:c>
      <x:c r="P5" s="128" t="str">
        <x:v>Foco em imóveis de médio padrão</x:v>
      </x:c>
      <x:c r="Q5" s="85"/>
      <x:c r="R5" s="85"/>
      <x:c r="S5" s="85"/>
      <x:c r="T5" s="85"/>
      <x:c r="U5" s="85"/>
      <x:c r="V5" s="85"/>
      <x:c r="W5" s="85"/>
      <x:c r="X5" s="85"/>
      <x:c r="Y5" s="85"/>
      <x:c r="Z5" s="85"/>
      <x:c r="AA5" s="85"/>
      <x:c r="AB5" s="85"/>
      <x:c r="AC5" s="85"/>
      <x:c r="AD5" s="85"/>
      <x:c r="AE5" s="85"/>
      <x:c r="AF5" s="85"/>
      <x:c r="AG5" s="85"/>
      <x:c r="AH5" s="85"/>
      <x:c r="AI5" s="85"/>
      <x:c r="AJ5" s="85"/>
    </x:row>
    <x:row r="6">
      <x:c r="A6" s="128" t="n">
        <x:v>1005</x:v>
      </x:c>
      <x:c r="B6" s="128" t="str">
        <x:v>Fernanda Costa</x:v>
      </x:c>
      <x:c r="C6" s="128" t="str">
        <x:v>111.222.333-05</x:v>
      </x:c>
      <x:c r="D6" s="128" t="str">
        <x:v>Ativo</x:v>
      </x:c>
      <x:c r="E6" s="128" t="str">
        <x:v>Coordenadora de Vendas</x:v>
      </x:c>
      <x:c r="F6" s="128" t="str">
        <x:v>Comercial</x:v>
      </x:c>
      <x:c r="G6" s="128" t="str">
        <x:v>Vendas B</x:v>
      </x:c>
      <x:c r="H6" s="129" t="n">
        <x:v>43136</x:v>
      </x:c>
      <x:c r="I6" s="130" t="n">
        <x:v>7200</x:v>
      </x:c>
      <x:c r="J6" s="128" t="n">
        <x:v>220</x:v>
      </x:c>
      <x:c r="K6" s="128" t="n">
        <x:v>1</x:v>
      </x:c>
      <x:c r="L6" s="130" t="n">
        <x:v>0</x:v>
      </x:c>
      <x:c r="M6" s="130" t="n">
        <x:v>150</x:v>
      </x:c>
      <x:c r="N6" s="130" t="n">
        <x:v>220</x:v>
      </x:c>
      <x:c r="O6" s="130" t="n">
        <x:v>0</x:v>
      </x:c>
      <x:c r="P6" s="128" t="str">
        <x:v>Coordenação de plantões</x:v>
      </x:c>
      <x:c r="Q6" s="85"/>
      <x:c r="R6" s="85"/>
      <x:c r="S6" s="85"/>
      <x:c r="T6" s="85"/>
      <x:c r="U6" s="85"/>
      <x:c r="V6" s="85"/>
      <x:c r="W6" s="85"/>
      <x:c r="X6" s="85"/>
      <x:c r="Y6" s="85"/>
      <x:c r="Z6" s="85"/>
      <x:c r="AA6" s="85"/>
      <x:c r="AB6" s="85"/>
      <x:c r="AC6" s="85"/>
      <x:c r="AD6" s="85"/>
      <x:c r="AE6" s="85"/>
      <x:c r="AF6" s="85"/>
      <x:c r="AG6" s="85"/>
      <x:c r="AH6" s="85"/>
      <x:c r="AI6" s="85"/>
      <x:c r="AJ6" s="85"/>
    </x:row>
    <x:row r="7">
      <x:c r="A7" s="128" t="n">
        <x:v>1006</x:v>
      </x:c>
      <x:c r="B7" s="128" t="str">
        <x:v>Bruno Martins</x:v>
      </x:c>
      <x:c r="C7" s="128" t="str">
        <x:v>111.222.333-06</x:v>
      </x:c>
      <x:c r="D7" s="128" t="str">
        <x:v>Ativo</x:v>
      </x:c>
      <x:c r="E7" s="128" t="str">
        <x:v>Consultor de Vendas</x:v>
      </x:c>
      <x:c r="F7" s="128" t="str">
        <x:v>Comercial</x:v>
      </x:c>
      <x:c r="G7" s="128" t="str">
        <x:v>Vendas A</x:v>
      </x:c>
      <x:c r="H7" s="129" t="n">
        <x:v>43353</x:v>
      </x:c>
      <x:c r="I7" s="130" t="n">
        <x:v>4400</x:v>
      </x:c>
      <x:c r="J7" s="128" t="n">
        <x:v>220</x:v>
      </x:c>
      <x:c r="K7" s="128" t="n">
        <x:v>1</x:v>
      </x:c>
      <x:c r="L7" s="130" t="n">
        <x:v>260</x:v>
      </x:c>
      <x:c r="M7" s="130" t="n">
        <x:v>120</x:v>
      </x:c>
      <x:c r="N7" s="130" t="n">
        <x:v>180</x:v>
      </x:c>
      <x:c r="O7" s="130" t="n">
        <x:v>0</x:v>
      </x:c>
      <x:c r="P7" s="128" t="str">
        <x:v>Atendimento digital e presencial</x:v>
      </x:c>
      <x:c r="Q7" s="85"/>
      <x:c r="R7" s="85"/>
      <x:c r="S7" s="85"/>
      <x:c r="T7" s="85"/>
      <x:c r="U7" s="85"/>
      <x:c r="V7" s="85"/>
      <x:c r="W7" s="85"/>
      <x:c r="X7" s="85"/>
      <x:c r="Y7" s="85"/>
      <x:c r="Z7" s="85"/>
      <x:c r="AA7" s="85"/>
      <x:c r="AB7" s="85"/>
      <x:c r="AC7" s="85"/>
      <x:c r="AD7" s="85"/>
      <x:c r="AE7" s="85"/>
      <x:c r="AF7" s="85"/>
      <x:c r="AG7" s="85"/>
      <x:c r="AH7" s="85"/>
      <x:c r="AI7" s="85"/>
      <x:c r="AJ7" s="85"/>
    </x:row>
    <x:row r="8">
      <x:c r="A8" s="128" t="n">
        <x:v>1007</x:v>
      </x:c>
      <x:c r="B8" s="128" t="str">
        <x:v>Juliana Rocha</x:v>
      </x:c>
      <x:c r="C8" s="128" t="str">
        <x:v>111.222.333-07</x:v>
      </x:c>
      <x:c r="D8" s="128" t="str">
        <x:v>Ativo</x:v>
      </x:c>
      <x:c r="E8" s="128" t="str">
        <x:v>Analista de CRM</x:v>
      </x:c>
      <x:c r="F8" s="128" t="str">
        <x:v>Comercial</x:v>
      </x:c>
      <x:c r="G8" s="128" t="str">
        <x:v>CRM</x:v>
      </x:c>
      <x:c r="H8" s="129" t="n">
        <x:v>43577</x:v>
      </x:c>
      <x:c r="I8" s="130" t="n">
        <x:v>5100</x:v>
      </x:c>
      <x:c r="J8" s="128" t="n">
        <x:v>220</x:v>
      </x:c>
      <x:c r="K8" s="128" t="n">
        <x:v>0</x:v>
      </x:c>
      <x:c r="L8" s="130" t="n">
        <x:v>220</x:v>
      </x:c>
      <x:c r="M8" s="130" t="n">
        <x:v>150</x:v>
      </x:c>
      <x:c r="N8" s="130" t="n">
        <x:v>200</x:v>
      </x:c>
      <x:c r="O8" s="130" t="n">
        <x:v>0</x:v>
      </x:c>
      <x:c r="P8" s="128" t="str">
        <x:v>Gestão de leads e funil</x:v>
      </x:c>
      <x:c r="Q8" s="85"/>
      <x:c r="R8" s="85"/>
      <x:c r="S8" s="85"/>
      <x:c r="T8" s="85"/>
      <x:c r="U8" s="85"/>
      <x:c r="V8" s="85"/>
      <x:c r="W8" s="85"/>
      <x:c r="X8" s="85"/>
      <x:c r="Y8" s="85"/>
      <x:c r="Z8" s="85"/>
      <x:c r="AA8" s="85"/>
      <x:c r="AB8" s="85"/>
      <x:c r="AC8" s="85"/>
      <x:c r="AD8" s="85"/>
      <x:c r="AE8" s="85"/>
      <x:c r="AF8" s="85"/>
      <x:c r="AG8" s="85"/>
      <x:c r="AH8" s="85"/>
      <x:c r="AI8" s="85"/>
      <x:c r="AJ8" s="85"/>
    </x:row>
    <x:row r="9">
      <x:c r="A9" s="128" t="n">
        <x:v>1008</x:v>
      </x:c>
      <x:c r="B9" s="128" t="str">
        <x:v>Lucas Almeida</x:v>
      </x:c>
      <x:c r="C9" s="128" t="str">
        <x:v>111.222.333-08</x:v>
      </x:c>
      <x:c r="D9" s="128" t="str">
        <x:v>Ativo</x:v>
      </x:c>
      <x:c r="E9" s="128" t="str">
        <x:v>Consultor de Vendas</x:v>
      </x:c>
      <x:c r="F9" s="128" t="str">
        <x:v>Comercial</x:v>
      </x:c>
      <x:c r="G9" s="128" t="str">
        <x:v>Vendas C</x:v>
      </x:c>
      <x:c r="H9" s="129" t="n">
        <x:v>43780</x:v>
      </x:c>
      <x:c r="I9" s="130" t="n">
        <x:v>4300</x:v>
      </x:c>
      <x:c r="J9" s="128" t="n">
        <x:v>220</x:v>
      </x:c>
      <x:c r="K9" s="128" t="n">
        <x:v>0</x:v>
      </x:c>
      <x:c r="L9" s="130" t="n">
        <x:v>280</x:v>
      </x:c>
      <x:c r="M9" s="130" t="n">
        <x:v>120</x:v>
      </x:c>
      <x:c r="N9" s="130" t="n">
        <x:v>180</x:v>
      </x:c>
      <x:c r="O9" s="130" t="n">
        <x:v>0</x:v>
      </x:c>
      <x:c r="P9" s="128" t="str">
        <x:v>Vendas de casas em condomínio</x:v>
      </x:c>
      <x:c r="Q9" s="85"/>
      <x:c r="R9" s="85"/>
      <x:c r="S9" s="85"/>
      <x:c r="T9" s="85"/>
      <x:c r="U9" s="85"/>
      <x:c r="V9" s="85"/>
      <x:c r="W9" s="85"/>
      <x:c r="X9" s="85"/>
      <x:c r="Y9" s="85"/>
      <x:c r="Z9" s="85"/>
      <x:c r="AA9" s="85"/>
      <x:c r="AB9" s="85"/>
      <x:c r="AC9" s="85"/>
      <x:c r="AD9" s="85"/>
      <x:c r="AE9" s="85"/>
      <x:c r="AF9" s="85"/>
      <x:c r="AG9" s="85"/>
      <x:c r="AH9" s="85"/>
      <x:c r="AI9" s="85"/>
      <x:c r="AJ9" s="85"/>
    </x:row>
    <x:row r="10">
      <x:c r="A10" s="128" t="n">
        <x:v>1009</x:v>
      </x:c>
      <x:c r="B10" s="128" t="str">
        <x:v>Patricia Gomes</x:v>
      </x:c>
      <x:c r="C10" s="128" t="str">
        <x:v>111.222.333-09</x:v>
      </x:c>
      <x:c r="D10" s="128" t="str">
        <x:v>Ativo</x:v>
      </x:c>
      <x:c r="E10" s="128" t="str">
        <x:v>Analista de Marketing</x:v>
      </x:c>
      <x:c r="F10" s="128" t="str">
        <x:v>Marketing</x:v>
      </x:c>
      <x:c r="G10" s="128" t="str">
        <x:v>Marketing</x:v>
      </x:c>
      <x:c r="H10" s="129" t="n">
        <x:v>43878</x:v>
      </x:c>
      <x:c r="I10" s="130" t="n">
        <x:v>5600</x:v>
      </x:c>
      <x:c r="J10" s="128" t="n">
        <x:v>220</x:v>
      </x:c>
      <x:c r="K10" s="128" t="n">
        <x:v>1</x:v>
      </x:c>
      <x:c r="L10" s="130" t="n">
        <x:v>200</x:v>
      </x:c>
      <x:c r="M10" s="130" t="n">
        <x:v>150</x:v>
      </x:c>
      <x:c r="N10" s="130" t="n">
        <x:v>220</x:v>
      </x:c>
      <x:c r="O10" s="130" t="n">
        <x:v>0</x:v>
      </x:c>
      <x:c r="P10" s="128" t="str">
        <x:v>Campanhas e mídia imobiliária</x:v>
      </x:c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  <x:c r="AA10" s="85"/>
      <x:c r="AB10" s="85"/>
      <x:c r="AC10" s="85"/>
      <x:c r="AD10" s="85"/>
      <x:c r="AE10" s="85"/>
      <x:c r="AF10" s="85"/>
      <x:c r="AG10" s="85"/>
      <x:c r="AH10" s="85"/>
      <x:c r="AI10" s="85"/>
      <x:c r="AJ10" s="85"/>
    </x:row>
    <x:row r="11">
      <x:c r="A11" s="128" t="n">
        <x:v>1010</x:v>
      </x:c>
      <x:c r="B11" s="128" t="str">
        <x:v>Diego Ferreira</x:v>
      </x:c>
      <x:c r="C11" s="128" t="str">
        <x:v>111.222.333-10</x:v>
      </x:c>
      <x:c r="D11" s="128" t="str">
        <x:v>Ativo</x:v>
      </x:c>
      <x:c r="E11" s="128" t="str">
        <x:v>Consultor de Vendas</x:v>
      </x:c>
      <x:c r="F11" s="128" t="str">
        <x:v>Comercial</x:v>
      </x:c>
      <x:c r="G11" s="128" t="str">
        <x:v>Vendas C</x:v>
      </x:c>
      <x:c r="H11" s="129" t="n">
        <x:v>44018</x:v>
      </x:c>
      <x:c r="I11" s="130" t="n">
        <x:v>4200</x:v>
      </x:c>
      <x:c r="J11" s="128" t="n">
        <x:v>220</x:v>
      </x:c>
      <x:c r="K11" s="128" t="n">
        <x:v>0</x:v>
      </x:c>
      <x:c r="L11" s="130" t="n">
        <x:v>260</x:v>
      </x:c>
      <x:c r="M11" s="130" t="n">
        <x:v>120</x:v>
      </x:c>
      <x:c r="N11" s="130" t="n">
        <x:v>180</x:v>
      </x:c>
      <x:c r="O11" s="130" t="n">
        <x:v>0</x:v>
      </x:c>
      <x:c r="P11" s="128" t="str">
        <x:v>Plantões e visitas</x:v>
      </x:c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  <x:c r="AA11" s="85"/>
      <x:c r="AB11" s="85"/>
      <x:c r="AC11" s="85"/>
      <x:c r="AD11" s="85"/>
      <x:c r="AE11" s="85"/>
      <x:c r="AF11" s="85"/>
      <x:c r="AG11" s="85"/>
      <x:c r="AH11" s="85"/>
      <x:c r="AI11" s="85"/>
      <x:c r="AJ11" s="85"/>
    </x:row>
    <x:row r="12">
      <x:c r="A12" s="128" t="n">
        <x:v>1011</x:v>
      </x:c>
      <x:c r="B12" s="128" t="str">
        <x:v>Renata Barros</x:v>
      </x:c>
      <x:c r="C12" s="128" t="str">
        <x:v>111.222.333-11</x:v>
      </x:c>
      <x:c r="D12" s="128" t="str">
        <x:v>Ativo</x:v>
      </x:c>
      <x:c r="E12" s="128" t="str">
        <x:v>Analista Financeiro</x:v>
      </x:c>
      <x:c r="F12" s="128" t="str">
        <x:v>Financeiro</x:v>
      </x:c>
      <x:c r="G12" s="128" t="str">
        <x:v>Financeiro</x:v>
      </x:c>
      <x:c r="H12" s="129" t="n">
        <x:v>44214</x:v>
      </x:c>
      <x:c r="I12" s="130" t="n">
        <x:v>5900</x:v>
      </x:c>
      <x:c r="J12" s="128" t="n">
        <x:v>220</x:v>
      </x:c>
      <x:c r="K12" s="128" t="n">
        <x:v>1</x:v>
      </x:c>
      <x:c r="L12" s="130" t="n">
        <x:v>180</x:v>
      </x:c>
      <x:c r="M12" s="130" t="n">
        <x:v>150</x:v>
      </x:c>
      <x:c r="N12" s="130" t="n">
        <x:v>230</x:v>
      </x:c>
      <x:c r="O12" s="130" t="n">
        <x:v>0</x:v>
      </x:c>
      <x:c r="P12" s="128" t="str">
        <x:v>Conciliação e comissões</x:v>
      </x:c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  <x:c r="AA12" s="85"/>
      <x:c r="AB12" s="85"/>
      <x:c r="AC12" s="85"/>
      <x:c r="AD12" s="85"/>
      <x:c r="AE12" s="85"/>
      <x:c r="AF12" s="85"/>
      <x:c r="AG12" s="85"/>
      <x:c r="AH12" s="85"/>
      <x:c r="AI12" s="85"/>
      <x:c r="AJ12" s="85"/>
    </x:row>
    <x:row r="13">
      <x:c r="A13" s="128" t="n">
        <x:v>1012</x:v>
      </x:c>
      <x:c r="B13" s="128" t="str">
        <x:v>Gustavo Nunes</x:v>
      </x:c>
      <x:c r="C13" s="128" t="str">
        <x:v>111.222.333-12</x:v>
      </x:c>
      <x:c r="D13" s="128" t="str">
        <x:v>Ativo</x:v>
      </x:c>
      <x:c r="E13" s="128" t="str">
        <x:v>Assistente Comercial</x:v>
      </x:c>
      <x:c r="F13" s="128" t="str">
        <x:v>Comercial</x:v>
      </x:c>
      <x:c r="G13" s="128" t="str">
        <x:v>Backoffice</x:v>
      </x:c>
      <x:c r="H13" s="129" t="n">
        <x:v>44410</x:v>
      </x:c>
      <x:c r="I13" s="130" t="n">
        <x:v>3400</x:v>
      </x:c>
      <x:c r="J13" s="128" t="n">
        <x:v>220</x:v>
      </x:c>
      <x:c r="K13" s="128" t="n">
        <x:v>0</x:v>
      </x:c>
      <x:c r="L13" s="130" t="n">
        <x:v>220</x:v>
      </x:c>
      <x:c r="M13" s="130" t="n">
        <x:v>100</x:v>
      </x:c>
      <x:c r="N13" s="130" t="n">
        <x:v>150</x:v>
      </x:c>
      <x:c r="O13" s="130" t="n">
        <x:v>0</x:v>
      </x:c>
      <x:c r="P13" s="128" t="str">
        <x:v>Documentação de vendas</x:v>
      </x:c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  <x:c r="AA13" s="85"/>
      <x:c r="AB13" s="85"/>
      <x:c r="AC13" s="85"/>
      <x:c r="AD13" s="85"/>
      <x:c r="AE13" s="85"/>
      <x:c r="AF13" s="85"/>
      <x:c r="AG13" s="85"/>
      <x:c r="AH13" s="85"/>
      <x:c r="AI13" s="85"/>
      <x:c r="AJ13" s="85"/>
    </x:row>
    <x:row r="14">
      <x:c r="A14" s="128" t="n">
        <x:v>1013</x:v>
      </x:c>
      <x:c r="B14" s="128" t="str">
        <x:v>Aline Ribeiro</x:v>
      </x:c>
      <x:c r="C14" s="128" t="str">
        <x:v>111.222.333-13</x:v>
      </x:c>
      <x:c r="D14" s="128" t="str">
        <x:v>Ativo</x:v>
      </x:c>
      <x:c r="E14" s="128" t="str">
        <x:v>Analista de RH</x:v>
      </x:c>
      <x:c r="F14" s="128" t="str">
        <x:v>RH</x:v>
      </x:c>
      <x:c r="G14" s="128" t="str">
        <x:v>Pessoas</x:v>
      </x:c>
      <x:c r="H14" s="129" t="n">
        <x:v>44627</x:v>
      </x:c>
      <x:c r="I14" s="130" t="n">
        <x:v>5400</x:v>
      </x:c>
      <x:c r="J14" s="128" t="n">
        <x:v>220</x:v>
      </x:c>
      <x:c r="K14" s="128" t="n">
        <x:v>1</x:v>
      </x:c>
      <x:c r="L14" s="130" t="n">
        <x:v>180</x:v>
      </x:c>
      <x:c r="M14" s="130" t="n">
        <x:v>120</x:v>
      </x:c>
      <x:c r="N14" s="130" t="n">
        <x:v>200</x:v>
      </x:c>
      <x:c r="O14" s="130" t="n">
        <x:v>0</x:v>
      </x:c>
      <x:c r="P14" s="128" t="str">
        <x:v>Folha, benefícios e ponto</x:v>
      </x:c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  <x:c r="AA14" s="85"/>
      <x:c r="AB14" s="85"/>
      <x:c r="AC14" s="85"/>
      <x:c r="AD14" s="85"/>
      <x:c r="AE14" s="85"/>
      <x:c r="AF14" s="85"/>
      <x:c r="AG14" s="85"/>
      <x:c r="AH14" s="85"/>
      <x:c r="AI14" s="85"/>
      <x:c r="AJ14" s="85"/>
    </x:row>
    <x:row r="15">
      <x:c r="A15" s="128" t="n">
        <x:v>1014</x:v>
      </x:c>
      <x:c r="B15" s="128" t="str">
        <x:v>Marcos Vieira</x:v>
      </x:c>
      <x:c r="C15" s="128" t="str">
        <x:v>111.222.333-14</x:v>
      </x:c>
      <x:c r="D15" s="128" t="str">
        <x:v>Ativo</x:v>
      </x:c>
      <x:c r="E15" s="128" t="str">
        <x:v>Consultor de Vendas</x:v>
      </x:c>
      <x:c r="F15" s="128" t="str">
        <x:v>Comercial</x:v>
      </x:c>
      <x:c r="G15" s="128" t="str">
        <x:v>Vendas B</x:v>
      </x:c>
      <x:c r="H15" s="129" t="n">
        <x:v>44837</x:v>
      </x:c>
      <x:c r="I15" s="130" t="n">
        <x:v>4100</x:v>
      </x:c>
      <x:c r="J15" s="128" t="n">
        <x:v>220</x:v>
      </x:c>
      <x:c r="K15" s="128" t="n">
        <x:v>0</x:v>
      </x:c>
      <x:c r="L15" s="130" t="n">
        <x:v>260</x:v>
      </x:c>
      <x:c r="M15" s="130" t="n">
        <x:v>120</x:v>
      </x:c>
      <x:c r="N15" s="130" t="n">
        <x:v>180</x:v>
      </x:c>
      <x:c r="O15" s="130" t="n">
        <x:v>0</x:v>
      </x:c>
      <x:c r="P15" s="128" t="str">
        <x:v>Casas prontas e usadas</x:v>
      </x:c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  <x:c r="AA15" s="85"/>
      <x:c r="AB15" s="85"/>
      <x:c r="AC15" s="85"/>
      <x:c r="AD15" s="85"/>
      <x:c r="AE15" s="85"/>
      <x:c r="AF15" s="85"/>
      <x:c r="AG15" s="85"/>
      <x:c r="AH15" s="85"/>
      <x:c r="AI15" s="85"/>
      <x:c r="AJ15" s="85"/>
    </x:row>
    <x:row r="16">
      <x:c r="A16" s="128" t="n">
        <x:v>1015</x:v>
      </x:c>
      <x:c r="B16" s="128" t="str">
        <x:v>Beatriz Souza</x:v>
      </x:c>
      <x:c r="C16" s="128" t="str">
        <x:v>111.222.333-15</x:v>
      </x:c>
      <x:c r="D16" s="128" t="str">
        <x:v>Ativo</x:v>
      </x:c>
      <x:c r="E16" s="128" t="str">
        <x:v>Analista de Pós-venda</x:v>
      </x:c>
      <x:c r="F16" s="128" t="str">
        <x:v>Pós-venda</x:v>
      </x:c>
      <x:c r="G16" s="128" t="str">
        <x:v>Relacionamento</x:v>
      </x:c>
      <x:c r="H16" s="129" t="n">
        <x:v>44970</x:v>
      </x:c>
      <x:c r="I16" s="130" t="n">
        <x:v>4500</x:v>
      </x:c>
      <x:c r="J16" s="128" t="n">
        <x:v>220</x:v>
      </x:c>
      <x:c r="K16" s="128" t="n">
        <x:v>1</x:v>
      </x:c>
      <x:c r="L16" s="130" t="n">
        <x:v>220</x:v>
      </x:c>
      <x:c r="M16" s="130" t="n">
        <x:v>120</x:v>
      </x:c>
      <x:c r="N16" s="130" t="n">
        <x:v>180</x:v>
      </x:c>
      <x:c r="O16" s="130" t="n">
        <x:v>0</x:v>
      </x:c>
      <x:c r="P16" s="128" t="str">
        <x:v>Entrega e relacionamento</x:v>
      </x:c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  <x:c r="AA16" s="85"/>
      <x:c r="AB16" s="85"/>
      <x:c r="AC16" s="85"/>
      <x:c r="AD16" s="85"/>
      <x:c r="AE16" s="85"/>
      <x:c r="AF16" s="85"/>
      <x:c r="AG16" s="85"/>
      <x:c r="AH16" s="85"/>
      <x:c r="AI16" s="85"/>
      <x:c r="AJ16" s="85"/>
    </x:row>
    <x:row r="17">
      <x:c r="A17" s="128" t="n">
        <x:v>1016</x:v>
      </x:c>
      <x:c r="B17" s="128" t="str">
        <x:v>Eduardo Melo</x:v>
      </x:c>
      <x:c r="C17" s="128" t="str">
        <x:v>111.222.333-16</x:v>
      </x:c>
      <x:c r="D17" s="128" t="str">
        <x:v>Ativo</x:v>
      </x:c>
      <x:c r="E17" s="128" t="str">
        <x:v>Supervisor de Plantão</x:v>
      </x:c>
      <x:c r="F17" s="128" t="str">
        <x:v>Comercial</x:v>
      </x:c>
      <x:c r="G17" s="128" t="str">
        <x:v>Plantões</x:v>
      </x:c>
      <x:c r="H17" s="129" t="n">
        <x:v>45124</x:v>
      </x:c>
      <x:c r="I17" s="130" t="n">
        <x:v>6200</x:v>
      </x:c>
      <x:c r="J17" s="128" t="n">
        <x:v>220</x:v>
      </x:c>
      <x:c r="K17" s="128" t="n">
        <x:v>0</x:v>
      </x:c>
      <x:c r="L17" s="130" t="n">
        <x:v>300</x:v>
      </x:c>
      <x:c r="M17" s="130" t="n">
        <x:v>150</x:v>
      </x:c>
      <x:c r="N17" s="130" t="n">
        <x:v>220</x:v>
      </x:c>
      <x:c r="O17" s="130" t="n">
        <x:v>0</x:v>
      </x:c>
      <x:c r="P17" s="128" t="str">
        <x:v>Escalas e plantões</x:v>
      </x:c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  <x:c r="AA17" s="85"/>
      <x:c r="AB17" s="85"/>
      <x:c r="AC17" s="85"/>
      <x:c r="AD17" s="85"/>
      <x:c r="AE17" s="85"/>
      <x:c r="AF17" s="85"/>
      <x:c r="AG17" s="85"/>
      <x:c r="AH17" s="85"/>
      <x:c r="AI17" s="85"/>
      <x:c r="AJ17" s="85"/>
    </x:row>
    <x:row r="18">
      <x:c r="A18" s="128" t="n">
        <x:v>1017</x:v>
      </x:c>
      <x:c r="B18" s="128" t="str">
        <x:v>Larissa Campos</x:v>
      </x:c>
      <x:c r="C18" s="128" t="str">
        <x:v>111.222.333-17</x:v>
      </x:c>
      <x:c r="D18" s="128" t="str">
        <x:v>Férias</x:v>
      </x:c>
      <x:c r="E18" s="128" t="str">
        <x:v>Consultora de Vendas</x:v>
      </x:c>
      <x:c r="F18" s="128" t="str">
        <x:v>Comercial</x:v>
      </x:c>
      <x:c r="G18" s="128" t="str">
        <x:v>Vendas C</x:v>
      </x:c>
      <x:c r="H18" s="129" t="n">
        <x:v>45299</x:v>
      </x:c>
      <x:c r="I18" s="130" t="n">
        <x:v>4000</x:v>
      </x:c>
      <x:c r="J18" s="128" t="n">
        <x:v>220</x:v>
      </x:c>
      <x:c r="K18" s="128" t="n">
        <x:v>0</x:v>
      </x:c>
      <x:c r="L18" s="130" t="n">
        <x:v>250</x:v>
      </x:c>
      <x:c r="M18" s="130" t="n">
        <x:v>120</x:v>
      </x:c>
      <x:c r="N18" s="130" t="n">
        <x:v>180</x:v>
      </x:c>
      <x:c r="O18" s="130" t="n">
        <x:v>0</x:v>
      </x:c>
      <x:c r="P18" s="128" t="str">
        <x:v>Em férias na competência</x:v>
      </x:c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  <x:c r="AA18" s="85"/>
      <x:c r="AB18" s="85"/>
      <x:c r="AC18" s="85"/>
      <x:c r="AD18" s="85"/>
      <x:c r="AE18" s="85"/>
      <x:c r="AF18" s="85"/>
      <x:c r="AG18" s="85"/>
      <x:c r="AH18" s="85"/>
      <x:c r="AI18" s="85"/>
      <x:c r="AJ18" s="85"/>
    </x:row>
    <x:row r="19">
      <x:c r="A19" s="128" t="n">
        <x:v>1018</x:v>
      </x:c>
      <x:c r="B19" s="128" t="str">
        <x:v>Thiago Pinto</x:v>
      </x:c>
      <x:c r="C19" s="128" t="str">
        <x:v>111.222.333-18</x:v>
      </x:c>
      <x:c r="D19" s="128" t="str">
        <x:v>Ativo</x:v>
      </x:c>
      <x:c r="E19" s="128" t="str">
        <x:v>Assistente Financeiro</x:v>
      </x:c>
      <x:c r="F19" s="128" t="str">
        <x:v>Financeiro</x:v>
      </x:c>
      <x:c r="G19" s="128" t="str">
        <x:v>Financeiro</x:v>
      </x:c>
      <x:c r="H19" s="129" t="n">
        <x:v>45453</x:v>
      </x:c>
      <x:c r="I19" s="130" t="n">
        <x:v>3200</x:v>
      </x:c>
      <x:c r="J19" s="128" t="n">
        <x:v>220</x:v>
      </x:c>
      <x:c r="K19" s="128" t="n">
        <x:v>0</x:v>
      </x:c>
      <x:c r="L19" s="130" t="n">
        <x:v>180</x:v>
      </x:c>
      <x:c r="M19" s="130" t="n">
        <x:v>100</x:v>
      </x:c>
      <x:c r="N19" s="130" t="n">
        <x:v>150</x:v>
      </x:c>
      <x:c r="O19" s="130" t="n">
        <x:v>0</x:v>
      </x:c>
      <x:c r="P19" s="128" t="str">
        <x:v>Apoio financeiro</x:v>
      </x:c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  <x:c r="AA19" s="85"/>
      <x:c r="AB19" s="85"/>
      <x:c r="AC19" s="85"/>
      <x:c r="AD19" s="85"/>
      <x:c r="AE19" s="85"/>
      <x:c r="AF19" s="85"/>
      <x:c r="AG19" s="85"/>
      <x:c r="AH19" s="85"/>
      <x:c r="AI19" s="85"/>
      <x:c r="AJ19" s="85"/>
    </x:row>
    <x:row r="20">
      <x:c r="A20" s="128" t="n">
        <x:v>1019</x:v>
      </x:c>
      <x:c r="B20" s="128" t="str">
        <x:v>Natalia Freitas</x:v>
      </x:c>
      <x:c r="C20" s="128" t="str">
        <x:v>111.222.333-19</x:v>
      </x:c>
      <x:c r="D20" s="128" t="str">
        <x:v>Ativo</x:v>
      </x:c>
      <x:c r="E20" s="128" t="str">
        <x:v>Assistente de RH</x:v>
      </x:c>
      <x:c r="F20" s="128" t="str">
        <x:v>RH</x:v>
      </x:c>
      <x:c r="G20" s="128" t="str">
        <x:v>Pessoas</x:v>
      </x:c>
      <x:c r="H20" s="129" t="n">
        <x:v>45691</x:v>
      </x:c>
      <x:c r="I20" s="130" t="n">
        <x:v>3100</x:v>
      </x:c>
      <x:c r="J20" s="128" t="n">
        <x:v>220</x:v>
      </x:c>
      <x:c r="K20" s="128" t="n">
        <x:v>0</x:v>
      </x:c>
      <x:c r="L20" s="130" t="n">
        <x:v>180</x:v>
      </x:c>
      <x:c r="M20" s="130" t="n">
        <x:v>100</x:v>
      </x:c>
      <x:c r="N20" s="130" t="n">
        <x:v>150</x:v>
      </x:c>
      <x:c r="O20" s="130" t="n">
        <x:v>0</x:v>
      </x:c>
      <x:c r="P20" s="128" t="str">
        <x:v>Ponto e benefícios</x:v>
      </x:c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  <x:c r="AA20" s="85"/>
      <x:c r="AB20" s="85"/>
      <x:c r="AC20" s="85"/>
      <x:c r="AD20" s="85"/>
      <x:c r="AE20" s="85"/>
      <x:c r="AF20" s="85"/>
      <x:c r="AG20" s="85"/>
      <x:c r="AH20" s="85"/>
      <x:c r="AI20" s="85"/>
      <x:c r="AJ20" s="85"/>
    </x:row>
    <x:row r="21">
      <x:c r="A21" s="128" t="n">
        <x:v>1020</x:v>
      </x:c>
      <x:c r="B21" s="128" t="str">
        <x:v>Felipe Cardoso</x:v>
      </x:c>
      <x:c r="C21" s="128" t="str">
        <x:v>111.222.333-20</x:v>
      </x:c>
      <x:c r="D21" s="128" t="str">
        <x:v>Ativo</x:v>
      </x:c>
      <x:c r="E21" s="128" t="str">
        <x:v>Consultor de Vendas</x:v>
      </x:c>
      <x:c r="F21" s="128" t="str">
        <x:v>Comercial</x:v>
      </x:c>
      <x:c r="G21" s="128" t="str">
        <x:v>Vendas A</x:v>
      </x:c>
      <x:c r="H21" s="129" t="n">
        <x:v>45915</x:v>
      </x:c>
      <x:c r="I21" s="130" t="n">
        <x:v>3900</x:v>
      </x:c>
      <x:c r="J21" s="128" t="n">
        <x:v>220</x:v>
      </x:c>
      <x:c r="K21" s="128" t="n">
        <x:v>0</x:v>
      </x:c>
      <x:c r="L21" s="130" t="n">
        <x:v>240</x:v>
      </x:c>
      <x:c r="M21" s="130" t="n">
        <x:v>120</x:v>
      </x:c>
      <x:c r="N21" s="130" t="n">
        <x:v>180</x:v>
      </x:c>
      <x:c r="O21" s="130" t="n">
        <x:v>0</x:v>
      </x:c>
      <x:c r="P21" s="128" t="str">
        <x:v>Vendas residenciais</x:v>
      </x:c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  <x:c r="AA21" s="85"/>
      <x:c r="AB21" s="85"/>
      <x:c r="AC21" s="85"/>
      <x:c r="AD21" s="85"/>
      <x:c r="AE21" s="85"/>
      <x:c r="AF21" s="85"/>
      <x:c r="AG21" s="85"/>
      <x:c r="AH21" s="85"/>
      <x:c r="AI21" s="85"/>
      <x:c r="AJ21" s="85"/>
    </x:row>
    <x:row r="22">
      <x:c r="A22" s="86"/>
      <x:c r="B22" s="86"/>
      <x:c r="C22" s="86"/>
      <x:c r="D22" s="86"/>
      <x:c r="E22" s="86"/>
      <x:c r="F22" s="86"/>
      <x:c r="G22" s="86"/>
      <x:c r="H22" s="87"/>
      <x:c r="I22" s="88"/>
      <x:c r="J22" s="86"/>
      <x:c r="K22" s="86"/>
      <x:c r="L22" s="88"/>
      <x:c r="M22" s="88"/>
      <x:c r="N22" s="88"/>
      <x:c r="O22" s="88"/>
      <x:c r="P22" s="86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  <x:c r="AA22" s="85"/>
      <x:c r="AB22" s="85"/>
      <x:c r="AC22" s="85"/>
      <x:c r="AD22" s="85"/>
      <x:c r="AE22" s="85"/>
      <x:c r="AF22" s="85"/>
      <x:c r="AG22" s="85"/>
      <x:c r="AH22" s="85"/>
      <x:c r="AI22" s="85"/>
      <x:c r="AJ22" s="85"/>
    </x:row>
    <x:row r="23">
      <x:c r="A23" s="86"/>
      <x:c r="B23" s="86"/>
      <x:c r="C23" s="86"/>
      <x:c r="D23" s="86"/>
      <x:c r="E23" s="86"/>
      <x:c r="F23" s="86"/>
      <x:c r="G23" s="86"/>
      <x:c r="H23" s="87"/>
      <x:c r="I23" s="88"/>
      <x:c r="J23" s="86"/>
      <x:c r="K23" s="86"/>
      <x:c r="L23" s="88"/>
      <x:c r="M23" s="88"/>
      <x:c r="N23" s="88"/>
      <x:c r="O23" s="88"/>
      <x:c r="P23" s="86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  <x:c r="AA23" s="85"/>
      <x:c r="AB23" s="85"/>
      <x:c r="AC23" s="85"/>
      <x:c r="AD23" s="85"/>
      <x:c r="AE23" s="85"/>
      <x:c r="AF23" s="85"/>
      <x:c r="AG23" s="85"/>
      <x:c r="AH23" s="85"/>
      <x:c r="AI23" s="85"/>
      <x:c r="AJ23" s="85"/>
    </x:row>
    <x:row r="24">
      <x:c r="A24" s="86"/>
      <x:c r="B24" s="86"/>
      <x:c r="C24" s="86"/>
      <x:c r="D24" s="86"/>
      <x:c r="E24" s="86"/>
      <x:c r="F24" s="86"/>
      <x:c r="G24" s="86"/>
      <x:c r="H24" s="87"/>
      <x:c r="I24" s="88"/>
      <x:c r="J24" s="86"/>
      <x:c r="K24" s="86"/>
      <x:c r="L24" s="88"/>
      <x:c r="M24" s="88"/>
      <x:c r="N24" s="88"/>
      <x:c r="O24" s="88"/>
      <x:c r="P24" s="86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  <x:c r="AA24" s="85"/>
      <x:c r="AB24" s="85"/>
      <x:c r="AC24" s="85"/>
      <x:c r="AD24" s="85"/>
      <x:c r="AE24" s="85"/>
      <x:c r="AF24" s="85"/>
      <x:c r="AG24" s="85"/>
      <x:c r="AH24" s="85"/>
      <x:c r="AI24" s="85"/>
      <x:c r="AJ24" s="85"/>
    </x:row>
    <x:row r="25">
      <x:c r="A25" s="86"/>
      <x:c r="B25" s="86"/>
      <x:c r="C25" s="86"/>
      <x:c r="D25" s="86"/>
      <x:c r="E25" s="86"/>
      <x:c r="F25" s="86"/>
      <x:c r="G25" s="86"/>
      <x:c r="H25" s="87"/>
      <x:c r="I25" s="88"/>
      <x:c r="J25" s="86"/>
      <x:c r="K25" s="86"/>
      <x:c r="L25" s="88"/>
      <x:c r="M25" s="88"/>
      <x:c r="N25" s="88"/>
      <x:c r="O25" s="88"/>
      <x:c r="P25" s="86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  <x:c r="AA25" s="85"/>
      <x:c r="AB25" s="85"/>
      <x:c r="AC25" s="85"/>
      <x:c r="AD25" s="85"/>
      <x:c r="AE25" s="85"/>
      <x:c r="AF25" s="85"/>
      <x:c r="AG25" s="85"/>
      <x:c r="AH25" s="85"/>
      <x:c r="AI25" s="85"/>
      <x:c r="AJ25" s="85"/>
    </x:row>
    <x:row r="26">
      <x:c r="A26" s="86"/>
      <x:c r="B26" s="86"/>
      <x:c r="C26" s="86"/>
      <x:c r="D26" s="86"/>
      <x:c r="E26" s="86"/>
      <x:c r="F26" s="86"/>
      <x:c r="G26" s="86"/>
      <x:c r="H26" s="87"/>
      <x:c r="I26" s="88"/>
      <x:c r="J26" s="86"/>
      <x:c r="K26" s="86"/>
      <x:c r="L26" s="88"/>
      <x:c r="M26" s="88"/>
      <x:c r="N26" s="88"/>
      <x:c r="O26" s="88"/>
      <x:c r="P26" s="86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  <x:c r="AA26" s="85"/>
      <x:c r="AB26" s="85"/>
      <x:c r="AC26" s="85"/>
      <x:c r="AD26" s="85"/>
      <x:c r="AE26" s="85"/>
      <x:c r="AF26" s="85"/>
      <x:c r="AG26" s="85"/>
      <x:c r="AH26" s="85"/>
      <x:c r="AI26" s="85"/>
      <x:c r="AJ26" s="85"/>
    </x:row>
    <x:row r="27">
      <x:c r="A27" s="86"/>
      <x:c r="B27" s="86"/>
      <x:c r="C27" s="86"/>
      <x:c r="D27" s="86"/>
      <x:c r="E27" s="86"/>
      <x:c r="F27" s="86"/>
      <x:c r="G27" s="86"/>
      <x:c r="H27" s="87"/>
      <x:c r="I27" s="88"/>
      <x:c r="J27" s="86"/>
      <x:c r="K27" s="86"/>
      <x:c r="L27" s="88"/>
      <x:c r="M27" s="88"/>
      <x:c r="N27" s="88"/>
      <x:c r="O27" s="88"/>
      <x:c r="P27" s="86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  <x:c r="AA27" s="85"/>
      <x:c r="AB27" s="85"/>
      <x:c r="AC27" s="85"/>
      <x:c r="AD27" s="85"/>
      <x:c r="AE27" s="85"/>
      <x:c r="AF27" s="85"/>
      <x:c r="AG27" s="85"/>
      <x:c r="AH27" s="85"/>
      <x:c r="AI27" s="85"/>
      <x:c r="AJ27" s="85"/>
    </x:row>
    <x:row r="28">
      <x:c r="A28" s="86"/>
      <x:c r="B28" s="86"/>
      <x:c r="C28" s="86"/>
      <x:c r="D28" s="86"/>
      <x:c r="E28" s="86"/>
      <x:c r="F28" s="86"/>
      <x:c r="G28" s="86"/>
      <x:c r="H28" s="87"/>
      <x:c r="I28" s="88"/>
      <x:c r="J28" s="86"/>
      <x:c r="K28" s="86"/>
      <x:c r="L28" s="88"/>
      <x:c r="M28" s="88"/>
      <x:c r="N28" s="88"/>
      <x:c r="O28" s="88"/>
      <x:c r="P28" s="86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  <x:c r="AA28" s="85"/>
      <x:c r="AB28" s="85"/>
      <x:c r="AC28" s="85"/>
      <x:c r="AD28" s="85"/>
      <x:c r="AE28" s="85"/>
      <x:c r="AF28" s="85"/>
      <x:c r="AG28" s="85"/>
      <x:c r="AH28" s="85"/>
      <x:c r="AI28" s="85"/>
      <x:c r="AJ28" s="85"/>
    </x:row>
    <x:row r="29">
      <x:c r="A29" s="86"/>
      <x:c r="B29" s="86"/>
      <x:c r="C29" s="86"/>
      <x:c r="D29" s="86"/>
      <x:c r="E29" s="86"/>
      <x:c r="F29" s="86"/>
      <x:c r="G29" s="86"/>
      <x:c r="H29" s="87"/>
      <x:c r="I29" s="88"/>
      <x:c r="J29" s="86"/>
      <x:c r="K29" s="86"/>
      <x:c r="L29" s="88"/>
      <x:c r="M29" s="88"/>
      <x:c r="N29" s="88"/>
      <x:c r="O29" s="88"/>
      <x:c r="P29" s="86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  <x:c r="AA29" s="85"/>
      <x:c r="AB29" s="85"/>
      <x:c r="AC29" s="85"/>
      <x:c r="AD29" s="85"/>
      <x:c r="AE29" s="85"/>
      <x:c r="AF29" s="85"/>
      <x:c r="AG29" s="85"/>
      <x:c r="AH29" s="85"/>
      <x:c r="AI29" s="85"/>
      <x:c r="AJ29" s="85"/>
    </x:row>
    <x:row r="30">
      <x:c r="A30" s="86"/>
      <x:c r="B30" s="86"/>
      <x:c r="C30" s="86"/>
      <x:c r="D30" s="86"/>
      <x:c r="E30" s="86"/>
      <x:c r="F30" s="86"/>
      <x:c r="G30" s="86"/>
      <x:c r="H30" s="87"/>
      <x:c r="I30" s="88"/>
      <x:c r="J30" s="86"/>
      <x:c r="K30" s="86"/>
      <x:c r="L30" s="88"/>
      <x:c r="M30" s="88"/>
      <x:c r="N30" s="88"/>
      <x:c r="O30" s="88"/>
      <x:c r="P30" s="86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  <x:c r="AA30" s="85"/>
      <x:c r="AB30" s="85"/>
      <x:c r="AC30" s="85"/>
      <x:c r="AD30" s="85"/>
      <x:c r="AE30" s="85"/>
      <x:c r="AF30" s="85"/>
      <x:c r="AG30" s="85"/>
      <x:c r="AH30" s="85"/>
      <x:c r="AI30" s="85"/>
      <x:c r="AJ30" s="85"/>
    </x:row>
    <x:row r="31">
      <x:c r="A31" s="86"/>
      <x:c r="B31" s="86"/>
      <x:c r="C31" s="86"/>
      <x:c r="D31" s="86"/>
      <x:c r="E31" s="86"/>
      <x:c r="F31" s="86"/>
      <x:c r="G31" s="86"/>
      <x:c r="H31" s="87"/>
      <x:c r="I31" s="88"/>
      <x:c r="J31" s="86"/>
      <x:c r="K31" s="86"/>
      <x:c r="L31" s="88"/>
      <x:c r="M31" s="88"/>
      <x:c r="N31" s="88"/>
      <x:c r="O31" s="88"/>
      <x:c r="P31" s="86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  <x:c r="AA31" s="85"/>
      <x:c r="AB31" s="85"/>
      <x:c r="AC31" s="85"/>
      <x:c r="AD31" s="85"/>
      <x:c r="AE31" s="85"/>
      <x:c r="AF31" s="85"/>
      <x:c r="AG31" s="85"/>
      <x:c r="AH31" s="85"/>
      <x:c r="AI31" s="85"/>
      <x:c r="AJ31" s="85"/>
    </x:row>
    <x:row r="32">
      <x:c r="A32" s="86"/>
      <x:c r="B32" s="86"/>
      <x:c r="C32" s="86"/>
      <x:c r="D32" s="86"/>
      <x:c r="E32" s="86"/>
      <x:c r="F32" s="86"/>
      <x:c r="G32" s="86"/>
      <x:c r="H32" s="87"/>
      <x:c r="I32" s="88"/>
      <x:c r="J32" s="86"/>
      <x:c r="K32" s="86"/>
      <x:c r="L32" s="88"/>
      <x:c r="M32" s="88"/>
      <x:c r="N32" s="88"/>
      <x:c r="O32" s="88"/>
      <x:c r="P32" s="86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  <x:c r="AA32" s="85"/>
      <x:c r="AB32" s="85"/>
      <x:c r="AC32" s="85"/>
      <x:c r="AD32" s="85"/>
      <x:c r="AE32" s="85"/>
      <x:c r="AF32" s="85"/>
      <x:c r="AG32" s="85"/>
      <x:c r="AH32" s="85"/>
      <x:c r="AI32" s="85"/>
      <x:c r="AJ32" s="85"/>
    </x:row>
    <x:row r="33">
      <x:c r="A33" s="86"/>
      <x:c r="B33" s="86"/>
      <x:c r="C33" s="86"/>
      <x:c r="D33" s="86"/>
      <x:c r="E33" s="86"/>
      <x:c r="F33" s="86"/>
      <x:c r="G33" s="86"/>
      <x:c r="H33" s="87"/>
      <x:c r="I33" s="88"/>
      <x:c r="J33" s="86"/>
      <x:c r="K33" s="86"/>
      <x:c r="L33" s="88"/>
      <x:c r="M33" s="88"/>
      <x:c r="N33" s="88"/>
      <x:c r="O33" s="88"/>
      <x:c r="P33" s="86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  <x:c r="AA33" s="85"/>
      <x:c r="AB33" s="85"/>
      <x:c r="AC33" s="85"/>
      <x:c r="AD33" s="85"/>
      <x:c r="AE33" s="85"/>
      <x:c r="AF33" s="85"/>
      <x:c r="AG33" s="85"/>
      <x:c r="AH33" s="85"/>
      <x:c r="AI33" s="85"/>
      <x:c r="AJ33" s="85"/>
    </x:row>
    <x:row r="34">
      <x:c r="A34" s="86"/>
      <x:c r="B34" s="86"/>
      <x:c r="C34" s="86"/>
      <x:c r="D34" s="86"/>
      <x:c r="E34" s="86"/>
      <x:c r="F34" s="86"/>
      <x:c r="G34" s="86"/>
      <x:c r="H34" s="87"/>
      <x:c r="I34" s="88"/>
      <x:c r="J34" s="86"/>
      <x:c r="K34" s="86"/>
      <x:c r="L34" s="88"/>
      <x:c r="M34" s="88"/>
      <x:c r="N34" s="88"/>
      <x:c r="O34" s="88"/>
      <x:c r="P34" s="86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  <x:c r="AA34" s="85"/>
      <x:c r="AB34" s="85"/>
      <x:c r="AC34" s="85"/>
      <x:c r="AD34" s="85"/>
      <x:c r="AE34" s="85"/>
      <x:c r="AF34" s="85"/>
      <x:c r="AG34" s="85"/>
      <x:c r="AH34" s="85"/>
      <x:c r="AI34" s="85"/>
      <x:c r="AJ34" s="85"/>
    </x:row>
    <x:row r="35">
      <x:c r="A35" s="86"/>
      <x:c r="B35" s="86"/>
      <x:c r="C35" s="86"/>
      <x:c r="D35" s="86"/>
      <x:c r="E35" s="86"/>
      <x:c r="F35" s="86"/>
      <x:c r="G35" s="86"/>
      <x:c r="H35" s="87"/>
      <x:c r="I35" s="88"/>
      <x:c r="J35" s="86"/>
      <x:c r="K35" s="86"/>
      <x:c r="L35" s="88"/>
      <x:c r="M35" s="88"/>
      <x:c r="N35" s="88"/>
      <x:c r="O35" s="88"/>
      <x:c r="P35" s="86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  <x:c r="AA35" s="85"/>
      <x:c r="AB35" s="85"/>
      <x:c r="AC35" s="85"/>
      <x:c r="AD35" s="85"/>
      <x:c r="AE35" s="85"/>
      <x:c r="AF35" s="85"/>
      <x:c r="AG35" s="85"/>
      <x:c r="AH35" s="85"/>
      <x:c r="AI35" s="85"/>
      <x:c r="AJ35" s="85"/>
    </x:row>
    <x:row r="36">
      <x:c r="A36" s="86"/>
      <x:c r="B36" s="86"/>
      <x:c r="C36" s="86"/>
      <x:c r="D36" s="86"/>
      <x:c r="E36" s="86"/>
      <x:c r="F36" s="86"/>
      <x:c r="G36" s="86"/>
      <x:c r="H36" s="87"/>
      <x:c r="I36" s="88"/>
      <x:c r="J36" s="86"/>
      <x:c r="K36" s="86"/>
      <x:c r="L36" s="88"/>
      <x:c r="M36" s="88"/>
      <x:c r="N36" s="88"/>
      <x:c r="O36" s="88"/>
      <x:c r="P36" s="86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  <x:c r="AA36" s="85"/>
      <x:c r="AB36" s="85"/>
      <x:c r="AC36" s="85"/>
      <x:c r="AD36" s="85"/>
      <x:c r="AE36" s="85"/>
      <x:c r="AF36" s="85"/>
      <x:c r="AG36" s="85"/>
      <x:c r="AH36" s="85"/>
      <x:c r="AI36" s="85"/>
      <x:c r="AJ36" s="85"/>
    </x:row>
    <x:row r="37">
      <x:c r="A37" s="86"/>
      <x:c r="B37" s="86"/>
      <x:c r="C37" s="86"/>
      <x:c r="D37" s="86"/>
      <x:c r="E37" s="86"/>
      <x:c r="F37" s="86"/>
      <x:c r="G37" s="86"/>
      <x:c r="H37" s="87"/>
      <x:c r="I37" s="88"/>
      <x:c r="J37" s="86"/>
      <x:c r="K37" s="86"/>
      <x:c r="L37" s="88"/>
      <x:c r="M37" s="88"/>
      <x:c r="N37" s="88"/>
      <x:c r="O37" s="88"/>
      <x:c r="P37" s="86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  <x:c r="AA37" s="85"/>
      <x:c r="AB37" s="85"/>
      <x:c r="AC37" s="85"/>
      <x:c r="AD37" s="85"/>
      <x:c r="AE37" s="85"/>
      <x:c r="AF37" s="85"/>
      <x:c r="AG37" s="85"/>
      <x:c r="AH37" s="85"/>
      <x:c r="AI37" s="85"/>
      <x:c r="AJ37" s="85"/>
    </x:row>
    <x:row r="38">
      <x:c r="A38" s="86"/>
      <x:c r="B38" s="86"/>
      <x:c r="C38" s="86"/>
      <x:c r="D38" s="86"/>
      <x:c r="E38" s="86"/>
      <x:c r="F38" s="86"/>
      <x:c r="G38" s="86"/>
      <x:c r="H38" s="87"/>
      <x:c r="I38" s="88"/>
      <x:c r="J38" s="86"/>
      <x:c r="K38" s="86"/>
      <x:c r="L38" s="88"/>
      <x:c r="M38" s="88"/>
      <x:c r="N38" s="88"/>
      <x:c r="O38" s="88"/>
      <x:c r="P38" s="86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  <x:c r="AA38" s="85"/>
      <x:c r="AB38" s="85"/>
      <x:c r="AC38" s="85"/>
      <x:c r="AD38" s="85"/>
      <x:c r="AE38" s="85"/>
      <x:c r="AF38" s="85"/>
      <x:c r="AG38" s="85"/>
      <x:c r="AH38" s="85"/>
      <x:c r="AI38" s="85"/>
      <x:c r="AJ38" s="85"/>
    </x:row>
    <x:row r="39">
      <x:c r="A39" s="86"/>
      <x:c r="B39" s="86"/>
      <x:c r="C39" s="86"/>
      <x:c r="D39" s="86"/>
      <x:c r="E39" s="86"/>
      <x:c r="F39" s="86"/>
      <x:c r="G39" s="86"/>
      <x:c r="H39" s="87"/>
      <x:c r="I39" s="88"/>
      <x:c r="J39" s="86"/>
      <x:c r="K39" s="86"/>
      <x:c r="L39" s="88"/>
      <x:c r="M39" s="88"/>
      <x:c r="N39" s="88"/>
      <x:c r="O39" s="88"/>
      <x:c r="P39" s="86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  <x:c r="AA39" s="85"/>
      <x:c r="AB39" s="85"/>
      <x:c r="AC39" s="85"/>
      <x:c r="AD39" s="85"/>
      <x:c r="AE39" s="85"/>
      <x:c r="AF39" s="85"/>
      <x:c r="AG39" s="85"/>
      <x:c r="AH39" s="85"/>
      <x:c r="AI39" s="85"/>
      <x:c r="AJ39" s="85"/>
    </x:row>
    <x:row r="40">
      <x:c r="A40" s="86"/>
      <x:c r="B40" s="86"/>
      <x:c r="C40" s="86"/>
      <x:c r="D40" s="86"/>
      <x:c r="E40" s="86"/>
      <x:c r="F40" s="86"/>
      <x:c r="G40" s="86"/>
      <x:c r="H40" s="87"/>
      <x:c r="I40" s="88"/>
      <x:c r="J40" s="86"/>
      <x:c r="K40" s="86"/>
      <x:c r="L40" s="88"/>
      <x:c r="M40" s="88"/>
      <x:c r="N40" s="88"/>
      <x:c r="O40" s="88"/>
      <x:c r="P40" s="86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  <x:c r="AA40" s="85"/>
      <x:c r="AB40" s="85"/>
      <x:c r="AC40" s="85"/>
      <x:c r="AD40" s="85"/>
      <x:c r="AE40" s="85"/>
      <x:c r="AF40" s="85"/>
      <x:c r="AG40" s="85"/>
      <x:c r="AH40" s="85"/>
      <x:c r="AI40" s="85"/>
      <x:c r="AJ40" s="85"/>
    </x:row>
    <x:row r="41">
      <x:c r="A41" s="86"/>
      <x:c r="B41" s="86"/>
      <x:c r="C41" s="86"/>
      <x:c r="D41" s="86"/>
      <x:c r="E41" s="86"/>
      <x:c r="F41" s="86"/>
      <x:c r="G41" s="86"/>
      <x:c r="H41" s="87"/>
      <x:c r="I41" s="88"/>
      <x:c r="J41" s="86"/>
      <x:c r="K41" s="86"/>
      <x:c r="L41" s="88"/>
      <x:c r="M41" s="88"/>
      <x:c r="N41" s="88"/>
      <x:c r="O41" s="88"/>
      <x:c r="P41" s="86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  <x:c r="AA41" s="85"/>
      <x:c r="AB41" s="85"/>
      <x:c r="AC41" s="85"/>
      <x:c r="AD41" s="85"/>
      <x:c r="AE41" s="85"/>
      <x:c r="AF41" s="85"/>
      <x:c r="AG41" s="85"/>
      <x:c r="AH41" s="85"/>
      <x:c r="AI41" s="85"/>
      <x:c r="AJ41" s="85"/>
    </x:row>
    <x:row r="42">
      <x:c r="A42" s="86"/>
      <x:c r="B42" s="86"/>
      <x:c r="C42" s="86"/>
      <x:c r="D42" s="86"/>
      <x:c r="E42" s="86"/>
      <x:c r="F42" s="86"/>
      <x:c r="G42" s="86"/>
      <x:c r="H42" s="87"/>
      <x:c r="I42" s="88"/>
      <x:c r="J42" s="86"/>
      <x:c r="K42" s="86"/>
      <x:c r="L42" s="88"/>
      <x:c r="M42" s="88"/>
      <x:c r="N42" s="88"/>
      <x:c r="O42" s="88"/>
      <x:c r="P42" s="86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  <x:c r="AA42" s="85"/>
      <x:c r="AB42" s="85"/>
      <x:c r="AC42" s="85"/>
      <x:c r="AD42" s="85"/>
      <x:c r="AE42" s="85"/>
      <x:c r="AF42" s="85"/>
      <x:c r="AG42" s="85"/>
      <x:c r="AH42" s="85"/>
      <x:c r="AI42" s="85"/>
      <x:c r="AJ42" s="85"/>
    </x:row>
    <x:row r="43">
      <x:c r="A43" s="86"/>
      <x:c r="B43" s="86"/>
      <x:c r="C43" s="86"/>
      <x:c r="D43" s="86"/>
      <x:c r="E43" s="86"/>
      <x:c r="F43" s="86"/>
      <x:c r="G43" s="86"/>
      <x:c r="H43" s="87"/>
      <x:c r="I43" s="88"/>
      <x:c r="J43" s="86"/>
      <x:c r="K43" s="86"/>
      <x:c r="L43" s="88"/>
      <x:c r="M43" s="88"/>
      <x:c r="N43" s="88"/>
      <x:c r="O43" s="88"/>
      <x:c r="P43" s="86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  <x:c r="AA43" s="85"/>
      <x:c r="AB43" s="85"/>
      <x:c r="AC43" s="85"/>
      <x:c r="AD43" s="85"/>
      <x:c r="AE43" s="85"/>
      <x:c r="AF43" s="85"/>
      <x:c r="AG43" s="85"/>
      <x:c r="AH43" s="85"/>
      <x:c r="AI43" s="85"/>
      <x:c r="AJ43" s="85"/>
    </x:row>
    <x:row r="44">
      <x:c r="A44" s="86"/>
      <x:c r="B44" s="86"/>
      <x:c r="C44" s="86"/>
      <x:c r="D44" s="86"/>
      <x:c r="E44" s="86"/>
      <x:c r="F44" s="86"/>
      <x:c r="G44" s="86"/>
      <x:c r="H44" s="87"/>
      <x:c r="I44" s="88"/>
      <x:c r="J44" s="86"/>
      <x:c r="K44" s="86"/>
      <x:c r="L44" s="88"/>
      <x:c r="M44" s="88"/>
      <x:c r="N44" s="88"/>
      <x:c r="O44" s="88"/>
      <x:c r="P44" s="86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  <x:c r="AA44" s="85"/>
      <x:c r="AB44" s="85"/>
      <x:c r="AC44" s="85"/>
      <x:c r="AD44" s="85"/>
      <x:c r="AE44" s="85"/>
      <x:c r="AF44" s="85"/>
      <x:c r="AG44" s="85"/>
      <x:c r="AH44" s="85"/>
      <x:c r="AI44" s="85"/>
      <x:c r="AJ44" s="85"/>
    </x:row>
    <x:row r="45">
      <x:c r="A45" s="86"/>
      <x:c r="B45" s="86"/>
      <x:c r="C45" s="86"/>
      <x:c r="D45" s="86"/>
      <x:c r="E45" s="86"/>
      <x:c r="F45" s="86"/>
      <x:c r="G45" s="86"/>
      <x:c r="H45" s="87"/>
      <x:c r="I45" s="88"/>
      <x:c r="J45" s="86"/>
      <x:c r="K45" s="86"/>
      <x:c r="L45" s="88"/>
      <x:c r="M45" s="88"/>
      <x:c r="N45" s="88"/>
      <x:c r="O45" s="88"/>
      <x:c r="P45" s="86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  <x:c r="AA45" s="85"/>
      <x:c r="AB45" s="85"/>
      <x:c r="AC45" s="85"/>
      <x:c r="AD45" s="85"/>
      <x:c r="AE45" s="85"/>
      <x:c r="AF45" s="85"/>
      <x:c r="AG45" s="85"/>
      <x:c r="AH45" s="85"/>
      <x:c r="AI45" s="85"/>
      <x:c r="AJ45" s="85"/>
    </x:row>
    <x:row r="46">
      <x:c r="A46" s="86"/>
      <x:c r="B46" s="86"/>
      <x:c r="C46" s="86"/>
      <x:c r="D46" s="86"/>
      <x:c r="E46" s="86"/>
      <x:c r="F46" s="86"/>
      <x:c r="G46" s="86"/>
      <x:c r="H46" s="87"/>
      <x:c r="I46" s="88"/>
      <x:c r="J46" s="86"/>
      <x:c r="K46" s="86"/>
      <x:c r="L46" s="88"/>
      <x:c r="M46" s="88"/>
      <x:c r="N46" s="88"/>
      <x:c r="O46" s="88"/>
      <x:c r="P46" s="86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  <x:c r="AA46" s="85"/>
      <x:c r="AB46" s="85"/>
      <x:c r="AC46" s="85"/>
      <x:c r="AD46" s="85"/>
      <x:c r="AE46" s="85"/>
      <x:c r="AF46" s="85"/>
      <x:c r="AG46" s="85"/>
      <x:c r="AH46" s="85"/>
      <x:c r="AI46" s="85"/>
      <x:c r="AJ46" s="85"/>
    </x:row>
    <x:row r="47">
      <x:c r="A47" s="86"/>
      <x:c r="B47" s="86"/>
      <x:c r="C47" s="86"/>
      <x:c r="D47" s="86"/>
      <x:c r="E47" s="86"/>
      <x:c r="F47" s="86"/>
      <x:c r="G47" s="86"/>
      <x:c r="H47" s="87"/>
      <x:c r="I47" s="88"/>
      <x:c r="J47" s="86"/>
      <x:c r="K47" s="86"/>
      <x:c r="L47" s="88"/>
      <x:c r="M47" s="88"/>
      <x:c r="N47" s="88"/>
      <x:c r="O47" s="88"/>
      <x:c r="P47" s="86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  <x:c r="AA47" s="85"/>
      <x:c r="AB47" s="85"/>
      <x:c r="AC47" s="85"/>
      <x:c r="AD47" s="85"/>
      <x:c r="AE47" s="85"/>
      <x:c r="AF47" s="85"/>
      <x:c r="AG47" s="85"/>
      <x:c r="AH47" s="85"/>
      <x:c r="AI47" s="85"/>
      <x:c r="AJ47" s="85"/>
    </x:row>
    <x:row r="48">
      <x:c r="A48" s="86"/>
      <x:c r="B48" s="86"/>
      <x:c r="C48" s="86"/>
      <x:c r="D48" s="86"/>
      <x:c r="E48" s="86"/>
      <x:c r="F48" s="86"/>
      <x:c r="G48" s="86"/>
      <x:c r="H48" s="87"/>
      <x:c r="I48" s="88"/>
      <x:c r="J48" s="86"/>
      <x:c r="K48" s="86"/>
      <x:c r="L48" s="88"/>
      <x:c r="M48" s="88"/>
      <x:c r="N48" s="88"/>
      <x:c r="O48" s="88"/>
      <x:c r="P48" s="86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  <x:c r="AA48" s="85"/>
      <x:c r="AB48" s="85"/>
      <x:c r="AC48" s="85"/>
      <x:c r="AD48" s="85"/>
      <x:c r="AE48" s="85"/>
      <x:c r="AF48" s="85"/>
      <x:c r="AG48" s="85"/>
      <x:c r="AH48" s="85"/>
      <x:c r="AI48" s="85"/>
      <x:c r="AJ48" s="85"/>
    </x:row>
    <x:row r="49">
      <x:c r="A49" s="86"/>
      <x:c r="B49" s="86"/>
      <x:c r="C49" s="86"/>
      <x:c r="D49" s="86"/>
      <x:c r="E49" s="86"/>
      <x:c r="F49" s="86"/>
      <x:c r="G49" s="86"/>
      <x:c r="H49" s="87"/>
      <x:c r="I49" s="88"/>
      <x:c r="J49" s="86"/>
      <x:c r="K49" s="86"/>
      <x:c r="L49" s="88"/>
      <x:c r="M49" s="88"/>
      <x:c r="N49" s="88"/>
      <x:c r="O49" s="88"/>
      <x:c r="P49" s="86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  <x:c r="AA49" s="85"/>
      <x:c r="AB49" s="85"/>
      <x:c r="AC49" s="85"/>
      <x:c r="AD49" s="85"/>
      <x:c r="AE49" s="85"/>
      <x:c r="AF49" s="85"/>
      <x:c r="AG49" s="85"/>
      <x:c r="AH49" s="85"/>
      <x:c r="AI49" s="85"/>
      <x:c r="AJ49" s="85"/>
    </x:row>
    <x:row r="50">
      <x:c r="A50" s="86"/>
      <x:c r="B50" s="86"/>
      <x:c r="C50" s="86"/>
      <x:c r="D50" s="86"/>
      <x:c r="E50" s="86"/>
      <x:c r="F50" s="86"/>
      <x:c r="G50" s="86"/>
      <x:c r="H50" s="87"/>
      <x:c r="I50" s="88"/>
      <x:c r="J50" s="86"/>
      <x:c r="K50" s="86"/>
      <x:c r="L50" s="88"/>
      <x:c r="M50" s="88"/>
      <x:c r="N50" s="88"/>
      <x:c r="O50" s="88"/>
      <x:c r="P50" s="86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  <x:c r="AA50" s="85"/>
      <x:c r="AB50" s="85"/>
      <x:c r="AC50" s="85"/>
      <x:c r="AD50" s="85"/>
      <x:c r="AE50" s="85"/>
      <x:c r="AF50" s="85"/>
      <x:c r="AG50" s="85"/>
      <x:c r="AH50" s="85"/>
      <x:c r="AI50" s="85"/>
      <x:c r="AJ50" s="85"/>
    </x:row>
    <x:row r="51">
      <x:c r="A51" s="86"/>
      <x:c r="B51" s="86"/>
      <x:c r="C51" s="86"/>
      <x:c r="D51" s="86"/>
      <x:c r="E51" s="86"/>
      <x:c r="F51" s="86"/>
      <x:c r="G51" s="86"/>
      <x:c r="H51" s="87"/>
      <x:c r="I51" s="88"/>
      <x:c r="J51" s="86"/>
      <x:c r="K51" s="86"/>
      <x:c r="L51" s="88"/>
      <x:c r="M51" s="88"/>
      <x:c r="N51" s="88"/>
      <x:c r="O51" s="88"/>
      <x:c r="P51" s="86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  <x:c r="AA51" s="85"/>
      <x:c r="AB51" s="85"/>
      <x:c r="AC51" s="85"/>
      <x:c r="AD51" s="85"/>
      <x:c r="AE51" s="85"/>
      <x:c r="AF51" s="85"/>
      <x:c r="AG51" s="85"/>
      <x:c r="AH51" s="85"/>
      <x:c r="AI51" s="85"/>
      <x:c r="AJ51" s="85"/>
    </x:row>
    <x:row r="52">
      <x:c r="A52" s="86"/>
      <x:c r="B52" s="86"/>
      <x:c r="C52" s="86"/>
      <x:c r="D52" s="86"/>
      <x:c r="E52" s="86"/>
      <x:c r="F52" s="86"/>
      <x:c r="G52" s="86"/>
      <x:c r="H52" s="87"/>
      <x:c r="I52" s="88"/>
      <x:c r="J52" s="86"/>
      <x:c r="K52" s="86"/>
      <x:c r="L52" s="88"/>
      <x:c r="M52" s="88"/>
      <x:c r="N52" s="88"/>
      <x:c r="O52" s="88"/>
      <x:c r="P52" s="86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  <x:c r="AA52" s="85"/>
      <x:c r="AB52" s="85"/>
      <x:c r="AC52" s="85"/>
      <x:c r="AD52" s="85"/>
      <x:c r="AE52" s="85"/>
      <x:c r="AF52" s="85"/>
      <x:c r="AG52" s="85"/>
      <x:c r="AH52" s="85"/>
      <x:c r="AI52" s="85"/>
      <x:c r="AJ52" s="85"/>
    </x:row>
    <x:row r="53">
      <x:c r="A53" s="86"/>
      <x:c r="B53" s="86"/>
      <x:c r="C53" s="86"/>
      <x:c r="D53" s="86"/>
      <x:c r="E53" s="86"/>
      <x:c r="F53" s="86"/>
      <x:c r="G53" s="86"/>
      <x:c r="H53" s="87"/>
      <x:c r="I53" s="88"/>
      <x:c r="J53" s="86"/>
      <x:c r="K53" s="86"/>
      <x:c r="L53" s="88"/>
      <x:c r="M53" s="88"/>
      <x:c r="N53" s="88"/>
      <x:c r="O53" s="88"/>
      <x:c r="P53" s="86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  <x:c r="AA53" s="85"/>
      <x:c r="AB53" s="85"/>
      <x:c r="AC53" s="85"/>
      <x:c r="AD53" s="85"/>
      <x:c r="AE53" s="85"/>
      <x:c r="AF53" s="85"/>
      <x:c r="AG53" s="85"/>
      <x:c r="AH53" s="85"/>
      <x:c r="AI53" s="85"/>
      <x:c r="AJ53" s="85"/>
    </x:row>
    <x:row r="54">
      <x:c r="A54" s="86"/>
      <x:c r="B54" s="86"/>
      <x:c r="C54" s="86"/>
      <x:c r="D54" s="86"/>
      <x:c r="E54" s="86"/>
      <x:c r="F54" s="86"/>
      <x:c r="G54" s="86"/>
      <x:c r="H54" s="87"/>
      <x:c r="I54" s="88"/>
      <x:c r="J54" s="86"/>
      <x:c r="K54" s="86"/>
      <x:c r="L54" s="88"/>
      <x:c r="M54" s="88"/>
      <x:c r="N54" s="88"/>
      <x:c r="O54" s="88"/>
      <x:c r="P54" s="86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  <x:c r="AA54" s="85"/>
      <x:c r="AB54" s="85"/>
      <x:c r="AC54" s="85"/>
      <x:c r="AD54" s="85"/>
      <x:c r="AE54" s="85"/>
      <x:c r="AF54" s="85"/>
      <x:c r="AG54" s="85"/>
      <x:c r="AH54" s="85"/>
      <x:c r="AI54" s="85"/>
      <x:c r="AJ54" s="85"/>
    </x:row>
    <x:row r="55">
      <x:c r="A55" s="86"/>
      <x:c r="B55" s="86"/>
      <x:c r="C55" s="86"/>
      <x:c r="D55" s="86"/>
      <x:c r="E55" s="86"/>
      <x:c r="F55" s="86"/>
      <x:c r="G55" s="86"/>
      <x:c r="H55" s="87"/>
      <x:c r="I55" s="88"/>
      <x:c r="J55" s="86"/>
      <x:c r="K55" s="86"/>
      <x:c r="L55" s="88"/>
      <x:c r="M55" s="88"/>
      <x:c r="N55" s="88"/>
      <x:c r="O55" s="88"/>
      <x:c r="P55" s="86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  <x:c r="AA55" s="85"/>
      <x:c r="AB55" s="85"/>
      <x:c r="AC55" s="85"/>
      <x:c r="AD55" s="85"/>
      <x:c r="AE55" s="85"/>
      <x:c r="AF55" s="85"/>
      <x:c r="AG55" s="85"/>
      <x:c r="AH55" s="85"/>
      <x:c r="AI55" s="85"/>
      <x:c r="AJ55" s="85"/>
    </x:row>
    <x:row r="56">
      <x:c r="A56" s="86"/>
      <x:c r="B56" s="86"/>
      <x:c r="C56" s="86"/>
      <x:c r="D56" s="86"/>
      <x:c r="E56" s="86"/>
      <x:c r="F56" s="86"/>
      <x:c r="G56" s="86"/>
      <x:c r="H56" s="87"/>
      <x:c r="I56" s="88"/>
      <x:c r="J56" s="86"/>
      <x:c r="K56" s="86"/>
      <x:c r="L56" s="88"/>
      <x:c r="M56" s="88"/>
      <x:c r="N56" s="88"/>
      <x:c r="O56" s="88"/>
      <x:c r="P56" s="86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  <x:c r="AA56" s="85"/>
      <x:c r="AB56" s="85"/>
      <x:c r="AC56" s="85"/>
      <x:c r="AD56" s="85"/>
      <x:c r="AE56" s="85"/>
      <x:c r="AF56" s="85"/>
      <x:c r="AG56" s="85"/>
      <x:c r="AH56" s="85"/>
      <x:c r="AI56" s="85"/>
      <x:c r="AJ56" s="85"/>
    </x:row>
    <x:row r="57">
      <x:c r="A57" s="86"/>
      <x:c r="B57" s="86"/>
      <x:c r="C57" s="86"/>
      <x:c r="D57" s="86"/>
      <x:c r="E57" s="86"/>
      <x:c r="F57" s="86"/>
      <x:c r="G57" s="86"/>
      <x:c r="H57" s="87"/>
      <x:c r="I57" s="88"/>
      <x:c r="J57" s="86"/>
      <x:c r="K57" s="86"/>
      <x:c r="L57" s="88"/>
      <x:c r="M57" s="88"/>
      <x:c r="N57" s="88"/>
      <x:c r="O57" s="88"/>
      <x:c r="P57" s="86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  <x:c r="AA57" s="85"/>
      <x:c r="AB57" s="85"/>
      <x:c r="AC57" s="85"/>
      <x:c r="AD57" s="85"/>
      <x:c r="AE57" s="85"/>
      <x:c r="AF57" s="85"/>
      <x:c r="AG57" s="85"/>
      <x:c r="AH57" s="85"/>
      <x:c r="AI57" s="85"/>
      <x:c r="AJ57" s="85"/>
    </x:row>
    <x:row r="58">
      <x:c r="A58" s="86"/>
      <x:c r="B58" s="86"/>
      <x:c r="C58" s="86"/>
      <x:c r="D58" s="86"/>
      <x:c r="E58" s="86"/>
      <x:c r="F58" s="86"/>
      <x:c r="G58" s="86"/>
      <x:c r="H58" s="87"/>
      <x:c r="I58" s="88"/>
      <x:c r="J58" s="86"/>
      <x:c r="K58" s="86"/>
      <x:c r="L58" s="88"/>
      <x:c r="M58" s="88"/>
      <x:c r="N58" s="88"/>
      <x:c r="O58" s="88"/>
      <x:c r="P58" s="86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  <x:c r="AA58" s="85"/>
      <x:c r="AB58" s="85"/>
      <x:c r="AC58" s="85"/>
      <x:c r="AD58" s="85"/>
      <x:c r="AE58" s="85"/>
      <x:c r="AF58" s="85"/>
      <x:c r="AG58" s="85"/>
      <x:c r="AH58" s="85"/>
      <x:c r="AI58" s="85"/>
      <x:c r="AJ58" s="85"/>
    </x:row>
    <x:row r="59">
      <x:c r="A59" s="86"/>
      <x:c r="B59" s="86"/>
      <x:c r="C59" s="86"/>
      <x:c r="D59" s="86"/>
      <x:c r="E59" s="86"/>
      <x:c r="F59" s="86"/>
      <x:c r="G59" s="86"/>
      <x:c r="H59" s="87"/>
      <x:c r="I59" s="88"/>
      <x:c r="J59" s="86"/>
      <x:c r="K59" s="86"/>
      <x:c r="L59" s="88"/>
      <x:c r="M59" s="88"/>
      <x:c r="N59" s="88"/>
      <x:c r="O59" s="88"/>
      <x:c r="P59" s="86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  <x:c r="AA59" s="85"/>
      <x:c r="AB59" s="85"/>
      <x:c r="AC59" s="85"/>
      <x:c r="AD59" s="85"/>
      <x:c r="AE59" s="85"/>
      <x:c r="AF59" s="85"/>
      <x:c r="AG59" s="85"/>
      <x:c r="AH59" s="85"/>
      <x:c r="AI59" s="85"/>
      <x:c r="AJ59" s="85"/>
    </x:row>
    <x:row r="60">
      <x:c r="A60" s="86"/>
      <x:c r="B60" s="86"/>
      <x:c r="C60" s="86"/>
      <x:c r="D60" s="86"/>
      <x:c r="E60" s="86"/>
      <x:c r="F60" s="86"/>
      <x:c r="G60" s="86"/>
      <x:c r="H60" s="87"/>
      <x:c r="I60" s="88"/>
      <x:c r="J60" s="86"/>
      <x:c r="K60" s="86"/>
      <x:c r="L60" s="88"/>
      <x:c r="M60" s="88"/>
      <x:c r="N60" s="88"/>
      <x:c r="O60" s="88"/>
      <x:c r="P60" s="86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  <x:c r="AA60" s="85"/>
      <x:c r="AB60" s="85"/>
      <x:c r="AC60" s="85"/>
      <x:c r="AD60" s="85"/>
      <x:c r="AE60" s="85"/>
      <x:c r="AF60" s="85"/>
      <x:c r="AG60" s="85"/>
      <x:c r="AH60" s="85"/>
      <x:c r="AI60" s="85"/>
      <x:c r="AJ60" s="85"/>
    </x:row>
    <x:row r="61">
      <x:c r="A61" s="86"/>
      <x:c r="B61" s="86"/>
      <x:c r="C61" s="86"/>
      <x:c r="D61" s="86"/>
      <x:c r="E61" s="86"/>
      <x:c r="F61" s="86"/>
      <x:c r="G61" s="86"/>
      <x:c r="H61" s="87"/>
      <x:c r="I61" s="88"/>
      <x:c r="J61" s="86"/>
      <x:c r="K61" s="86"/>
      <x:c r="L61" s="88"/>
      <x:c r="M61" s="88"/>
      <x:c r="N61" s="88"/>
      <x:c r="O61" s="88"/>
      <x:c r="P61" s="86"/>
      <x:c r="Q61" s="85"/>
      <x:c r="R61" s="85"/>
      <x:c r="S61" s="85"/>
      <x:c r="T61" s="85"/>
      <x:c r="U61" s="85"/>
      <x:c r="V61" s="85"/>
      <x:c r="W61" s="85"/>
      <x:c r="X61" s="85"/>
      <x:c r="Y61" s="85"/>
      <x:c r="Z61" s="85"/>
      <x:c r="AA61" s="85"/>
      <x:c r="AB61" s="85"/>
      <x:c r="AC61" s="85"/>
      <x:c r="AD61" s="85"/>
      <x:c r="AE61" s="85"/>
      <x:c r="AF61" s="85"/>
      <x:c r="AG61" s="85"/>
      <x:c r="AH61" s="85"/>
      <x:c r="AI61" s="85"/>
      <x:c r="AJ61" s="85"/>
    </x:row>
    <x:row r="62">
      <x:c r="A62" s="86"/>
      <x:c r="B62" s="86"/>
      <x:c r="C62" s="86"/>
      <x:c r="D62" s="86"/>
      <x:c r="E62" s="86"/>
      <x:c r="F62" s="86"/>
      <x:c r="G62" s="86"/>
      <x:c r="H62" s="87"/>
      <x:c r="I62" s="88"/>
      <x:c r="J62" s="86"/>
      <x:c r="K62" s="86"/>
      <x:c r="L62" s="88"/>
      <x:c r="M62" s="88"/>
      <x:c r="N62" s="88"/>
      <x:c r="O62" s="88"/>
      <x:c r="P62" s="86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  <x:c r="AA62" s="85"/>
      <x:c r="AB62" s="85"/>
      <x:c r="AC62" s="85"/>
      <x:c r="AD62" s="85"/>
      <x:c r="AE62" s="85"/>
      <x:c r="AF62" s="85"/>
      <x:c r="AG62" s="85"/>
      <x:c r="AH62" s="85"/>
      <x:c r="AI62" s="85"/>
      <x:c r="AJ62" s="85"/>
    </x:row>
    <x:row r="63">
      <x:c r="A63" s="86"/>
      <x:c r="B63" s="86"/>
      <x:c r="C63" s="86"/>
      <x:c r="D63" s="86"/>
      <x:c r="E63" s="86"/>
      <x:c r="F63" s="86"/>
      <x:c r="G63" s="86"/>
      <x:c r="H63" s="87"/>
      <x:c r="I63" s="88"/>
      <x:c r="J63" s="86"/>
      <x:c r="K63" s="86"/>
      <x:c r="L63" s="88"/>
      <x:c r="M63" s="88"/>
      <x:c r="N63" s="88"/>
      <x:c r="O63" s="88"/>
      <x:c r="P63" s="86"/>
      <x:c r="Q63" s="85"/>
      <x:c r="R63" s="85"/>
      <x:c r="S63" s="85"/>
      <x:c r="T63" s="85"/>
      <x:c r="U63" s="85"/>
      <x:c r="V63" s="85"/>
      <x:c r="W63" s="85"/>
      <x:c r="X63" s="85"/>
      <x:c r="Y63" s="85"/>
      <x:c r="Z63" s="85"/>
      <x:c r="AA63" s="85"/>
      <x:c r="AB63" s="85"/>
      <x:c r="AC63" s="85"/>
      <x:c r="AD63" s="85"/>
      <x:c r="AE63" s="85"/>
      <x:c r="AF63" s="85"/>
      <x:c r="AG63" s="85"/>
      <x:c r="AH63" s="85"/>
      <x:c r="AI63" s="85"/>
      <x:c r="AJ63" s="85"/>
    </x:row>
    <x:row r="64">
      <x:c r="A64" s="86"/>
      <x:c r="B64" s="86"/>
      <x:c r="C64" s="86"/>
      <x:c r="D64" s="86"/>
      <x:c r="E64" s="86"/>
      <x:c r="F64" s="86"/>
      <x:c r="G64" s="86"/>
      <x:c r="H64" s="87"/>
      <x:c r="I64" s="88"/>
      <x:c r="J64" s="86"/>
      <x:c r="K64" s="86"/>
      <x:c r="L64" s="88"/>
      <x:c r="M64" s="88"/>
      <x:c r="N64" s="88"/>
      <x:c r="O64" s="88"/>
      <x:c r="P64" s="86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  <x:c r="AA64" s="85"/>
      <x:c r="AB64" s="85"/>
      <x:c r="AC64" s="85"/>
      <x:c r="AD64" s="85"/>
      <x:c r="AE64" s="85"/>
      <x:c r="AF64" s="85"/>
      <x:c r="AG64" s="85"/>
      <x:c r="AH64" s="85"/>
      <x:c r="AI64" s="85"/>
      <x:c r="AJ64" s="85"/>
    </x:row>
    <x:row r="65">
      <x:c r="A65" s="86"/>
      <x:c r="B65" s="86"/>
      <x:c r="C65" s="86"/>
      <x:c r="D65" s="86"/>
      <x:c r="E65" s="86"/>
      <x:c r="F65" s="86"/>
      <x:c r="G65" s="86"/>
      <x:c r="H65" s="87"/>
      <x:c r="I65" s="88"/>
      <x:c r="J65" s="86"/>
      <x:c r="K65" s="86"/>
      <x:c r="L65" s="88"/>
      <x:c r="M65" s="88"/>
      <x:c r="N65" s="88"/>
      <x:c r="O65" s="88"/>
      <x:c r="P65" s="86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  <x:c r="AA65" s="85"/>
      <x:c r="AB65" s="85"/>
      <x:c r="AC65" s="85"/>
      <x:c r="AD65" s="85"/>
      <x:c r="AE65" s="85"/>
      <x:c r="AF65" s="85"/>
      <x:c r="AG65" s="85"/>
      <x:c r="AH65" s="85"/>
      <x:c r="AI65" s="85"/>
      <x:c r="AJ65" s="85"/>
    </x:row>
    <x:row r="66">
      <x:c r="A66" s="86"/>
      <x:c r="B66" s="86"/>
      <x:c r="C66" s="86"/>
      <x:c r="D66" s="86"/>
      <x:c r="E66" s="86"/>
      <x:c r="F66" s="86"/>
      <x:c r="G66" s="86"/>
      <x:c r="H66" s="87"/>
      <x:c r="I66" s="88"/>
      <x:c r="J66" s="86"/>
      <x:c r="K66" s="86"/>
      <x:c r="L66" s="88"/>
      <x:c r="M66" s="88"/>
      <x:c r="N66" s="88"/>
      <x:c r="O66" s="88"/>
      <x:c r="P66" s="86"/>
      <x:c r="Q66" s="85"/>
      <x:c r="R66" s="85"/>
      <x:c r="S66" s="85"/>
      <x:c r="T66" s="85"/>
      <x:c r="U66" s="85"/>
      <x:c r="V66" s="85"/>
      <x:c r="W66" s="85"/>
      <x:c r="X66" s="85"/>
      <x:c r="Y66" s="85"/>
      <x:c r="Z66" s="85"/>
      <x:c r="AA66" s="85"/>
      <x:c r="AB66" s="85"/>
      <x:c r="AC66" s="85"/>
      <x:c r="AD66" s="85"/>
      <x:c r="AE66" s="85"/>
      <x:c r="AF66" s="85"/>
      <x:c r="AG66" s="85"/>
      <x:c r="AH66" s="85"/>
      <x:c r="AI66" s="85"/>
      <x:c r="AJ66" s="85"/>
    </x:row>
    <x:row r="67">
      <x:c r="A67" s="86"/>
      <x:c r="B67" s="86"/>
      <x:c r="C67" s="86"/>
      <x:c r="D67" s="86"/>
      <x:c r="E67" s="86"/>
      <x:c r="F67" s="86"/>
      <x:c r="G67" s="86"/>
      <x:c r="H67" s="87"/>
      <x:c r="I67" s="88"/>
      <x:c r="J67" s="86"/>
      <x:c r="K67" s="86"/>
      <x:c r="L67" s="88"/>
      <x:c r="M67" s="88"/>
      <x:c r="N67" s="88"/>
      <x:c r="O67" s="88"/>
      <x:c r="P67" s="86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  <x:c r="AA67" s="85"/>
      <x:c r="AB67" s="85"/>
      <x:c r="AC67" s="85"/>
      <x:c r="AD67" s="85"/>
      <x:c r="AE67" s="85"/>
      <x:c r="AF67" s="85"/>
      <x:c r="AG67" s="85"/>
      <x:c r="AH67" s="85"/>
      <x:c r="AI67" s="85"/>
      <x:c r="AJ67" s="85"/>
    </x:row>
    <x:row r="68">
      <x:c r="A68" s="86"/>
      <x:c r="B68" s="86"/>
      <x:c r="C68" s="86"/>
      <x:c r="D68" s="86"/>
      <x:c r="E68" s="86"/>
      <x:c r="F68" s="86"/>
      <x:c r="G68" s="86"/>
      <x:c r="H68" s="87"/>
      <x:c r="I68" s="88"/>
      <x:c r="J68" s="86"/>
      <x:c r="K68" s="86"/>
      <x:c r="L68" s="88"/>
      <x:c r="M68" s="88"/>
      <x:c r="N68" s="88"/>
      <x:c r="O68" s="88"/>
      <x:c r="P68" s="86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  <x:c r="AA68" s="85"/>
      <x:c r="AB68" s="85"/>
      <x:c r="AC68" s="85"/>
      <x:c r="AD68" s="85"/>
      <x:c r="AE68" s="85"/>
      <x:c r="AF68" s="85"/>
      <x:c r="AG68" s="85"/>
      <x:c r="AH68" s="85"/>
      <x:c r="AI68" s="85"/>
      <x:c r="AJ68" s="85"/>
    </x:row>
    <x:row r="69">
      <x:c r="A69" s="86"/>
      <x:c r="B69" s="86"/>
      <x:c r="C69" s="86"/>
      <x:c r="D69" s="86"/>
      <x:c r="E69" s="86"/>
      <x:c r="F69" s="86"/>
      <x:c r="G69" s="86"/>
      <x:c r="H69" s="87"/>
      <x:c r="I69" s="88"/>
      <x:c r="J69" s="86"/>
      <x:c r="K69" s="86"/>
      <x:c r="L69" s="88"/>
      <x:c r="M69" s="88"/>
      <x:c r="N69" s="88"/>
      <x:c r="O69" s="88"/>
      <x:c r="P69" s="86"/>
      <x:c r="Q69" s="85"/>
      <x:c r="R69" s="85"/>
      <x:c r="S69" s="85"/>
      <x:c r="T69" s="85"/>
      <x:c r="U69" s="85"/>
      <x:c r="V69" s="85"/>
      <x:c r="W69" s="85"/>
      <x:c r="X69" s="85"/>
      <x:c r="Y69" s="85"/>
      <x:c r="Z69" s="85"/>
      <x:c r="AA69" s="85"/>
      <x:c r="AB69" s="85"/>
      <x:c r="AC69" s="85"/>
      <x:c r="AD69" s="85"/>
      <x:c r="AE69" s="85"/>
      <x:c r="AF69" s="85"/>
      <x:c r="AG69" s="85"/>
      <x:c r="AH69" s="85"/>
      <x:c r="AI69" s="85"/>
      <x:c r="AJ69" s="85"/>
    </x:row>
    <x:row r="70">
      <x:c r="A70" s="86"/>
      <x:c r="B70" s="86"/>
      <x:c r="C70" s="86"/>
      <x:c r="D70" s="86"/>
      <x:c r="E70" s="86"/>
      <x:c r="F70" s="86"/>
      <x:c r="G70" s="86"/>
      <x:c r="H70" s="87"/>
      <x:c r="I70" s="88"/>
      <x:c r="J70" s="86"/>
      <x:c r="K70" s="86"/>
      <x:c r="L70" s="88"/>
      <x:c r="M70" s="88"/>
      <x:c r="N70" s="88"/>
      <x:c r="O70" s="88"/>
      <x:c r="P70" s="86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  <x:c r="AA70" s="85"/>
      <x:c r="AB70" s="85"/>
      <x:c r="AC70" s="85"/>
      <x:c r="AD70" s="85"/>
      <x:c r="AE70" s="85"/>
      <x:c r="AF70" s="85"/>
      <x:c r="AG70" s="85"/>
      <x:c r="AH70" s="85"/>
      <x:c r="AI70" s="85"/>
      <x:c r="AJ70" s="85"/>
    </x:row>
    <x:row r="71">
      <x:c r="A71" s="86"/>
      <x:c r="B71" s="86"/>
      <x:c r="C71" s="86"/>
      <x:c r="D71" s="86"/>
      <x:c r="E71" s="86"/>
      <x:c r="F71" s="86"/>
      <x:c r="G71" s="86"/>
      <x:c r="H71" s="87"/>
      <x:c r="I71" s="88"/>
      <x:c r="J71" s="86"/>
      <x:c r="K71" s="86"/>
      <x:c r="L71" s="88"/>
      <x:c r="M71" s="88"/>
      <x:c r="N71" s="88"/>
      <x:c r="O71" s="88"/>
      <x:c r="P71" s="86"/>
      <x:c r="Q71" s="85"/>
      <x:c r="R71" s="85"/>
      <x:c r="S71" s="85"/>
      <x:c r="T71" s="85"/>
      <x:c r="U71" s="85"/>
      <x:c r="V71" s="85"/>
      <x:c r="W71" s="85"/>
      <x:c r="X71" s="85"/>
      <x:c r="Y71" s="85"/>
      <x:c r="Z71" s="85"/>
      <x:c r="AA71" s="85"/>
      <x:c r="AB71" s="85"/>
      <x:c r="AC71" s="85"/>
      <x:c r="AD71" s="85"/>
      <x:c r="AE71" s="85"/>
      <x:c r="AF71" s="85"/>
      <x:c r="AG71" s="85"/>
      <x:c r="AH71" s="85"/>
      <x:c r="AI71" s="85"/>
      <x:c r="AJ71" s="85"/>
    </x:row>
    <x:row r="72">
      <x:c r="A72" s="86"/>
      <x:c r="B72" s="86"/>
      <x:c r="C72" s="86"/>
      <x:c r="D72" s="86"/>
      <x:c r="E72" s="86"/>
      <x:c r="F72" s="86"/>
      <x:c r="G72" s="86"/>
      <x:c r="H72" s="87"/>
      <x:c r="I72" s="88"/>
      <x:c r="J72" s="86"/>
      <x:c r="K72" s="86"/>
      <x:c r="L72" s="88"/>
      <x:c r="M72" s="88"/>
      <x:c r="N72" s="88"/>
      <x:c r="O72" s="88"/>
      <x:c r="P72" s="86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  <x:c r="AA72" s="85"/>
      <x:c r="AB72" s="85"/>
      <x:c r="AC72" s="85"/>
      <x:c r="AD72" s="85"/>
      <x:c r="AE72" s="85"/>
      <x:c r="AF72" s="85"/>
      <x:c r="AG72" s="85"/>
      <x:c r="AH72" s="85"/>
      <x:c r="AI72" s="85"/>
      <x:c r="AJ72" s="85"/>
    </x:row>
    <x:row r="73">
      <x:c r="A73" s="86"/>
      <x:c r="B73" s="86"/>
      <x:c r="C73" s="86"/>
      <x:c r="D73" s="86"/>
      <x:c r="E73" s="86"/>
      <x:c r="F73" s="86"/>
      <x:c r="G73" s="86"/>
      <x:c r="H73" s="87"/>
      <x:c r="I73" s="88"/>
      <x:c r="J73" s="86"/>
      <x:c r="K73" s="86"/>
      <x:c r="L73" s="88"/>
      <x:c r="M73" s="88"/>
      <x:c r="N73" s="88"/>
      <x:c r="O73" s="88"/>
      <x:c r="P73" s="86"/>
      <x:c r="Q73" s="85"/>
      <x:c r="R73" s="85"/>
      <x:c r="S73" s="85"/>
      <x:c r="T73" s="85"/>
      <x:c r="U73" s="85"/>
      <x:c r="V73" s="85"/>
      <x:c r="W73" s="85"/>
      <x:c r="X73" s="85"/>
      <x:c r="Y73" s="85"/>
      <x:c r="Z73" s="85"/>
      <x:c r="AA73" s="85"/>
      <x:c r="AB73" s="85"/>
      <x:c r="AC73" s="85"/>
      <x:c r="AD73" s="85"/>
      <x:c r="AE73" s="85"/>
      <x:c r="AF73" s="85"/>
      <x:c r="AG73" s="85"/>
      <x:c r="AH73" s="85"/>
      <x:c r="AI73" s="85"/>
      <x:c r="AJ73" s="85"/>
    </x:row>
    <x:row r="74">
      <x:c r="A74" s="86"/>
      <x:c r="B74" s="86"/>
      <x:c r="C74" s="86"/>
      <x:c r="D74" s="86"/>
      <x:c r="E74" s="86"/>
      <x:c r="F74" s="86"/>
      <x:c r="G74" s="86"/>
      <x:c r="H74" s="87"/>
      <x:c r="I74" s="88"/>
      <x:c r="J74" s="86"/>
      <x:c r="K74" s="86"/>
      <x:c r="L74" s="88"/>
      <x:c r="M74" s="88"/>
      <x:c r="N74" s="88"/>
      <x:c r="O74" s="88"/>
      <x:c r="P74" s="86"/>
      <x:c r="Q74" s="85"/>
      <x:c r="R74" s="85"/>
      <x:c r="S74" s="85"/>
      <x:c r="T74" s="85"/>
      <x:c r="U74" s="85"/>
      <x:c r="V74" s="85"/>
      <x:c r="W74" s="85"/>
      <x:c r="X74" s="85"/>
      <x:c r="Y74" s="85"/>
      <x:c r="Z74" s="85"/>
      <x:c r="AA74" s="85"/>
      <x:c r="AB74" s="85"/>
      <x:c r="AC74" s="85"/>
      <x:c r="AD74" s="85"/>
      <x:c r="AE74" s="85"/>
      <x:c r="AF74" s="85"/>
      <x:c r="AG74" s="85"/>
      <x:c r="AH74" s="85"/>
      <x:c r="AI74" s="85"/>
      <x:c r="AJ74" s="85"/>
    </x:row>
    <x:row r="75">
      <x:c r="A75" s="86"/>
      <x:c r="B75" s="86"/>
      <x:c r="C75" s="86"/>
      <x:c r="D75" s="86"/>
      <x:c r="E75" s="86"/>
      <x:c r="F75" s="86"/>
      <x:c r="G75" s="86"/>
      <x:c r="H75" s="87"/>
      <x:c r="I75" s="88"/>
      <x:c r="J75" s="86"/>
      <x:c r="K75" s="86"/>
      <x:c r="L75" s="88"/>
      <x:c r="M75" s="88"/>
      <x:c r="N75" s="88"/>
      <x:c r="O75" s="88"/>
      <x:c r="P75" s="86"/>
      <x:c r="Q75" s="85"/>
      <x:c r="R75" s="85"/>
      <x:c r="S75" s="85"/>
      <x:c r="T75" s="85"/>
      <x:c r="U75" s="85"/>
      <x:c r="V75" s="85"/>
      <x:c r="W75" s="85"/>
      <x:c r="X75" s="85"/>
      <x:c r="Y75" s="85"/>
      <x:c r="Z75" s="85"/>
      <x:c r="AA75" s="85"/>
      <x:c r="AB75" s="85"/>
      <x:c r="AC75" s="85"/>
      <x:c r="AD75" s="85"/>
      <x:c r="AE75" s="85"/>
      <x:c r="AF75" s="85"/>
      <x:c r="AG75" s="85"/>
      <x:c r="AH75" s="85"/>
      <x:c r="AI75" s="85"/>
      <x:c r="AJ75" s="85"/>
    </x:row>
    <x:row r="76">
      <x:c r="A76" s="86"/>
      <x:c r="B76" s="86"/>
      <x:c r="C76" s="86"/>
      <x:c r="D76" s="86"/>
      <x:c r="E76" s="86"/>
      <x:c r="F76" s="86"/>
      <x:c r="G76" s="86"/>
      <x:c r="H76" s="87"/>
      <x:c r="I76" s="88"/>
      <x:c r="J76" s="86"/>
      <x:c r="K76" s="86"/>
      <x:c r="L76" s="88"/>
      <x:c r="M76" s="88"/>
      <x:c r="N76" s="88"/>
      <x:c r="O76" s="88"/>
      <x:c r="P76" s="86"/>
      <x:c r="Q76" s="85"/>
      <x:c r="R76" s="85"/>
      <x:c r="S76" s="85"/>
      <x:c r="T76" s="85"/>
      <x:c r="U76" s="85"/>
      <x:c r="V76" s="85"/>
      <x:c r="W76" s="85"/>
      <x:c r="X76" s="85"/>
      <x:c r="Y76" s="85"/>
      <x:c r="Z76" s="85"/>
      <x:c r="AA76" s="85"/>
      <x:c r="AB76" s="85"/>
      <x:c r="AC76" s="85"/>
      <x:c r="AD76" s="85"/>
      <x:c r="AE76" s="85"/>
      <x:c r="AF76" s="85"/>
      <x:c r="AG76" s="85"/>
      <x:c r="AH76" s="85"/>
      <x:c r="AI76" s="85"/>
      <x:c r="AJ76" s="85"/>
    </x:row>
    <x:row r="77">
      <x:c r="A77" s="86"/>
      <x:c r="B77" s="86"/>
      <x:c r="C77" s="86"/>
      <x:c r="D77" s="86"/>
      <x:c r="E77" s="86"/>
      <x:c r="F77" s="86"/>
      <x:c r="G77" s="86"/>
      <x:c r="H77" s="87"/>
      <x:c r="I77" s="88"/>
      <x:c r="J77" s="86"/>
      <x:c r="K77" s="86"/>
      <x:c r="L77" s="88"/>
      <x:c r="M77" s="88"/>
      <x:c r="N77" s="88"/>
      <x:c r="O77" s="88"/>
      <x:c r="P77" s="86"/>
      <x:c r="Q77" s="85"/>
      <x:c r="R77" s="85"/>
      <x:c r="S77" s="85"/>
      <x:c r="T77" s="85"/>
      <x:c r="U77" s="85"/>
      <x:c r="V77" s="85"/>
      <x:c r="W77" s="85"/>
      <x:c r="X77" s="85"/>
      <x:c r="Y77" s="85"/>
      <x:c r="Z77" s="85"/>
      <x:c r="AA77" s="85"/>
      <x:c r="AB77" s="85"/>
      <x:c r="AC77" s="85"/>
      <x:c r="AD77" s="85"/>
      <x:c r="AE77" s="85"/>
      <x:c r="AF77" s="85"/>
      <x:c r="AG77" s="85"/>
      <x:c r="AH77" s="85"/>
      <x:c r="AI77" s="85"/>
      <x:c r="AJ77" s="85"/>
    </x:row>
    <x:row r="78">
      <x:c r="A78" s="86"/>
      <x:c r="B78" s="86"/>
      <x:c r="C78" s="86"/>
      <x:c r="D78" s="86"/>
      <x:c r="E78" s="86"/>
      <x:c r="F78" s="86"/>
      <x:c r="G78" s="86"/>
      <x:c r="H78" s="87"/>
      <x:c r="I78" s="88"/>
      <x:c r="J78" s="86"/>
      <x:c r="K78" s="86"/>
      <x:c r="L78" s="88"/>
      <x:c r="M78" s="88"/>
      <x:c r="N78" s="88"/>
      <x:c r="O78" s="88"/>
      <x:c r="P78" s="86"/>
      <x:c r="Q78" s="85"/>
      <x:c r="R78" s="85"/>
      <x:c r="S78" s="85"/>
      <x:c r="T78" s="85"/>
      <x:c r="U78" s="85"/>
      <x:c r="V78" s="85"/>
      <x:c r="W78" s="85"/>
      <x:c r="X78" s="85"/>
      <x:c r="Y78" s="85"/>
      <x:c r="Z78" s="85"/>
      <x:c r="AA78" s="85"/>
      <x:c r="AB78" s="85"/>
      <x:c r="AC78" s="85"/>
      <x:c r="AD78" s="85"/>
      <x:c r="AE78" s="85"/>
      <x:c r="AF78" s="85"/>
      <x:c r="AG78" s="85"/>
      <x:c r="AH78" s="85"/>
      <x:c r="AI78" s="85"/>
      <x:c r="AJ78" s="85"/>
    </x:row>
    <x:row r="79">
      <x:c r="A79" s="86"/>
      <x:c r="B79" s="86"/>
      <x:c r="C79" s="86"/>
      <x:c r="D79" s="86"/>
      <x:c r="E79" s="86"/>
      <x:c r="F79" s="86"/>
      <x:c r="G79" s="86"/>
      <x:c r="H79" s="87"/>
      <x:c r="I79" s="88"/>
      <x:c r="J79" s="86"/>
      <x:c r="K79" s="86"/>
      <x:c r="L79" s="88"/>
      <x:c r="M79" s="88"/>
      <x:c r="N79" s="88"/>
      <x:c r="O79" s="88"/>
      <x:c r="P79" s="86"/>
      <x:c r="Q79" s="85"/>
      <x:c r="R79" s="85"/>
      <x:c r="S79" s="85"/>
      <x:c r="T79" s="85"/>
      <x:c r="U79" s="85"/>
      <x:c r="V79" s="85"/>
      <x:c r="W79" s="85"/>
      <x:c r="X79" s="85"/>
      <x:c r="Y79" s="85"/>
      <x:c r="Z79" s="85"/>
      <x:c r="AA79" s="85"/>
      <x:c r="AB79" s="85"/>
      <x:c r="AC79" s="85"/>
      <x:c r="AD79" s="85"/>
      <x:c r="AE79" s="85"/>
      <x:c r="AF79" s="85"/>
      <x:c r="AG79" s="85"/>
      <x:c r="AH79" s="85"/>
      <x:c r="AI79" s="85"/>
      <x:c r="AJ79" s="85"/>
    </x:row>
    <x:row r="80">
      <x:c r="A80" s="86"/>
      <x:c r="B80" s="86"/>
      <x:c r="C80" s="86"/>
      <x:c r="D80" s="86"/>
      <x:c r="E80" s="86"/>
      <x:c r="F80" s="86"/>
      <x:c r="G80" s="86"/>
      <x:c r="H80" s="87"/>
      <x:c r="I80" s="88"/>
      <x:c r="J80" s="86"/>
      <x:c r="K80" s="86"/>
      <x:c r="L80" s="88"/>
      <x:c r="M80" s="88"/>
      <x:c r="N80" s="88"/>
      <x:c r="O80" s="88"/>
      <x:c r="P80" s="86"/>
      <x:c r="Q80" s="85"/>
      <x:c r="R80" s="85"/>
      <x:c r="S80" s="85"/>
      <x:c r="T80" s="85"/>
      <x:c r="U80" s="85"/>
      <x:c r="V80" s="85"/>
      <x:c r="W80" s="85"/>
      <x:c r="X80" s="85"/>
      <x:c r="Y80" s="85"/>
      <x:c r="Z80" s="85"/>
      <x:c r="AA80" s="85"/>
      <x:c r="AB80" s="85"/>
      <x:c r="AC80" s="85"/>
      <x:c r="AD80" s="85"/>
      <x:c r="AE80" s="85"/>
      <x:c r="AF80" s="85"/>
      <x:c r="AG80" s="85"/>
      <x:c r="AH80" s="85"/>
      <x:c r="AI80" s="85"/>
      <x:c r="AJ80" s="85"/>
    </x:row>
    <x:row r="81">
      <x:c r="A81" s="86"/>
      <x:c r="B81" s="86"/>
      <x:c r="C81" s="86"/>
      <x:c r="D81" s="86"/>
      <x:c r="E81" s="86"/>
      <x:c r="F81" s="86"/>
      <x:c r="G81" s="86"/>
      <x:c r="H81" s="87"/>
      <x:c r="I81" s="88"/>
      <x:c r="J81" s="86"/>
      <x:c r="K81" s="86"/>
      <x:c r="L81" s="88"/>
      <x:c r="M81" s="88"/>
      <x:c r="N81" s="88"/>
      <x:c r="O81" s="88"/>
      <x:c r="P81" s="86"/>
      <x:c r="Q81" s="85"/>
      <x:c r="R81" s="85"/>
      <x:c r="S81" s="85"/>
      <x:c r="T81" s="85"/>
      <x:c r="U81" s="85"/>
      <x:c r="V81" s="85"/>
      <x:c r="W81" s="85"/>
      <x:c r="X81" s="85"/>
      <x:c r="Y81" s="85"/>
      <x:c r="Z81" s="85"/>
      <x:c r="AA81" s="85"/>
      <x:c r="AB81" s="85"/>
      <x:c r="AC81" s="85"/>
      <x:c r="AD81" s="85"/>
      <x:c r="AE81" s="85"/>
      <x:c r="AF81" s="85"/>
      <x:c r="AG81" s="85"/>
      <x:c r="AH81" s="85"/>
      <x:c r="AI81" s="85"/>
      <x:c r="AJ81" s="85"/>
    </x:row>
    <x:row r="82">
      <x:c r="A82" s="86"/>
      <x:c r="B82" s="86"/>
      <x:c r="C82" s="86"/>
      <x:c r="D82" s="86"/>
      <x:c r="E82" s="86"/>
      <x:c r="F82" s="86"/>
      <x:c r="G82" s="86"/>
      <x:c r="H82" s="87"/>
      <x:c r="I82" s="88"/>
      <x:c r="J82" s="86"/>
      <x:c r="K82" s="86"/>
      <x:c r="L82" s="88"/>
      <x:c r="M82" s="88"/>
      <x:c r="N82" s="88"/>
      <x:c r="O82" s="88"/>
      <x:c r="P82" s="86"/>
      <x:c r="Q82" s="85"/>
      <x:c r="R82" s="85"/>
      <x:c r="S82" s="85"/>
      <x:c r="T82" s="85"/>
      <x:c r="U82" s="85"/>
      <x:c r="V82" s="85"/>
      <x:c r="W82" s="85"/>
      <x:c r="X82" s="85"/>
      <x:c r="Y82" s="85"/>
      <x:c r="Z82" s="85"/>
      <x:c r="AA82" s="85"/>
      <x:c r="AB82" s="85"/>
      <x:c r="AC82" s="85"/>
      <x:c r="AD82" s="85"/>
      <x:c r="AE82" s="85"/>
      <x:c r="AF82" s="85"/>
      <x:c r="AG82" s="85"/>
      <x:c r="AH82" s="85"/>
      <x:c r="AI82" s="85"/>
      <x:c r="AJ82" s="85"/>
    </x:row>
    <x:row r="83">
      <x:c r="A83" s="86"/>
      <x:c r="B83" s="86"/>
      <x:c r="C83" s="86"/>
      <x:c r="D83" s="86"/>
      <x:c r="E83" s="86"/>
      <x:c r="F83" s="86"/>
      <x:c r="G83" s="86"/>
      <x:c r="H83" s="87"/>
      <x:c r="I83" s="88"/>
      <x:c r="J83" s="86"/>
      <x:c r="K83" s="86"/>
      <x:c r="L83" s="88"/>
      <x:c r="M83" s="88"/>
      <x:c r="N83" s="88"/>
      <x:c r="O83" s="88"/>
      <x:c r="P83" s="86"/>
      <x:c r="Q83" s="85"/>
      <x:c r="R83" s="85"/>
      <x:c r="S83" s="85"/>
      <x:c r="T83" s="85"/>
      <x:c r="U83" s="85"/>
      <x:c r="V83" s="85"/>
      <x:c r="W83" s="85"/>
      <x:c r="X83" s="85"/>
      <x:c r="Y83" s="85"/>
      <x:c r="Z83" s="85"/>
      <x:c r="AA83" s="85"/>
      <x:c r="AB83" s="85"/>
      <x:c r="AC83" s="85"/>
      <x:c r="AD83" s="85"/>
      <x:c r="AE83" s="85"/>
      <x:c r="AF83" s="85"/>
      <x:c r="AG83" s="85"/>
      <x:c r="AH83" s="85"/>
      <x:c r="AI83" s="85"/>
      <x:c r="AJ83" s="85"/>
    </x:row>
    <x:row r="84">
      <x:c r="A84" s="86"/>
      <x:c r="B84" s="86"/>
      <x:c r="C84" s="86"/>
      <x:c r="D84" s="86"/>
      <x:c r="E84" s="86"/>
      <x:c r="F84" s="86"/>
      <x:c r="G84" s="86"/>
      <x:c r="H84" s="87"/>
      <x:c r="I84" s="88"/>
      <x:c r="J84" s="86"/>
      <x:c r="K84" s="86"/>
      <x:c r="L84" s="88"/>
      <x:c r="M84" s="88"/>
      <x:c r="N84" s="88"/>
      <x:c r="O84" s="88"/>
      <x:c r="P84" s="86"/>
      <x:c r="Q84" s="85"/>
      <x:c r="R84" s="85"/>
      <x:c r="S84" s="85"/>
      <x:c r="T84" s="85"/>
      <x:c r="U84" s="85"/>
      <x:c r="V84" s="85"/>
      <x:c r="W84" s="85"/>
      <x:c r="X84" s="85"/>
      <x:c r="Y84" s="85"/>
      <x:c r="Z84" s="85"/>
      <x:c r="AA84" s="85"/>
      <x:c r="AB84" s="85"/>
      <x:c r="AC84" s="85"/>
      <x:c r="AD84" s="85"/>
      <x:c r="AE84" s="85"/>
      <x:c r="AF84" s="85"/>
      <x:c r="AG84" s="85"/>
      <x:c r="AH84" s="85"/>
      <x:c r="AI84" s="85"/>
      <x:c r="AJ84" s="85"/>
    </x:row>
    <x:row r="85">
      <x:c r="A85" s="86"/>
      <x:c r="B85" s="86"/>
      <x:c r="C85" s="86"/>
      <x:c r="D85" s="86"/>
      <x:c r="E85" s="86"/>
      <x:c r="F85" s="86"/>
      <x:c r="G85" s="86"/>
      <x:c r="H85" s="87"/>
      <x:c r="I85" s="88"/>
      <x:c r="J85" s="86"/>
      <x:c r="K85" s="86"/>
      <x:c r="L85" s="88"/>
      <x:c r="M85" s="88"/>
      <x:c r="N85" s="88"/>
      <x:c r="O85" s="88"/>
      <x:c r="P85" s="86"/>
      <x:c r="Q85" s="85"/>
      <x:c r="R85" s="85"/>
      <x:c r="S85" s="85"/>
      <x:c r="T85" s="85"/>
      <x:c r="U85" s="85"/>
      <x:c r="V85" s="85"/>
      <x:c r="W85" s="85"/>
      <x:c r="X85" s="85"/>
      <x:c r="Y85" s="85"/>
      <x:c r="Z85" s="85"/>
      <x:c r="AA85" s="85"/>
      <x:c r="AB85" s="85"/>
      <x:c r="AC85" s="85"/>
      <x:c r="AD85" s="85"/>
      <x:c r="AE85" s="85"/>
      <x:c r="AF85" s="85"/>
      <x:c r="AG85" s="85"/>
      <x:c r="AH85" s="85"/>
      <x:c r="AI85" s="85"/>
      <x:c r="AJ85" s="85"/>
    </x:row>
    <x:row r="86">
      <x:c r="A86" s="86"/>
      <x:c r="B86" s="86"/>
      <x:c r="C86" s="86"/>
      <x:c r="D86" s="86"/>
      <x:c r="E86" s="86"/>
      <x:c r="F86" s="86"/>
      <x:c r="G86" s="86"/>
      <x:c r="H86" s="87"/>
      <x:c r="I86" s="88"/>
      <x:c r="J86" s="86"/>
      <x:c r="K86" s="86"/>
      <x:c r="L86" s="88"/>
      <x:c r="M86" s="88"/>
      <x:c r="N86" s="88"/>
      <x:c r="O86" s="88"/>
      <x:c r="P86" s="86"/>
      <x:c r="Q86" s="85"/>
      <x:c r="R86" s="85"/>
      <x:c r="S86" s="85"/>
      <x:c r="T86" s="85"/>
      <x:c r="U86" s="85"/>
      <x:c r="V86" s="85"/>
      <x:c r="W86" s="85"/>
      <x:c r="X86" s="85"/>
      <x:c r="Y86" s="85"/>
      <x:c r="Z86" s="85"/>
      <x:c r="AA86" s="85"/>
      <x:c r="AB86" s="85"/>
      <x:c r="AC86" s="85"/>
      <x:c r="AD86" s="85"/>
      <x:c r="AE86" s="85"/>
      <x:c r="AF86" s="85"/>
      <x:c r="AG86" s="85"/>
      <x:c r="AH86" s="85"/>
      <x:c r="AI86" s="85"/>
      <x:c r="AJ86" s="85"/>
    </x:row>
    <x:row r="87">
      <x:c r="A87" s="86"/>
      <x:c r="B87" s="86"/>
      <x:c r="C87" s="86"/>
      <x:c r="D87" s="86"/>
      <x:c r="E87" s="86"/>
      <x:c r="F87" s="86"/>
      <x:c r="G87" s="86"/>
      <x:c r="H87" s="87"/>
      <x:c r="I87" s="88"/>
      <x:c r="J87" s="86"/>
      <x:c r="K87" s="86"/>
      <x:c r="L87" s="88"/>
      <x:c r="M87" s="88"/>
      <x:c r="N87" s="88"/>
      <x:c r="O87" s="88"/>
      <x:c r="P87" s="86"/>
      <x:c r="Q87" s="85"/>
      <x:c r="R87" s="85"/>
      <x:c r="S87" s="85"/>
      <x:c r="T87" s="85"/>
      <x:c r="U87" s="85"/>
      <x:c r="V87" s="85"/>
      <x:c r="W87" s="85"/>
      <x:c r="X87" s="85"/>
      <x:c r="Y87" s="85"/>
      <x:c r="Z87" s="85"/>
      <x:c r="AA87" s="85"/>
      <x:c r="AB87" s="85"/>
      <x:c r="AC87" s="85"/>
      <x:c r="AD87" s="85"/>
      <x:c r="AE87" s="85"/>
      <x:c r="AF87" s="85"/>
      <x:c r="AG87" s="85"/>
      <x:c r="AH87" s="85"/>
      <x:c r="AI87" s="85"/>
      <x:c r="AJ87" s="85"/>
    </x:row>
    <x:row r="88">
      <x:c r="A88" s="86"/>
      <x:c r="B88" s="86"/>
      <x:c r="C88" s="86"/>
      <x:c r="D88" s="86"/>
      <x:c r="E88" s="86"/>
      <x:c r="F88" s="86"/>
      <x:c r="G88" s="86"/>
      <x:c r="H88" s="87"/>
      <x:c r="I88" s="88"/>
      <x:c r="J88" s="86"/>
      <x:c r="K88" s="86"/>
      <x:c r="L88" s="88"/>
      <x:c r="M88" s="88"/>
      <x:c r="N88" s="88"/>
      <x:c r="O88" s="88"/>
      <x:c r="P88" s="86"/>
      <x:c r="Q88" s="85"/>
      <x:c r="R88" s="85"/>
      <x:c r="S88" s="85"/>
      <x:c r="T88" s="85"/>
      <x:c r="U88" s="85"/>
      <x:c r="V88" s="85"/>
      <x:c r="W88" s="85"/>
      <x:c r="X88" s="85"/>
      <x:c r="Y88" s="85"/>
      <x:c r="Z88" s="85"/>
      <x:c r="AA88" s="85"/>
      <x:c r="AB88" s="85"/>
      <x:c r="AC88" s="85"/>
      <x:c r="AD88" s="85"/>
      <x:c r="AE88" s="85"/>
      <x:c r="AF88" s="85"/>
      <x:c r="AG88" s="85"/>
      <x:c r="AH88" s="85"/>
      <x:c r="AI88" s="85"/>
      <x:c r="AJ88" s="85"/>
    </x:row>
    <x:row r="89">
      <x:c r="A89" s="86"/>
      <x:c r="B89" s="86"/>
      <x:c r="C89" s="86"/>
      <x:c r="D89" s="86"/>
      <x:c r="E89" s="86"/>
      <x:c r="F89" s="86"/>
      <x:c r="G89" s="86"/>
      <x:c r="H89" s="87"/>
      <x:c r="I89" s="88"/>
      <x:c r="J89" s="86"/>
      <x:c r="K89" s="86"/>
      <x:c r="L89" s="88"/>
      <x:c r="M89" s="88"/>
      <x:c r="N89" s="88"/>
      <x:c r="O89" s="88"/>
      <x:c r="P89" s="86"/>
      <x:c r="Q89" s="85"/>
      <x:c r="R89" s="85"/>
      <x:c r="S89" s="85"/>
      <x:c r="T89" s="85"/>
      <x:c r="U89" s="85"/>
      <x:c r="V89" s="85"/>
      <x:c r="W89" s="85"/>
      <x:c r="X89" s="85"/>
      <x:c r="Y89" s="85"/>
      <x:c r="Z89" s="85"/>
      <x:c r="AA89" s="85"/>
      <x:c r="AB89" s="85"/>
      <x:c r="AC89" s="85"/>
      <x:c r="AD89" s="85"/>
      <x:c r="AE89" s="85"/>
      <x:c r="AF89" s="85"/>
      <x:c r="AG89" s="85"/>
      <x:c r="AH89" s="85"/>
      <x:c r="AI89" s="85"/>
      <x:c r="AJ89" s="85"/>
    </x:row>
    <x:row r="90">
      <x:c r="A90" s="86"/>
      <x:c r="B90" s="86"/>
      <x:c r="C90" s="86"/>
      <x:c r="D90" s="86"/>
      <x:c r="E90" s="86"/>
      <x:c r="F90" s="86"/>
      <x:c r="G90" s="86"/>
      <x:c r="H90" s="87"/>
      <x:c r="I90" s="88"/>
      <x:c r="J90" s="86"/>
      <x:c r="K90" s="86"/>
      <x:c r="L90" s="88"/>
      <x:c r="M90" s="88"/>
      <x:c r="N90" s="88"/>
      <x:c r="O90" s="88"/>
      <x:c r="P90" s="86"/>
      <x:c r="Q90" s="85"/>
      <x:c r="R90" s="85"/>
      <x:c r="S90" s="85"/>
      <x:c r="T90" s="85"/>
      <x:c r="U90" s="85"/>
      <x:c r="V90" s="85"/>
      <x:c r="W90" s="85"/>
      <x:c r="X90" s="85"/>
      <x:c r="Y90" s="85"/>
      <x:c r="Z90" s="85"/>
      <x:c r="AA90" s="85"/>
      <x:c r="AB90" s="85"/>
      <x:c r="AC90" s="85"/>
      <x:c r="AD90" s="85"/>
      <x:c r="AE90" s="85"/>
      <x:c r="AF90" s="85"/>
      <x:c r="AG90" s="85"/>
      <x:c r="AH90" s="85"/>
      <x:c r="AI90" s="85"/>
      <x:c r="AJ90" s="85"/>
    </x:row>
    <x:row r="91">
      <x:c r="A91" s="86"/>
      <x:c r="B91" s="86"/>
      <x:c r="C91" s="86"/>
      <x:c r="D91" s="86"/>
      <x:c r="E91" s="86"/>
      <x:c r="F91" s="86"/>
      <x:c r="G91" s="86"/>
      <x:c r="H91" s="87"/>
      <x:c r="I91" s="88"/>
      <x:c r="J91" s="86"/>
      <x:c r="K91" s="86"/>
      <x:c r="L91" s="88"/>
      <x:c r="M91" s="88"/>
      <x:c r="N91" s="88"/>
      <x:c r="O91" s="88"/>
      <x:c r="P91" s="86"/>
      <x:c r="Q91" s="85"/>
      <x:c r="R91" s="85"/>
      <x:c r="S91" s="85"/>
      <x:c r="T91" s="85"/>
      <x:c r="U91" s="85"/>
      <x:c r="V91" s="85"/>
      <x:c r="W91" s="85"/>
      <x:c r="X91" s="85"/>
      <x:c r="Y91" s="85"/>
      <x:c r="Z91" s="85"/>
      <x:c r="AA91" s="85"/>
      <x:c r="AB91" s="85"/>
      <x:c r="AC91" s="85"/>
      <x:c r="AD91" s="85"/>
      <x:c r="AE91" s="85"/>
      <x:c r="AF91" s="85"/>
      <x:c r="AG91" s="85"/>
      <x:c r="AH91" s="85"/>
      <x:c r="AI91" s="85"/>
      <x:c r="AJ91" s="85"/>
    </x:row>
    <x:row r="92">
      <x:c r="A92" s="86"/>
      <x:c r="B92" s="86"/>
      <x:c r="C92" s="86"/>
      <x:c r="D92" s="86"/>
      <x:c r="E92" s="86"/>
      <x:c r="F92" s="86"/>
      <x:c r="G92" s="86"/>
      <x:c r="H92" s="87"/>
      <x:c r="I92" s="88"/>
      <x:c r="J92" s="86"/>
      <x:c r="K92" s="86"/>
      <x:c r="L92" s="88"/>
      <x:c r="M92" s="88"/>
      <x:c r="N92" s="88"/>
      <x:c r="O92" s="88"/>
      <x:c r="P92" s="86"/>
      <x:c r="Q92" s="85"/>
      <x:c r="R92" s="85"/>
      <x:c r="S92" s="85"/>
      <x:c r="T92" s="85"/>
      <x:c r="U92" s="85"/>
      <x:c r="V92" s="85"/>
      <x:c r="W92" s="85"/>
      <x:c r="X92" s="85"/>
      <x:c r="Y92" s="85"/>
      <x:c r="Z92" s="85"/>
      <x:c r="AA92" s="85"/>
      <x:c r="AB92" s="85"/>
      <x:c r="AC92" s="85"/>
      <x:c r="AD92" s="85"/>
      <x:c r="AE92" s="85"/>
      <x:c r="AF92" s="85"/>
      <x:c r="AG92" s="85"/>
      <x:c r="AH92" s="85"/>
      <x:c r="AI92" s="85"/>
      <x:c r="AJ92" s="85"/>
    </x:row>
    <x:row r="93">
      <x:c r="A93" s="86"/>
      <x:c r="B93" s="86"/>
      <x:c r="C93" s="86"/>
      <x:c r="D93" s="86"/>
      <x:c r="E93" s="86"/>
      <x:c r="F93" s="86"/>
      <x:c r="G93" s="86"/>
      <x:c r="H93" s="87"/>
      <x:c r="I93" s="88"/>
      <x:c r="J93" s="86"/>
      <x:c r="K93" s="86"/>
      <x:c r="L93" s="88"/>
      <x:c r="M93" s="88"/>
      <x:c r="N93" s="88"/>
      <x:c r="O93" s="88"/>
      <x:c r="P93" s="86"/>
      <x:c r="Q93" s="85"/>
      <x:c r="R93" s="85"/>
      <x:c r="S93" s="85"/>
      <x:c r="T93" s="85"/>
      <x:c r="U93" s="85"/>
      <x:c r="V93" s="85"/>
      <x:c r="W93" s="85"/>
      <x:c r="X93" s="85"/>
      <x:c r="Y93" s="85"/>
      <x:c r="Z93" s="85"/>
      <x:c r="AA93" s="85"/>
      <x:c r="AB93" s="85"/>
      <x:c r="AC93" s="85"/>
      <x:c r="AD93" s="85"/>
      <x:c r="AE93" s="85"/>
      <x:c r="AF93" s="85"/>
      <x:c r="AG93" s="85"/>
      <x:c r="AH93" s="85"/>
      <x:c r="AI93" s="85"/>
      <x:c r="AJ93" s="85"/>
    </x:row>
    <x:row r="94">
      <x:c r="A94" s="86"/>
      <x:c r="B94" s="86"/>
      <x:c r="C94" s="86"/>
      <x:c r="D94" s="86"/>
      <x:c r="E94" s="86"/>
      <x:c r="F94" s="86"/>
      <x:c r="G94" s="86"/>
      <x:c r="H94" s="87"/>
      <x:c r="I94" s="88"/>
      <x:c r="J94" s="86"/>
      <x:c r="K94" s="86"/>
      <x:c r="L94" s="88"/>
      <x:c r="M94" s="88"/>
      <x:c r="N94" s="88"/>
      <x:c r="O94" s="88"/>
      <x:c r="P94" s="86"/>
      <x:c r="Q94" s="85"/>
      <x:c r="R94" s="85"/>
      <x:c r="S94" s="85"/>
      <x:c r="T94" s="85"/>
      <x:c r="U94" s="85"/>
      <x:c r="V94" s="85"/>
      <x:c r="W94" s="85"/>
      <x:c r="X94" s="85"/>
      <x:c r="Y94" s="85"/>
      <x:c r="Z94" s="85"/>
      <x:c r="AA94" s="85"/>
      <x:c r="AB94" s="85"/>
      <x:c r="AC94" s="85"/>
      <x:c r="AD94" s="85"/>
      <x:c r="AE94" s="85"/>
      <x:c r="AF94" s="85"/>
      <x:c r="AG94" s="85"/>
      <x:c r="AH94" s="85"/>
      <x:c r="AI94" s="85"/>
      <x:c r="AJ94" s="85"/>
    </x:row>
    <x:row r="95">
      <x:c r="A95" s="86"/>
      <x:c r="B95" s="86"/>
      <x:c r="C95" s="86"/>
      <x:c r="D95" s="86"/>
      <x:c r="E95" s="86"/>
      <x:c r="F95" s="86"/>
      <x:c r="G95" s="86"/>
      <x:c r="H95" s="87"/>
      <x:c r="I95" s="88"/>
      <x:c r="J95" s="86"/>
      <x:c r="K95" s="86"/>
      <x:c r="L95" s="88"/>
      <x:c r="M95" s="88"/>
      <x:c r="N95" s="88"/>
      <x:c r="O95" s="88"/>
      <x:c r="P95" s="86"/>
      <x:c r="Q95" s="85"/>
      <x:c r="R95" s="85"/>
      <x:c r="S95" s="85"/>
      <x:c r="T95" s="85"/>
      <x:c r="U95" s="85"/>
      <x:c r="V95" s="85"/>
      <x:c r="W95" s="85"/>
      <x:c r="X95" s="85"/>
      <x:c r="Y95" s="85"/>
      <x:c r="Z95" s="85"/>
      <x:c r="AA95" s="85"/>
      <x:c r="AB95" s="85"/>
      <x:c r="AC95" s="85"/>
      <x:c r="AD95" s="85"/>
      <x:c r="AE95" s="85"/>
      <x:c r="AF95" s="85"/>
      <x:c r="AG95" s="85"/>
      <x:c r="AH95" s="85"/>
      <x:c r="AI95" s="85"/>
      <x:c r="AJ95" s="85"/>
    </x:row>
    <x:row r="96">
      <x:c r="A96" s="86"/>
      <x:c r="B96" s="86"/>
      <x:c r="C96" s="86"/>
      <x:c r="D96" s="86"/>
      <x:c r="E96" s="86"/>
      <x:c r="F96" s="86"/>
      <x:c r="G96" s="86"/>
      <x:c r="H96" s="87"/>
      <x:c r="I96" s="88"/>
      <x:c r="J96" s="86"/>
      <x:c r="K96" s="86"/>
      <x:c r="L96" s="88"/>
      <x:c r="M96" s="88"/>
      <x:c r="N96" s="88"/>
      <x:c r="O96" s="88"/>
      <x:c r="P96" s="86"/>
      <x:c r="Q96" s="85"/>
      <x:c r="R96" s="85"/>
      <x:c r="S96" s="85"/>
      <x:c r="T96" s="85"/>
      <x:c r="U96" s="85"/>
      <x:c r="V96" s="85"/>
      <x:c r="W96" s="85"/>
      <x:c r="X96" s="85"/>
      <x:c r="Y96" s="85"/>
      <x:c r="Z96" s="85"/>
      <x:c r="AA96" s="85"/>
      <x:c r="AB96" s="85"/>
      <x:c r="AC96" s="85"/>
      <x:c r="AD96" s="85"/>
      <x:c r="AE96" s="85"/>
      <x:c r="AF96" s="85"/>
      <x:c r="AG96" s="85"/>
      <x:c r="AH96" s="85"/>
      <x:c r="AI96" s="85"/>
      <x:c r="AJ96" s="85"/>
    </x:row>
    <x:row r="97">
      <x:c r="A97" s="86"/>
      <x:c r="B97" s="86"/>
      <x:c r="C97" s="86"/>
      <x:c r="D97" s="86"/>
      <x:c r="E97" s="86"/>
      <x:c r="F97" s="86"/>
      <x:c r="G97" s="86"/>
      <x:c r="H97" s="87"/>
      <x:c r="I97" s="88"/>
      <x:c r="J97" s="86"/>
      <x:c r="K97" s="86"/>
      <x:c r="L97" s="88"/>
      <x:c r="M97" s="88"/>
      <x:c r="N97" s="88"/>
      <x:c r="O97" s="88"/>
      <x:c r="P97" s="86"/>
      <x:c r="Q97" s="85"/>
      <x:c r="R97" s="85"/>
      <x:c r="S97" s="85"/>
      <x:c r="T97" s="85"/>
      <x:c r="U97" s="85"/>
      <x:c r="V97" s="85"/>
      <x:c r="W97" s="85"/>
      <x:c r="X97" s="85"/>
      <x:c r="Y97" s="85"/>
      <x:c r="Z97" s="85"/>
      <x:c r="AA97" s="85"/>
      <x:c r="AB97" s="85"/>
      <x:c r="AC97" s="85"/>
      <x:c r="AD97" s="85"/>
      <x:c r="AE97" s="85"/>
      <x:c r="AF97" s="85"/>
      <x:c r="AG97" s="85"/>
      <x:c r="AH97" s="85"/>
      <x:c r="AI97" s="85"/>
      <x:c r="AJ97" s="85"/>
    </x:row>
    <x:row r="98">
      <x:c r="A98" s="86"/>
      <x:c r="B98" s="86"/>
      <x:c r="C98" s="86"/>
      <x:c r="D98" s="86"/>
      <x:c r="E98" s="86"/>
      <x:c r="F98" s="86"/>
      <x:c r="G98" s="86"/>
      <x:c r="H98" s="87"/>
      <x:c r="I98" s="88"/>
      <x:c r="J98" s="86"/>
      <x:c r="K98" s="86"/>
      <x:c r="L98" s="88"/>
      <x:c r="M98" s="88"/>
      <x:c r="N98" s="88"/>
      <x:c r="O98" s="88"/>
      <x:c r="P98" s="86"/>
      <x:c r="Q98" s="85"/>
      <x:c r="R98" s="85"/>
      <x:c r="S98" s="85"/>
      <x:c r="T98" s="85"/>
      <x:c r="U98" s="85"/>
      <x:c r="V98" s="85"/>
      <x:c r="W98" s="85"/>
      <x:c r="X98" s="85"/>
      <x:c r="Y98" s="85"/>
      <x:c r="Z98" s="85"/>
      <x:c r="AA98" s="85"/>
      <x:c r="AB98" s="85"/>
      <x:c r="AC98" s="85"/>
      <x:c r="AD98" s="85"/>
      <x:c r="AE98" s="85"/>
      <x:c r="AF98" s="85"/>
      <x:c r="AG98" s="85"/>
      <x:c r="AH98" s="85"/>
      <x:c r="AI98" s="85"/>
      <x:c r="AJ98" s="85"/>
    </x:row>
    <x:row r="99">
      <x:c r="A99" s="86"/>
      <x:c r="B99" s="86"/>
      <x:c r="C99" s="86"/>
      <x:c r="D99" s="86"/>
      <x:c r="E99" s="86"/>
      <x:c r="F99" s="86"/>
      <x:c r="G99" s="86"/>
      <x:c r="H99" s="87"/>
      <x:c r="I99" s="88"/>
      <x:c r="J99" s="86"/>
      <x:c r="K99" s="86"/>
      <x:c r="L99" s="88"/>
      <x:c r="M99" s="88"/>
      <x:c r="N99" s="88"/>
      <x:c r="O99" s="88"/>
      <x:c r="P99" s="86"/>
      <x:c r="Q99" s="85"/>
      <x:c r="R99" s="85"/>
      <x:c r="S99" s="85"/>
      <x:c r="T99" s="85"/>
      <x:c r="U99" s="85"/>
      <x:c r="V99" s="85"/>
      <x:c r="W99" s="85"/>
      <x:c r="X99" s="85"/>
      <x:c r="Y99" s="85"/>
      <x:c r="Z99" s="85"/>
      <x:c r="AA99" s="85"/>
      <x:c r="AB99" s="85"/>
      <x:c r="AC99" s="85"/>
      <x:c r="AD99" s="85"/>
      <x:c r="AE99" s="85"/>
      <x:c r="AF99" s="85"/>
      <x:c r="AG99" s="85"/>
      <x:c r="AH99" s="85"/>
      <x:c r="AI99" s="85"/>
      <x:c r="AJ99" s="85"/>
    </x:row>
    <x:row r="100">
      <x:c r="A100" s="86"/>
      <x:c r="B100" s="86"/>
      <x:c r="C100" s="86"/>
      <x:c r="D100" s="86"/>
      <x:c r="E100" s="86"/>
      <x:c r="F100" s="86"/>
      <x:c r="G100" s="86"/>
      <x:c r="H100" s="87"/>
      <x:c r="I100" s="88"/>
      <x:c r="J100" s="86"/>
      <x:c r="K100" s="86"/>
      <x:c r="L100" s="88"/>
      <x:c r="M100" s="88"/>
      <x:c r="N100" s="88"/>
      <x:c r="O100" s="88"/>
      <x:c r="P100" s="86"/>
      <x:c r="Q100" s="85"/>
      <x:c r="R100" s="85"/>
      <x:c r="S100" s="85"/>
      <x:c r="T100" s="85"/>
      <x:c r="U100" s="85"/>
      <x:c r="V100" s="85"/>
      <x:c r="W100" s="85"/>
      <x:c r="X100" s="85"/>
      <x:c r="Y100" s="85"/>
      <x:c r="Z100" s="85"/>
      <x:c r="AA100" s="85"/>
      <x:c r="AB100" s="85"/>
      <x:c r="AC100" s="85"/>
      <x:c r="AD100" s="85"/>
      <x:c r="AE100" s="85"/>
      <x:c r="AF100" s="85"/>
      <x:c r="AG100" s="85"/>
      <x:c r="AH100" s="85"/>
      <x:c r="AI100" s="85"/>
      <x:c r="AJ100" s="85"/>
    </x:row>
    <x:row r="101">
      <x:c r="A101" s="86"/>
      <x:c r="B101" s="86"/>
      <x:c r="C101" s="86"/>
      <x:c r="D101" s="86"/>
      <x:c r="E101" s="86"/>
      <x:c r="F101" s="86"/>
      <x:c r="G101" s="86"/>
      <x:c r="H101" s="87"/>
      <x:c r="I101" s="88"/>
      <x:c r="J101" s="86"/>
      <x:c r="K101" s="86"/>
      <x:c r="L101" s="88"/>
      <x:c r="M101" s="88"/>
      <x:c r="N101" s="88"/>
      <x:c r="O101" s="88"/>
      <x:c r="P101" s="86"/>
      <x:c r="Q101" s="85"/>
      <x:c r="R101" s="85"/>
      <x:c r="S101" s="85"/>
      <x:c r="T101" s="85"/>
      <x:c r="U101" s="85"/>
      <x:c r="V101" s="85"/>
      <x:c r="W101" s="85"/>
      <x:c r="X101" s="85"/>
      <x:c r="Y101" s="85"/>
      <x:c r="Z101" s="85"/>
      <x:c r="AA101" s="85"/>
      <x:c r="AB101" s="85"/>
      <x:c r="AC101" s="85"/>
      <x:c r="AD101" s="85"/>
      <x:c r="AE101" s="85"/>
      <x:c r="AF101" s="85"/>
      <x:c r="AG101" s="85"/>
      <x:c r="AH101" s="85"/>
      <x:c r="AI101" s="85"/>
      <x:c r="AJ101" s="85"/>
    </x:row>
    <x:row r="102">
      <x:c r="A102" s="85"/>
      <x:c r="B102" s="85"/>
      <x:c r="C102" s="85"/>
      <x:c r="D102" s="85"/>
      <x:c r="E102" s="85"/>
      <x:c r="F102" s="85"/>
      <x:c r="G102" s="85"/>
      <x:c r="H102" s="85"/>
      <x:c r="I102" s="85"/>
      <x:c r="J102" s="85"/>
      <x:c r="K102" s="85"/>
      <x:c r="L102" s="85"/>
      <x:c r="M102" s="85"/>
      <x:c r="N102" s="85"/>
      <x:c r="O102" s="85"/>
      <x:c r="P102" s="85"/>
      <x:c r="Q102" s="85"/>
      <x:c r="R102" s="85"/>
      <x:c r="S102" s="85"/>
      <x:c r="T102" s="85"/>
      <x:c r="U102" s="85"/>
      <x:c r="V102" s="85"/>
      <x:c r="W102" s="85"/>
      <x:c r="X102" s="85"/>
      <x:c r="Y102" s="85"/>
      <x:c r="Z102" s="85"/>
      <x:c r="AA102" s="85"/>
      <x:c r="AB102" s="85"/>
      <x:c r="AC102" s="85"/>
      <x:c r="AD102" s="85"/>
      <x:c r="AE102" s="85"/>
      <x:c r="AF102" s="85"/>
      <x:c r="AG102" s="85"/>
      <x:c r="AH102" s="85"/>
      <x:c r="AI102" s="85"/>
      <x:c r="AJ102" s="85"/>
    </x:row>
    <x:row r="103">
      <x:c r="A103" s="85"/>
      <x:c r="B103" s="85"/>
      <x:c r="C103" s="85"/>
      <x:c r="D103" s="85"/>
      <x:c r="E103" s="85"/>
      <x:c r="F103" s="85"/>
      <x:c r="G103" s="85"/>
      <x:c r="H103" s="85"/>
      <x:c r="I103" s="85"/>
      <x:c r="J103" s="85"/>
      <x:c r="K103" s="85"/>
      <x:c r="L103" s="85"/>
      <x:c r="M103" s="85"/>
      <x:c r="N103" s="85"/>
      <x:c r="O103" s="85"/>
      <x:c r="P103" s="85"/>
      <x:c r="Q103" s="85"/>
      <x:c r="R103" s="85"/>
      <x:c r="S103" s="85"/>
      <x:c r="T103" s="85"/>
      <x:c r="U103" s="85"/>
      <x:c r="V103" s="85"/>
      <x:c r="W103" s="85"/>
      <x:c r="X103" s="85"/>
      <x:c r="Y103" s="85"/>
      <x:c r="Z103" s="85"/>
      <x:c r="AA103" s="85"/>
      <x:c r="AB103" s="85"/>
      <x:c r="AC103" s="85"/>
      <x:c r="AD103" s="85"/>
      <x:c r="AE103" s="85"/>
      <x:c r="AF103" s="85"/>
      <x:c r="AG103" s="85"/>
      <x:c r="AH103" s="85"/>
      <x:c r="AI103" s="85"/>
      <x:c r="AJ103" s="85"/>
    </x:row>
  </x:sheetData>
  <x:dataValidations count="1">
    <x:dataValidation type="list" sqref="D2:D101">
      <x:formula1>"Ativo,Afastado,Férias,Desligado"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b69443f4ec4b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22" hidden="0" customWidth="1"/>
    <x:col min="4" max="4" width="13" hidden="0" customWidth="1"/>
    <x:col min="5" max="5" width="14" hidden="0" customWidth="1"/>
    <x:col min="6" max="6" width="22" hidden="0" customWidth="1"/>
    <x:col min="7" max="7" width="24" hidden="0" customWidth="1"/>
    <x:col min="8" max="8" width="22" hidden="0" customWidth="1"/>
    <x:col min="9" max="9" width="32" hidden="0" customWidth="1"/>
  </x:cols>
  <x:sheetData>
    <x:row r="1" ht="42" customHeight="1">
      <x:c r="A1" s="14" t="str">
        <x:v>Competência</x:v>
      </x:c>
      <x:c r="B1" s="14" t="str">
        <x:v>Matrícula</x:v>
      </x:c>
      <x:c r="C1" s="14" t="str">
        <x:v>Tipo de Movimento</x:v>
      </x:c>
      <x:c r="D1" s="14" t="str">
        <x:v>Quantidade</x:v>
      </x:c>
      <x:c r="E1" s="14" t="str">
        <x:v>Valor (R$)</x:v>
      </x:c>
      <x:c r="F1" s="14" t="str">
        <x:v>Bruto informado pelo sistema</x:v>
      </x:c>
      <x:c r="G1" s="14" t="str">
        <x:v>Descontos informados pelo sistema</x:v>
      </x:c>
      <x:c r="H1" s="14" t="str">
        <x:v>Líquido informado pelo sistema</x:v>
      </x:c>
      <x:c r="I1" s="14" t="str">
        <x:v>Observação</x:v>
      </x:c>
      <x:c r="J1" s="85"/>
      <x:c r="K1" s="85"/>
      <x:c r="L1" s="85"/>
      <x:c r="M1" s="85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  <x:c r="AA1" s="85"/>
      <x:c r="AB1" s="85"/>
      <x:c r="AC1" s="85"/>
      <x:c r="AD1" s="85"/>
      <x:c r="AE1" s="85"/>
      <x:c r="AF1" s="85"/>
      <x:c r="AG1" s="85"/>
      <x:c r="AH1" s="85"/>
      <x:c r="AI1" s="85"/>
      <x:c r="AJ1" s="85"/>
    </x:row>
    <x:row r="2">
      <x:c r="A2" s="128" t="str">
        <x:v>09/2026</x:v>
      </x:c>
      <x:c r="B2" s="128" t="n">
        <x:v>1001</x:v>
      </x:c>
      <x:c r="C2" s="128" t="str">
        <x:v>HE 50% (horas)</x:v>
      </x:c>
      <x:c r="D2" s="128" t="n">
        <x:v>8</x:v>
      </x:c>
      <x:c r="E2" s="130" t="n">
        <x:v>0</x:v>
      </x:c>
      <x:c r="F2" s="130" t="n">
        <x:v>10073.06</x:v>
      </x:c>
      <x:c r="G2" s="130" t="n">
        <x:v>1488.86</x:v>
      </x:c>
      <x:c r="H2" s="130" t="n">
        <x:v>8584.2</x:v>
      </x:c>
      <x:c r="I2" s="128" t="str">
        <x:v>Valores do sistema para conferência</x:v>
      </x:c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  <x:c r="AA2" s="85"/>
      <x:c r="AB2" s="85"/>
      <x:c r="AC2" s="85"/>
      <x:c r="AD2" s="85"/>
      <x:c r="AE2" s="85"/>
      <x:c r="AF2" s="85"/>
      <x:c r="AG2" s="85"/>
      <x:c r="AH2" s="85"/>
      <x:c r="AI2" s="85"/>
      <x:c r="AJ2" s="85"/>
    </x:row>
    <x:row r="3">
      <x:c r="A3" s="128" t="str">
        <x:v>09/2026</x:v>
      </x:c>
      <x:c r="B3" s="128" t="n">
        <x:v>1001</x:v>
      </x:c>
      <x:c r="C3" s="128" t="str">
        <x:v>Comissão</x:v>
      </x:c>
      <x:c r="D3" s="128" t="n">
        <x:v>0</x:v>
      </x:c>
      <x:c r="E3" s="130" t="n">
        <x:v>4200</x:v>
      </x:c>
      <x:c r="F3" s="130" t="n">
        <x:v>0</x:v>
      </x:c>
      <x:c r="G3" s="130" t="n">
        <x:v>0</x:v>
      </x:c>
      <x:c r="H3" s="130" t="n">
        <x:v>0</x:v>
      </x:c>
      <x:c r="I3" s="128" t="str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  <x:c r="AA3" s="85"/>
      <x:c r="AB3" s="85"/>
      <x:c r="AC3" s="85"/>
      <x:c r="AD3" s="85"/>
      <x:c r="AE3" s="85"/>
      <x:c r="AF3" s="85"/>
      <x:c r="AG3" s="85"/>
      <x:c r="AH3" s="85"/>
      <x:c r="AI3" s="85"/>
      <x:c r="AJ3" s="85"/>
    </x:row>
    <x:row r="4">
      <x:c r="A4" s="128" t="str">
        <x:v>09/2026</x:v>
      </x:c>
      <x:c r="B4" s="128" t="n">
        <x:v>1002</x:v>
      </x:c>
      <x:c r="C4" s="128" t="str">
        <x:v>HE 50% (horas)</x:v>
      </x:c>
      <x:c r="D4" s="128" t="n">
        <x:v>5</x:v>
      </x:c>
      <x:c r="E4" s="130" t="n">
        <x:v>0</x:v>
      </x:c>
      <x:c r="F4" s="130" t="n">
        <x:v>12236.78</x:v>
      </x:c>
      <x:c r="G4" s="130" t="n">
        <x:v>1560.86</x:v>
      </x:c>
      <x:c r="H4" s="130" t="n">
        <x:v>10675.91</x:v>
      </x:c>
      <x:c r="I4" s="128" t="str">
        <x:v>Valores do sistema para conferência</x:v>
      </x:c>
      <x:c r="J4" s="85"/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  <x:c r="AA4" s="85"/>
      <x:c r="AB4" s="85"/>
      <x:c r="AC4" s="85"/>
      <x:c r="AD4" s="85"/>
      <x:c r="AE4" s="85"/>
      <x:c r="AF4" s="85"/>
      <x:c r="AG4" s="85"/>
      <x:c r="AH4" s="85"/>
      <x:c r="AI4" s="85"/>
      <x:c r="AJ4" s="85"/>
    </x:row>
    <x:row r="5">
      <x:c r="A5" s="128" t="str">
        <x:v>09/2026</x:v>
      </x:c>
      <x:c r="B5" s="128" t="n">
        <x:v>1002</x:v>
      </x:c>
      <x:c r="C5" s="128" t="str">
        <x:v>Comissão</x:v>
      </x:c>
      <x:c r="D5" s="128" t="n">
        <x:v>0</x:v>
      </x:c>
      <x:c r="E5" s="130" t="n">
        <x:v>5100</x:v>
      </x:c>
      <x:c r="F5" s="130" t="n">
        <x:v>0</x:v>
      </x:c>
      <x:c r="G5" s="130" t="n">
        <x:v>0</x:v>
      </x:c>
      <x:c r="H5" s="130" t="n">
        <x:v>0</x:v>
      </x:c>
      <x:c r="I5" s="128" t="str"/>
      <x:c r="J5" s="85"/>
      <x:c r="K5" s="85"/>
      <x:c r="L5" s="85"/>
      <x:c r="M5" s="85"/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  <x:c r="AA5" s="85"/>
      <x:c r="AB5" s="85"/>
      <x:c r="AC5" s="85"/>
      <x:c r="AD5" s="85"/>
      <x:c r="AE5" s="85"/>
      <x:c r="AF5" s="85"/>
      <x:c r="AG5" s="85"/>
      <x:c r="AH5" s="85"/>
      <x:c r="AI5" s="85"/>
      <x:c r="AJ5" s="85"/>
    </x:row>
    <x:row r="6">
      <x:c r="A6" s="128" t="str">
        <x:v>09/2026</x:v>
      </x:c>
      <x:c r="B6" s="128" t="n">
        <x:v>1002</x:v>
      </x:c>
      <x:c r="C6" s="128" t="str">
        <x:v>Bônus/Gratificação</x:v>
      </x:c>
      <x:c r="D6" s="128" t="n">
        <x:v>0</x:v>
      </x:c>
      <x:c r="E6" s="130" t="n">
        <x:v>800</x:v>
      </x:c>
      <x:c r="F6" s="130" t="n">
        <x:v>0</x:v>
      </x:c>
      <x:c r="G6" s="130" t="n">
        <x:v>0</x:v>
      </x:c>
      <x:c r="H6" s="130" t="n">
        <x:v>0</x:v>
      </x:c>
      <x:c r="I6" s="128" t="str"/>
      <x:c r="J6" s="85"/>
      <x:c r="K6" s="85"/>
      <x:c r="L6" s="85"/>
      <x:c r="M6" s="85"/>
      <x:c r="N6" s="85"/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  <x:c r="AA6" s="85"/>
      <x:c r="AB6" s="85"/>
      <x:c r="AC6" s="85"/>
      <x:c r="AD6" s="85"/>
      <x:c r="AE6" s="85"/>
      <x:c r="AF6" s="85"/>
      <x:c r="AG6" s="85"/>
      <x:c r="AH6" s="85"/>
      <x:c r="AI6" s="85"/>
      <x:c r="AJ6" s="85"/>
    </x:row>
    <x:row r="7">
      <x:c r="A7" s="128" t="str">
        <x:v>09/2026</x:v>
      </x:c>
      <x:c r="B7" s="128" t="n">
        <x:v>1003</x:v>
      </x:c>
      <x:c r="C7" s="128" t="str">
        <x:v>Bônus/Gratificação</x:v>
      </x:c>
      <x:c r="D7" s="128" t="n">
        <x:v>0</x:v>
      </x:c>
      <x:c r="E7" s="130" t="n">
        <x:v>1500</x:v>
      </x:c>
      <x:c r="F7" s="130" t="n">
        <x:v>11300</x:v>
      </x:c>
      <x:c r="G7" s="130" t="n">
        <x:v>1338.86</x:v>
      </x:c>
      <x:c r="H7" s="130" t="n">
        <x:v>9961.14</x:v>
      </x:c>
      <x:c r="I7" s="128" t="str">
        <x:v>Valores do sistema para conferência</x:v>
      </x:c>
      <x:c r="J7" s="85"/>
      <x:c r="K7" s="85"/>
      <x:c r="L7" s="85"/>
      <x:c r="M7" s="85"/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  <x:c r="AA7" s="85"/>
      <x:c r="AB7" s="85"/>
      <x:c r="AC7" s="85"/>
      <x:c r="AD7" s="85"/>
      <x:c r="AE7" s="85"/>
      <x:c r="AF7" s="85"/>
      <x:c r="AG7" s="85"/>
      <x:c r="AH7" s="85"/>
      <x:c r="AI7" s="85"/>
      <x:c r="AJ7" s="85"/>
    </x:row>
    <x:row r="8">
      <x:c r="A8" s="128" t="str">
        <x:v>09/2026</x:v>
      </x:c>
      <x:c r="B8" s="128" t="n">
        <x:v>1004</x:v>
      </x:c>
      <x:c r="C8" s="128" t="str">
        <x:v>Falta (dias)</x:v>
      </x:c>
      <x:c r="D8" s="128" t="n">
        <x:v>1</x:v>
      </x:c>
      <x:c r="E8" s="130" t="n">
        <x:v>0</x:v>
      </x:c>
      <x:c r="F8" s="130" t="n">
        <x:v>8462.88</x:v>
      </x:c>
      <x:c r="G8" s="130" t="n">
        <x:v>1833.53</x:v>
      </x:c>
      <x:c r="H8" s="130" t="n">
        <x:v>6936.02</x:v>
      </x:c>
      <x:c r="I8" s="128" t="str">
        <x:v>Divergência simulada para conferência do RH</x:v>
      </x:c>
      <x:c r="J8" s="85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  <x:c r="AA8" s="85"/>
      <x:c r="AB8" s="85"/>
      <x:c r="AC8" s="85"/>
      <x:c r="AD8" s="85"/>
      <x:c r="AE8" s="85"/>
      <x:c r="AF8" s="85"/>
      <x:c r="AG8" s="85"/>
      <x:c r="AH8" s="85"/>
      <x:c r="AI8" s="85"/>
      <x:c r="AJ8" s="85"/>
    </x:row>
    <x:row r="9">
      <x:c r="A9" s="128" t="str">
        <x:v>09/2026</x:v>
      </x:c>
      <x:c r="B9" s="128" t="n">
        <x:v>1004</x:v>
      </x:c>
      <x:c r="C9" s="128" t="str">
        <x:v>Comissão</x:v>
      </x:c>
      <x:c r="D9" s="128" t="n">
        <x:v>0</x:v>
      </x:c>
      <x:c r="E9" s="130" t="n">
        <x:v>3600</x:v>
      </x:c>
      <x:c r="F9" s="130" t="n">
        <x:v>0</x:v>
      </x:c>
      <x:c r="G9" s="130" t="n">
        <x:v>0</x:v>
      </x:c>
      <x:c r="H9" s="130" t="n">
        <x:v>0</x:v>
      </x:c>
      <x:c r="I9" s="128" t="str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  <x:c r="AA9" s="85"/>
      <x:c r="AB9" s="85"/>
      <x:c r="AC9" s="85"/>
      <x:c r="AD9" s="85"/>
      <x:c r="AE9" s="85"/>
      <x:c r="AF9" s="85"/>
      <x:c r="AG9" s="85"/>
      <x:c r="AH9" s="85"/>
      <x:c r="AI9" s="85"/>
      <x:c r="AJ9" s="85"/>
    </x:row>
    <x:row r="10">
      <x:c r="A10" s="128" t="str">
        <x:v>09/2026</x:v>
      </x:c>
      <x:c r="B10" s="128" t="n">
        <x:v>1005</x:v>
      </x:c>
      <x:c r="C10" s="128" t="str">
        <x:v>HE 50% (horas)</x:v>
      </x:c>
      <x:c r="D10" s="128" t="n">
        <x:v>6</x:v>
      </x:c>
      <x:c r="E10" s="130" t="n">
        <x:v>0</x:v>
      </x:c>
      <x:c r="F10" s="130" t="n">
        <x:v>8448.1</x:v>
      </x:c>
      <x:c r="G10" s="130" t="n">
        <x:v>1278.86</x:v>
      </x:c>
      <x:c r="H10" s="130" t="n">
        <x:v>7169.24</x:v>
      </x:c>
      <x:c r="I10" s="128" t="str">
        <x:v>Valores do sistema para conferência</x:v>
      </x:c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  <x:c r="AA10" s="85"/>
      <x:c r="AB10" s="85"/>
      <x:c r="AC10" s="85"/>
      <x:c r="AD10" s="85"/>
      <x:c r="AE10" s="85"/>
      <x:c r="AF10" s="85"/>
      <x:c r="AG10" s="85"/>
      <x:c r="AH10" s="85"/>
      <x:c r="AI10" s="85"/>
      <x:c r="AJ10" s="85"/>
    </x:row>
    <x:row r="11">
      <x:c r="A11" s="128" t="str">
        <x:v>09/2026</x:v>
      </x:c>
      <x:c r="B11" s="128" t="n">
        <x:v>1005</x:v>
      </x:c>
      <x:c r="C11" s="128" t="str">
        <x:v>Bônus/Gratificação</x:v>
      </x:c>
      <x:c r="D11" s="128" t="n">
        <x:v>0</x:v>
      </x:c>
      <x:c r="E11" s="130" t="n">
        <x:v>900</x:v>
      </x:c>
      <x:c r="F11" s="130" t="n">
        <x:v>0</x:v>
      </x:c>
      <x:c r="G11" s="130" t="n">
        <x:v>0</x:v>
      </x:c>
      <x:c r="H11" s="130" t="n">
        <x:v>0</x:v>
      </x:c>
      <x:c r="I11" s="128" t="str"/>
      <x:c r="J11" s="85"/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  <x:c r="AA11" s="85"/>
      <x:c r="AB11" s="85"/>
      <x:c r="AC11" s="85"/>
      <x:c r="AD11" s="85"/>
      <x:c r="AE11" s="85"/>
      <x:c r="AF11" s="85"/>
      <x:c r="AG11" s="85"/>
      <x:c r="AH11" s="85"/>
      <x:c r="AI11" s="85"/>
      <x:c r="AJ11" s="85"/>
    </x:row>
    <x:row r="12">
      <x:c r="A12" s="128" t="str">
        <x:v>09/2026</x:v>
      </x:c>
      <x:c r="B12" s="128" t="n">
        <x:v>1006</x:v>
      </x:c>
      <x:c r="C12" s="128" t="str">
        <x:v>HE 50% (horas)</x:v>
      </x:c>
      <x:c r="D12" s="128" t="n">
        <x:v>4</x:v>
      </x:c>
      <x:c r="E12" s="130" t="n">
        <x:v>0</x:v>
      </x:c>
      <x:c r="F12" s="130" t="n">
        <x:v>7850.91</x:v>
      </x:c>
      <x:c r="G12" s="130" t="n">
        <x:v>1468.86</x:v>
      </x:c>
      <x:c r="H12" s="130" t="n">
        <x:v>6382.05</x:v>
      </x:c>
      <x:c r="I12" s="128" t="str">
        <x:v>Valores do sistema para conferência</x:v>
      </x:c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  <x:c r="AA12" s="85"/>
      <x:c r="AB12" s="85"/>
      <x:c r="AC12" s="85"/>
      <x:c r="AD12" s="85"/>
      <x:c r="AE12" s="85"/>
      <x:c r="AF12" s="85"/>
      <x:c r="AG12" s="85"/>
      <x:c r="AH12" s="85"/>
      <x:c r="AI12" s="85"/>
      <x:c r="AJ12" s="85"/>
    </x:row>
    <x:row r="13">
      <x:c r="A13" s="128" t="str">
        <x:v>09/2026</x:v>
      </x:c>
      <x:c r="B13" s="128" t="n">
        <x:v>1006</x:v>
      </x:c>
      <x:c r="C13" s="128" t="str">
        <x:v>Comissão</x:v>
      </x:c>
      <x:c r="D13" s="128" t="n">
        <x:v>0</x:v>
      </x:c>
      <x:c r="E13" s="130" t="n">
        <x:v>2800</x:v>
      </x:c>
      <x:c r="F13" s="130" t="n">
        <x:v>0</x:v>
      </x:c>
      <x:c r="G13" s="130" t="n">
        <x:v>0</x:v>
      </x:c>
      <x:c r="H13" s="130" t="n">
        <x:v>0</x:v>
      </x:c>
      <x:c r="I13" s="128" t="str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  <x:c r="AA13" s="85"/>
      <x:c r="AB13" s="85"/>
      <x:c r="AC13" s="85"/>
      <x:c r="AD13" s="85"/>
      <x:c r="AE13" s="85"/>
      <x:c r="AF13" s="85"/>
      <x:c r="AG13" s="85"/>
      <x:c r="AH13" s="85"/>
      <x:c r="AI13" s="85"/>
      <x:c r="AJ13" s="85"/>
    </x:row>
    <x:row r="14">
      <x:c r="A14" s="128" t="str">
        <x:v>09/2026</x:v>
      </x:c>
      <x:c r="B14" s="128" t="n">
        <x:v>1007</x:v>
      </x:c>
      <x:c r="C14" s="128" t="str">
        <x:v>HE 50% (horas)</x:v>
      </x:c>
      <x:c r="D14" s="128" t="n">
        <x:v>3</x:v>
      </x:c>
      <x:c r="E14" s="130" t="n">
        <x:v>0</x:v>
      </x:c>
      <x:c r="F14" s="130" t="n">
        <x:v>5573.29</x:v>
      </x:c>
      <x:c r="G14" s="130" t="n">
        <x:v>1234.08</x:v>
      </x:c>
      <x:c r="H14" s="130" t="n">
        <x:v>4339.21</x:v>
      </x:c>
      <x:c r="I14" s="128" t="str">
        <x:v>Divergência simulada para conferência do RH</x:v>
      </x:c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  <x:c r="AA14" s="85"/>
      <x:c r="AB14" s="85"/>
      <x:c r="AC14" s="85"/>
      <x:c r="AD14" s="85"/>
      <x:c r="AE14" s="85"/>
      <x:c r="AF14" s="85"/>
      <x:c r="AG14" s="85"/>
      <x:c r="AH14" s="85"/>
      <x:c r="AI14" s="85"/>
      <x:c r="AJ14" s="85"/>
    </x:row>
    <x:row r="15">
      <x:c r="A15" s="128" t="str">
        <x:v>09/2026</x:v>
      </x:c>
      <x:c r="B15" s="128" t="n">
        <x:v>1007</x:v>
      </x:c>
      <x:c r="C15" s="128" t="str">
        <x:v>Adicional</x:v>
      </x:c>
      <x:c r="D15" s="128" t="n">
        <x:v>0</x:v>
      </x:c>
      <x:c r="E15" s="130" t="n">
        <x:v>350</x:v>
      </x:c>
      <x:c r="F15" s="130" t="n">
        <x:v>0</x:v>
      </x:c>
      <x:c r="G15" s="130" t="n">
        <x:v>0</x:v>
      </x:c>
      <x:c r="H15" s="130" t="n">
        <x:v>0</x:v>
      </x:c>
      <x:c r="I15" s="128" t="str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  <x:c r="AA15" s="85"/>
      <x:c r="AB15" s="85"/>
      <x:c r="AC15" s="85"/>
      <x:c r="AD15" s="85"/>
      <x:c r="AE15" s="85"/>
      <x:c r="AF15" s="85"/>
      <x:c r="AG15" s="85"/>
      <x:c r="AH15" s="85"/>
      <x:c r="AI15" s="85"/>
      <x:c r="AJ15" s="85"/>
    </x:row>
    <x:row r="16">
      <x:c r="A16" s="128" t="str">
        <x:v>09/2026</x:v>
      </x:c>
      <x:c r="B16" s="128" t="n">
        <x:v>1008</x:v>
      </x:c>
      <x:c r="C16" s="128" t="str">
        <x:v>Comissão</x:v>
      </x:c>
      <x:c r="D16" s="128" t="n">
        <x:v>0</x:v>
      </x:c>
      <x:c r="E16" s="130" t="n">
        <x:v>3100</x:v>
      </x:c>
      <x:c r="F16" s="130" t="n">
        <x:v>7963.64</x:v>
      </x:c>
      <x:c r="G16" s="130" t="n">
        <x:v>1466.86</x:v>
      </x:c>
      <x:c r="H16" s="130" t="n">
        <x:v>6496.77</x:v>
      </x:c>
      <x:c r="I16" s="128" t="str">
        <x:v>Valores do sistema para conferência</x:v>
      </x:c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  <x:c r="AA16" s="85"/>
      <x:c r="AB16" s="85"/>
      <x:c r="AC16" s="85"/>
      <x:c r="AD16" s="85"/>
      <x:c r="AE16" s="85"/>
      <x:c r="AF16" s="85"/>
      <x:c r="AG16" s="85"/>
      <x:c r="AH16" s="85"/>
      <x:c r="AI16" s="85"/>
      <x:c r="AJ16" s="85"/>
    </x:row>
    <x:row r="17">
      <x:c r="A17" s="128" t="str">
        <x:v>09/2026</x:v>
      </x:c>
      <x:c r="B17" s="128" t="n">
        <x:v>1009</x:v>
      </x:c>
      <x:c r="C17" s="128" t="str">
        <x:v>HE 50% (horas)</x:v>
      </x:c>
      <x:c r="D17" s="128" t="n">
        <x:v>7</x:v>
      </x:c>
      <x:c r="E17" s="130" t="n">
        <x:v>0</x:v>
      </x:c>
      <x:c r="F17" s="130" t="n">
        <x:v>6415.87</x:v>
      </x:c>
      <x:c r="G17" s="130" t="n">
        <x:v>1287.04</x:v>
      </x:c>
      <x:c r="H17" s="130" t="n">
        <x:v>5128.83</x:v>
      </x:c>
      <x:c r="I17" s="128" t="str">
        <x:v>Valores do sistema para conferência</x:v>
      </x:c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  <x:c r="AA17" s="85"/>
      <x:c r="AB17" s="85"/>
      <x:c r="AC17" s="85"/>
      <x:c r="AD17" s="85"/>
      <x:c r="AE17" s="85"/>
      <x:c r="AF17" s="85"/>
      <x:c r="AG17" s="85"/>
      <x:c r="AH17" s="85"/>
      <x:c r="AI17" s="85"/>
      <x:c r="AJ17" s="85"/>
    </x:row>
    <x:row r="18">
      <x:c r="A18" s="128" t="str">
        <x:v>09/2026</x:v>
      </x:c>
      <x:c r="B18" s="128" t="n">
        <x:v>1009</x:v>
      </x:c>
      <x:c r="C18" s="128" t="str">
        <x:v>Bônus/Gratificação</x:v>
      </x:c>
      <x:c r="D18" s="128" t="n">
        <x:v>0</x:v>
      </x:c>
      <x:c r="E18" s="130" t="n">
        <x:v>500</x:v>
      </x:c>
      <x:c r="F18" s="130" t="n">
        <x:v>0</x:v>
      </x:c>
      <x:c r="G18" s="130" t="n">
        <x:v>0</x:v>
      </x:c>
      <x:c r="H18" s="130" t="n">
        <x:v>0</x:v>
      </x:c>
      <x:c r="I18" s="128" t="str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  <x:c r="AA18" s="85"/>
      <x:c r="AB18" s="85"/>
      <x:c r="AC18" s="85"/>
      <x:c r="AD18" s="85"/>
      <x:c r="AE18" s="85"/>
      <x:c r="AF18" s="85"/>
      <x:c r="AG18" s="85"/>
      <x:c r="AH18" s="85"/>
      <x:c r="AI18" s="85"/>
      <x:c r="AJ18" s="85"/>
    </x:row>
    <x:row r="19">
      <x:c r="A19" s="128" t="str">
        <x:v>09/2026</x:v>
      </x:c>
      <x:c r="B19" s="128" t="n">
        <x:v>1010</x:v>
      </x:c>
      <x:c r="C19" s="128" t="str">
        <x:v>Falta (dias)</x:v>
      </x:c>
      <x:c r="D19" s="128" t="n">
        <x:v>2</x:v>
      </x:c>
      <x:c r="E19" s="130" t="n">
        <x:v>0</x:v>
      </x:c>
      <x:c r="F19" s="130" t="n">
        <x:v>6854.55</x:v>
      </x:c>
      <x:c r="G19" s="130" t="n">
        <x:v>1733.66</x:v>
      </x:c>
      <x:c r="H19" s="130" t="n">
        <x:v>5540.89</x:v>
      </x:c>
      <x:c r="I19" s="128" t="str">
        <x:v>Divergência simulada para conferência do RH</x:v>
      </x:c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  <x:c r="AA19" s="85"/>
      <x:c r="AB19" s="85"/>
      <x:c r="AC19" s="85"/>
      <x:c r="AD19" s="85"/>
      <x:c r="AE19" s="85"/>
      <x:c r="AF19" s="85"/>
      <x:c r="AG19" s="85"/>
      <x:c r="AH19" s="85"/>
      <x:c r="AI19" s="85"/>
      <x:c r="AJ19" s="85"/>
    </x:row>
    <x:row r="20">
      <x:c r="A20" s="128" t="str">
        <x:v>09/2026</x:v>
      </x:c>
      <x:c r="B20" s="128" t="n">
        <x:v>1010</x:v>
      </x:c>
      <x:c r="C20" s="128" t="str">
        <x:v>Comissão</x:v>
      </x:c>
      <x:c r="D20" s="128" t="n">
        <x:v>0</x:v>
      </x:c>
      <x:c r="E20" s="130" t="n">
        <x:v>2500</x:v>
      </x:c>
      <x:c r="F20" s="130" t="n">
        <x:v>0</x:v>
      </x:c>
      <x:c r="G20" s="130" t="n">
        <x:v>0</x:v>
      </x:c>
      <x:c r="H20" s="130" t="n">
        <x:v>0</x:v>
      </x:c>
      <x:c r="I20" s="128" t="str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  <x:c r="AA20" s="85"/>
      <x:c r="AB20" s="85"/>
      <x:c r="AC20" s="85"/>
      <x:c r="AD20" s="85"/>
      <x:c r="AE20" s="85"/>
      <x:c r="AF20" s="85"/>
      <x:c r="AG20" s="85"/>
      <x:c r="AH20" s="85"/>
      <x:c r="AI20" s="85"/>
      <x:c r="AJ20" s="85"/>
    </x:row>
    <x:row r="21">
      <x:c r="A21" s="128" t="str">
        <x:v>09/2026</x:v>
      </x:c>
      <x:c r="B21" s="128" t="n">
        <x:v>1011</x:v>
      </x:c>
      <x:c r="C21" s="128" t="str">
        <x:v>HE 50% (horas)</x:v>
      </x:c>
      <x:c r="D21" s="128" t="n">
        <x:v>4</x:v>
      </x:c>
      <x:c r="E21" s="130" t="n">
        <x:v>0</x:v>
      </x:c>
      <x:c r="F21" s="130" t="n">
        <x:v>6390.17</x:v>
      </x:c>
      <x:c r="G21" s="130" t="n">
        <x:v>1273.44</x:v>
      </x:c>
      <x:c r="H21" s="130" t="n">
        <x:v>5116.72</x:v>
      </x:c>
      <x:c r="I21" s="128" t="str">
        <x:v>Valores do sistema para conferência</x:v>
      </x:c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  <x:c r="AA21" s="85"/>
      <x:c r="AB21" s="85"/>
      <x:c r="AC21" s="85"/>
      <x:c r="AD21" s="85"/>
      <x:c r="AE21" s="85"/>
      <x:c r="AF21" s="85"/>
      <x:c r="AG21" s="85"/>
      <x:c r="AH21" s="85"/>
      <x:c r="AI21" s="85"/>
      <x:c r="AJ21" s="85"/>
    </x:row>
    <x:row r="22">
      <x:c r="A22" s="128" t="str">
        <x:v>09/2026</x:v>
      </x:c>
      <x:c r="B22" s="128" t="n">
        <x:v>1011</x:v>
      </x:c>
      <x:c r="C22" s="128" t="str">
        <x:v>Adicional</x:v>
      </x:c>
      <x:c r="D22" s="128" t="n">
        <x:v>0</x:v>
      </x:c>
      <x:c r="E22" s="130" t="n">
        <x:v>300</x:v>
      </x:c>
      <x:c r="F22" s="130" t="n">
        <x:v>0</x:v>
      </x:c>
      <x:c r="G22" s="130" t="n">
        <x:v>0</x:v>
      </x:c>
      <x:c r="H22" s="130" t="n">
        <x:v>0</x:v>
      </x:c>
      <x:c r="I22" s="128" t="str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  <x:c r="AA22" s="85"/>
      <x:c r="AB22" s="85"/>
      <x:c r="AC22" s="85"/>
      <x:c r="AD22" s="85"/>
      <x:c r="AE22" s="85"/>
      <x:c r="AF22" s="85"/>
      <x:c r="AG22" s="85"/>
      <x:c r="AH22" s="85"/>
      <x:c r="AI22" s="85"/>
      <x:c r="AJ22" s="85"/>
    </x:row>
    <x:row r="23">
      <x:c r="A23" s="128" t="str">
        <x:v>09/2026</x:v>
      </x:c>
      <x:c r="B23" s="128" t="n">
        <x:v>1012</x:v>
      </x:c>
      <x:c r="C23" s="128" t="str">
        <x:v>HE 50% (horas)</x:v>
      </x:c>
      <x:c r="D23" s="128" t="n">
        <x:v>10</x:v>
      </x:c>
      <x:c r="E23" s="130" t="n">
        <x:v>0</x:v>
      </x:c>
      <x:c r="F23" s="130" t="n">
        <x:v>3853.97</x:v>
      </x:c>
      <x:c r="G23" s="130" t="n">
        <x:v>815.3</x:v>
      </x:c>
      <x:c r="H23" s="130" t="n">
        <x:v>3038.67</x:v>
      </x:c>
      <x:c r="I23" s="128" t="str">
        <x:v>Valores do sistema para conferência</x:v>
      </x:c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  <x:c r="AA23" s="85"/>
      <x:c r="AB23" s="85"/>
      <x:c r="AC23" s="85"/>
      <x:c r="AD23" s="85"/>
      <x:c r="AE23" s="85"/>
      <x:c r="AF23" s="85"/>
      <x:c r="AG23" s="85"/>
      <x:c r="AH23" s="85"/>
      <x:c r="AI23" s="85"/>
      <x:c r="AJ23" s="85"/>
    </x:row>
    <x:row r="24">
      <x:c r="A24" s="128" t="str">
        <x:v>09/2026</x:v>
      </x:c>
      <x:c r="B24" s="128" t="n">
        <x:v>1012</x:v>
      </x:c>
      <x:c r="C24" s="128" t="str">
        <x:v>Crédito Extra</x:v>
      </x:c>
      <x:c r="D24" s="128" t="n">
        <x:v>0</x:v>
      </x:c>
      <x:c r="E24" s="130" t="n">
        <x:v>180</x:v>
      </x:c>
      <x:c r="F24" s="130" t="n">
        <x:v>0</x:v>
      </x:c>
      <x:c r="G24" s="130" t="n">
        <x:v>0</x:v>
      </x:c>
      <x:c r="H24" s="130" t="n">
        <x:v>0</x:v>
      </x:c>
      <x:c r="I24" s="128" t="str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  <x:c r="AA24" s="85"/>
      <x:c r="AB24" s="85"/>
      <x:c r="AC24" s="85"/>
      <x:c r="AD24" s="85"/>
      <x:c r="AE24" s="85"/>
      <x:c r="AF24" s="85"/>
      <x:c r="AG24" s="85"/>
      <x:c r="AH24" s="85"/>
      <x:c r="AI24" s="85"/>
      <x:c r="AJ24" s="85"/>
    </x:row>
    <x:row r="25">
      <x:c r="A25" s="128" t="str">
        <x:v>09/2026</x:v>
      </x:c>
      <x:c r="B25" s="128" t="n">
        <x:v>1013</x:v>
      </x:c>
      <x:c r="C25" s="128" t="str">
        <x:v>HE 50% (horas)</x:v>
      </x:c>
      <x:c r="D25" s="128" t="n">
        <x:v>5</x:v>
      </x:c>
      <x:c r="E25" s="130" t="n">
        <x:v>0</x:v>
      </x:c>
      <x:c r="F25" s="130" t="n">
        <x:v>5867.56</x:v>
      </x:c>
      <x:c r="G25" s="130" t="n">
        <x:v>1140.28</x:v>
      </x:c>
      <x:c r="H25" s="130" t="n">
        <x:v>4727.28</x:v>
      </x:c>
      <x:c r="I25" s="128" t="str">
        <x:v>Valores do sistema para conferência</x:v>
      </x:c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  <x:c r="AA25" s="85"/>
      <x:c r="AB25" s="85"/>
      <x:c r="AC25" s="85"/>
      <x:c r="AD25" s="85"/>
      <x:c r="AE25" s="85"/>
      <x:c r="AF25" s="85"/>
      <x:c r="AG25" s="85"/>
      <x:c r="AH25" s="85"/>
      <x:c r="AI25" s="85"/>
      <x:c r="AJ25" s="85"/>
    </x:row>
    <x:row r="26">
      <x:c r="A26" s="128" t="str">
        <x:v>09/2026</x:v>
      </x:c>
      <x:c r="B26" s="128" t="n">
        <x:v>1013</x:v>
      </x:c>
      <x:c r="C26" s="128" t="str">
        <x:v>Adicional</x:v>
      </x:c>
      <x:c r="D26" s="128" t="n">
        <x:v>0</x:v>
      </x:c>
      <x:c r="E26" s="130" t="n">
        <x:v>250</x:v>
      </x:c>
      <x:c r="F26" s="130" t="n">
        <x:v>0</x:v>
      </x:c>
      <x:c r="G26" s="130" t="n">
        <x:v>0</x:v>
      </x:c>
      <x:c r="H26" s="130" t="n">
        <x:v>0</x:v>
      </x:c>
      <x:c r="I26" s="128" t="str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  <x:c r="AA26" s="85"/>
      <x:c r="AB26" s="85"/>
      <x:c r="AC26" s="85"/>
      <x:c r="AD26" s="85"/>
      <x:c r="AE26" s="85"/>
      <x:c r="AF26" s="85"/>
      <x:c r="AG26" s="85"/>
      <x:c r="AH26" s="85"/>
      <x:c r="AI26" s="85"/>
      <x:c r="AJ26" s="85"/>
    </x:row>
    <x:row r="27">
      <x:c r="A27" s="128" t="str">
        <x:v>09/2026</x:v>
      </x:c>
      <x:c r="B27" s="128" t="n">
        <x:v>1014</x:v>
      </x:c>
      <x:c r="C27" s="128" t="str">
        <x:v>Comissão</x:v>
      </x:c>
      <x:c r="D27" s="128" t="n">
        <x:v>0</x:v>
      </x:c>
      <x:c r="E27" s="130" t="n">
        <x:v>2300</x:v>
      </x:c>
      <x:c r="F27" s="130" t="n">
        <x:v>6994.38</x:v>
      </x:c>
      <x:c r="G27" s="130" t="n">
        <x:v>1269.03</x:v>
      </x:c>
      <x:c r="H27" s="130" t="n">
        <x:v>5725.35</x:v>
      </x:c>
      <x:c r="I27" s="128" t="str">
        <x:v>Divergência simulada para conferência do RH</x:v>
      </x:c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  <x:c r="AA27" s="85"/>
      <x:c r="AB27" s="85"/>
      <x:c r="AC27" s="85"/>
      <x:c r="AD27" s="85"/>
      <x:c r="AE27" s="85"/>
      <x:c r="AF27" s="85"/>
      <x:c r="AG27" s="85"/>
      <x:c r="AH27" s="85"/>
      <x:c r="AI27" s="85"/>
      <x:c r="AJ27" s="85"/>
    </x:row>
    <x:row r="28">
      <x:c r="A28" s="128" t="str">
        <x:v>09/2026</x:v>
      </x:c>
      <x:c r="B28" s="128" t="n">
        <x:v>1014</x:v>
      </x:c>
      <x:c r="C28" s="128" t="str">
        <x:v>HE 100% (horas)</x:v>
      </x:c>
      <x:c r="D28" s="128" t="n">
        <x:v>4</x:v>
      </x:c>
      <x:c r="E28" s="130" t="n">
        <x:v>0</x:v>
      </x:c>
      <x:c r="F28" s="130" t="n">
        <x:v>0</x:v>
      </x:c>
      <x:c r="G28" s="130" t="n">
        <x:v>0</x:v>
      </x:c>
      <x:c r="H28" s="130" t="n">
        <x:v>0</x:v>
      </x:c>
      <x:c r="I28" s="128" t="str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  <x:c r="AA28" s="85"/>
      <x:c r="AB28" s="85"/>
      <x:c r="AC28" s="85"/>
      <x:c r="AD28" s="85"/>
      <x:c r="AE28" s="85"/>
      <x:c r="AF28" s="85"/>
      <x:c r="AG28" s="85"/>
      <x:c r="AH28" s="85"/>
      <x:c r="AI28" s="85"/>
      <x:c r="AJ28" s="85"/>
    </x:row>
    <x:row r="29">
      <x:c r="A29" s="128" t="str">
        <x:v>09/2026</x:v>
      </x:c>
      <x:c r="B29" s="128" t="n">
        <x:v>1015</x:v>
      </x:c>
      <x:c r="C29" s="128" t="str">
        <x:v>HE 50% (horas)</x:v>
      </x:c>
      <x:c r="D29" s="128" t="n">
        <x:v>4</x:v>
      </x:c>
      <x:c r="E29" s="130" t="n">
        <x:v>0</x:v>
      </x:c>
      <x:c r="F29" s="130" t="n">
        <x:v>4645.04</x:v>
      </x:c>
      <x:c r="G29" s="130" t="n">
        <x:v>989.13</x:v>
      </x:c>
      <x:c r="H29" s="130" t="n">
        <x:v>3655.92</x:v>
      </x:c>
      <x:c r="I29" s="128" t="str">
        <x:v>Valores do sistema para conferência</x:v>
      </x:c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  <x:c r="AA29" s="85"/>
      <x:c r="AB29" s="85"/>
      <x:c r="AC29" s="85"/>
      <x:c r="AD29" s="85"/>
      <x:c r="AE29" s="85"/>
      <x:c r="AF29" s="85"/>
      <x:c r="AG29" s="85"/>
      <x:c r="AH29" s="85"/>
      <x:c r="AI29" s="85"/>
      <x:c r="AJ29" s="85"/>
    </x:row>
    <x:row r="30">
      <x:c r="A30" s="128" t="str">
        <x:v>09/2026</x:v>
      </x:c>
      <x:c r="B30" s="128" t="n">
        <x:v>1016</x:v>
      </x:c>
      <x:c r="C30" s="128" t="str">
        <x:v>HE 50% (horas)</x:v>
      </x:c>
      <x:c r="D30" s="128" t="n">
        <x:v>12</x:v>
      </x:c>
      <x:c r="E30" s="130" t="n">
        <x:v>0</x:v>
      </x:c>
      <x:c r="F30" s="130" t="n">
        <x:v>7399.5</x:v>
      </x:c>
      <x:c r="G30" s="130" t="n">
        <x:v>1524.75</x:v>
      </x:c>
      <x:c r="H30" s="130" t="n">
        <x:v>5874.75</x:v>
      </x:c>
      <x:c r="I30" s="128" t="str">
        <x:v>Valores do sistema para conferência</x:v>
      </x:c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  <x:c r="AA30" s="85"/>
      <x:c r="AB30" s="85"/>
      <x:c r="AC30" s="85"/>
      <x:c r="AD30" s="85"/>
      <x:c r="AE30" s="85"/>
      <x:c r="AF30" s="85"/>
      <x:c r="AG30" s="85"/>
      <x:c r="AH30" s="85"/>
      <x:c r="AI30" s="85"/>
      <x:c r="AJ30" s="85"/>
    </x:row>
    <x:row r="31">
      <x:c r="A31" s="128" t="str">
        <x:v>09/2026</x:v>
      </x:c>
      <x:c r="B31" s="128" t="n">
        <x:v>1016</x:v>
      </x:c>
      <x:c r="C31" s="128" t="str">
        <x:v>Bônus/Gratificação</x:v>
      </x:c>
      <x:c r="D31" s="128" t="n">
        <x:v>0</x:v>
      </x:c>
      <x:c r="E31" s="130" t="n">
        <x:v>600</x:v>
      </x:c>
      <x:c r="F31" s="130" t="n">
        <x:v>0</x:v>
      </x:c>
      <x:c r="G31" s="130" t="n">
        <x:v>0</x:v>
      </x:c>
      <x:c r="H31" s="130" t="n">
        <x:v>0</x:v>
      </x:c>
      <x:c r="I31" s="128" t="str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  <x:c r="AA31" s="85"/>
      <x:c r="AB31" s="85"/>
      <x:c r="AC31" s="85"/>
      <x:c r="AD31" s="85"/>
      <x:c r="AE31" s="85"/>
      <x:c r="AF31" s="85"/>
      <x:c r="AG31" s="85"/>
      <x:c r="AH31" s="85"/>
      <x:c r="AI31" s="85"/>
      <x:c r="AJ31" s="85"/>
    </x:row>
    <x:row r="32">
      <x:c r="A32" s="128" t="str">
        <x:v>09/2026</x:v>
      </x:c>
      <x:c r="B32" s="128" t="n">
        <x:v>1017</x:v>
      </x:c>
      <x:c r="C32" s="128" t="str">
        <x:v>Crédito Extra</x:v>
      </x:c>
      <x:c r="D32" s="128" t="n">
        <x:v>0</x:v>
      </x:c>
      <x:c r="E32" s="130" t="n">
        <x:v>0</x:v>
      </x:c>
      <x:c r="F32" s="130" t="n">
        <x:v>4000</x:v>
      </x:c>
      <x:c r="G32" s="130" t="n">
        <x:v>1098.82</x:v>
      </x:c>
      <x:c r="H32" s="130" t="n">
        <x:v>2901.18</x:v>
      </x:c>
      <x:c r="I32" s="128" t="str">
        <x:v>Divergência simulada para conferência do RH</x:v>
      </x:c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  <x:c r="AA32" s="85"/>
      <x:c r="AB32" s="85"/>
      <x:c r="AC32" s="85"/>
      <x:c r="AD32" s="85"/>
      <x:c r="AE32" s="85"/>
      <x:c r="AF32" s="85"/>
      <x:c r="AG32" s="85"/>
      <x:c r="AH32" s="85"/>
      <x:c r="AI32" s="85"/>
      <x:c r="AJ32" s="85"/>
    </x:row>
    <x:row r="33">
      <x:c r="A33" s="128" t="str">
        <x:v>09/2026</x:v>
      </x:c>
      <x:c r="B33" s="128" t="n">
        <x:v>1018</x:v>
      </x:c>
      <x:c r="C33" s="128" t="str">
        <x:v>HE 50% (horas)</x:v>
      </x:c>
      <x:c r="D33" s="128" t="n">
        <x:v>8</x:v>
      </x:c>
      <x:c r="E33" s="130" t="n">
        <x:v>0</x:v>
      </x:c>
      <x:c r="F33" s="130" t="n">
        <x:v>3406.28</x:v>
      </x:c>
      <x:c r="G33" s="130" t="n">
        <x:v>737.57</x:v>
      </x:c>
      <x:c r="H33" s="130" t="n">
        <x:v>2668.71</x:v>
      </x:c>
      <x:c r="I33" s="128" t="str">
        <x:v>Valores do sistema para conferência</x:v>
      </x:c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  <x:c r="AA33" s="85"/>
      <x:c r="AB33" s="85"/>
      <x:c r="AC33" s="85"/>
      <x:c r="AD33" s="85"/>
      <x:c r="AE33" s="85"/>
      <x:c r="AF33" s="85"/>
      <x:c r="AG33" s="85"/>
      <x:c r="AH33" s="85"/>
      <x:c r="AI33" s="85"/>
      <x:c r="AJ33" s="85"/>
    </x:row>
    <x:row r="34">
      <x:c r="A34" s="128" t="str">
        <x:v>09/2026</x:v>
      </x:c>
      <x:c r="B34" s="128" t="n">
        <x:v>1019</x:v>
      </x:c>
      <x:c r="C34" s="128" t="str">
        <x:v>HE 50% (horas)</x:v>
      </x:c>
      <x:c r="D34" s="128" t="n">
        <x:v>6</x:v>
      </x:c>
      <x:c r="E34" s="130" t="n">
        <x:v>0</x:v>
      </x:c>
      <x:c r="F34" s="130" t="n">
        <x:v>3249.88</x:v>
      </x:c>
      <x:c r="G34" s="130" t="n">
        <x:v>718.81</x:v>
      </x:c>
      <x:c r="H34" s="130" t="n">
        <x:v>2531.07</x:v>
      </x:c>
      <x:c r="I34" s="128" t="str">
        <x:v>Valores do sistema para conferência</x:v>
      </x:c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  <x:c r="AA34" s="85"/>
      <x:c r="AB34" s="85"/>
      <x:c r="AC34" s="85"/>
      <x:c r="AD34" s="85"/>
      <x:c r="AE34" s="85"/>
      <x:c r="AF34" s="85"/>
      <x:c r="AG34" s="85"/>
      <x:c r="AH34" s="85"/>
      <x:c r="AI34" s="85"/>
      <x:c r="AJ34" s="85"/>
    </x:row>
    <x:row r="35">
      <x:c r="A35" s="128" t="str">
        <x:v>09/2026</x:v>
      </x:c>
      <x:c r="B35" s="128" t="n">
        <x:v>1020</x:v>
      </x:c>
      <x:c r="C35" s="128" t="str">
        <x:v>Comissão</x:v>
      </x:c>
      <x:c r="D35" s="128" t="n">
        <x:v>0</x:v>
      </x:c>
      <x:c r="E35" s="130" t="n">
        <x:v>1900</x:v>
      </x:c>
      <x:c r="F35" s="130" t="n">
        <x:v>6294.73</x:v>
      </x:c>
      <x:c r="G35" s="130" t="n">
        <x:v>1246.38</x:v>
      </x:c>
      <x:c r="H35" s="130" t="n">
        <x:v>5048.35</x:v>
      </x:c>
      <x:c r="I35" s="128" t="str">
        <x:v>Divergência simulada para conferência do RH</x:v>
      </x:c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  <x:c r="AA35" s="85"/>
      <x:c r="AB35" s="85"/>
      <x:c r="AC35" s="85"/>
      <x:c r="AD35" s="85"/>
      <x:c r="AE35" s="85"/>
      <x:c r="AF35" s="85"/>
      <x:c r="AG35" s="85"/>
      <x:c r="AH35" s="85"/>
      <x:c r="AI35" s="85"/>
      <x:c r="AJ35" s="85"/>
    </x:row>
    <x:row r="36">
      <x:c r="A36" s="128" t="str">
        <x:v>09/2026</x:v>
      </x:c>
      <x:c r="B36" s="128" t="n">
        <x:v>1020</x:v>
      </x:c>
      <x:c r="C36" s="128" t="str">
        <x:v>HE 50% (horas)</x:v>
      </x:c>
      <x:c r="D36" s="128" t="n">
        <x:v>3</x:v>
      </x:c>
      <x:c r="E36" s="130" t="n">
        <x:v>0</x:v>
      </x:c>
      <x:c r="F36" s="130" t="n">
        <x:v>0</x:v>
      </x:c>
      <x:c r="G36" s="130" t="n">
        <x:v>0</x:v>
      </x:c>
      <x:c r="H36" s="130" t="n">
        <x:v>0</x:v>
      </x:c>
      <x:c r="I36" s="128" t="str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  <x:c r="AA36" s="85"/>
      <x:c r="AB36" s="85"/>
      <x:c r="AC36" s="85"/>
      <x:c r="AD36" s="85"/>
      <x:c r="AE36" s="85"/>
      <x:c r="AF36" s="85"/>
      <x:c r="AG36" s="85"/>
      <x:c r="AH36" s="85"/>
      <x:c r="AI36" s="85"/>
      <x:c r="AJ36" s="85"/>
    </x:row>
    <x:row r="37">
      <x:c r="A37" s="86"/>
      <x:c r="B37" s="86"/>
      <x:c r="C37" s="86"/>
      <x:c r="D37" s="86"/>
      <x:c r="E37" s="88"/>
      <x:c r="F37" s="88"/>
      <x:c r="G37" s="88"/>
      <x:c r="H37" s="88"/>
      <x:c r="I37" s="86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  <x:c r="AA37" s="85"/>
      <x:c r="AB37" s="85"/>
      <x:c r="AC37" s="85"/>
      <x:c r="AD37" s="85"/>
      <x:c r="AE37" s="85"/>
      <x:c r="AF37" s="85"/>
      <x:c r="AG37" s="85"/>
      <x:c r="AH37" s="85"/>
      <x:c r="AI37" s="85"/>
      <x:c r="AJ37" s="85"/>
    </x:row>
    <x:row r="38">
      <x:c r="A38" s="86"/>
      <x:c r="B38" s="86"/>
      <x:c r="C38" s="86"/>
      <x:c r="D38" s="86"/>
      <x:c r="E38" s="88"/>
      <x:c r="F38" s="88"/>
      <x:c r="G38" s="88"/>
      <x:c r="H38" s="88"/>
      <x:c r="I38" s="86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  <x:c r="AA38" s="85"/>
      <x:c r="AB38" s="85"/>
      <x:c r="AC38" s="85"/>
      <x:c r="AD38" s="85"/>
      <x:c r="AE38" s="85"/>
      <x:c r="AF38" s="85"/>
      <x:c r="AG38" s="85"/>
      <x:c r="AH38" s="85"/>
      <x:c r="AI38" s="85"/>
      <x:c r="AJ38" s="85"/>
    </x:row>
    <x:row r="39">
      <x:c r="A39" s="86"/>
      <x:c r="B39" s="86"/>
      <x:c r="C39" s="86"/>
      <x:c r="D39" s="86"/>
      <x:c r="E39" s="88"/>
      <x:c r="F39" s="88"/>
      <x:c r="G39" s="88"/>
      <x:c r="H39" s="88"/>
      <x:c r="I39" s="86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  <x:c r="AA39" s="85"/>
      <x:c r="AB39" s="85"/>
      <x:c r="AC39" s="85"/>
      <x:c r="AD39" s="85"/>
      <x:c r="AE39" s="85"/>
      <x:c r="AF39" s="85"/>
      <x:c r="AG39" s="85"/>
      <x:c r="AH39" s="85"/>
      <x:c r="AI39" s="85"/>
      <x:c r="AJ39" s="85"/>
    </x:row>
    <x:row r="40">
      <x:c r="A40" s="86"/>
      <x:c r="B40" s="86"/>
      <x:c r="C40" s="86"/>
      <x:c r="D40" s="86"/>
      <x:c r="E40" s="88"/>
      <x:c r="F40" s="88"/>
      <x:c r="G40" s="88"/>
      <x:c r="H40" s="88"/>
      <x:c r="I40" s="86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  <x:c r="AA40" s="85"/>
      <x:c r="AB40" s="85"/>
      <x:c r="AC40" s="85"/>
      <x:c r="AD40" s="85"/>
      <x:c r="AE40" s="85"/>
      <x:c r="AF40" s="85"/>
      <x:c r="AG40" s="85"/>
      <x:c r="AH40" s="85"/>
      <x:c r="AI40" s="85"/>
      <x:c r="AJ40" s="85"/>
    </x:row>
    <x:row r="41">
      <x:c r="A41" s="86"/>
      <x:c r="B41" s="86"/>
      <x:c r="C41" s="86"/>
      <x:c r="D41" s="86"/>
      <x:c r="E41" s="88"/>
      <x:c r="F41" s="88"/>
      <x:c r="G41" s="88"/>
      <x:c r="H41" s="88"/>
      <x:c r="I41" s="86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  <x:c r="AA41" s="85"/>
      <x:c r="AB41" s="85"/>
      <x:c r="AC41" s="85"/>
      <x:c r="AD41" s="85"/>
      <x:c r="AE41" s="85"/>
      <x:c r="AF41" s="85"/>
      <x:c r="AG41" s="85"/>
      <x:c r="AH41" s="85"/>
      <x:c r="AI41" s="85"/>
      <x:c r="AJ41" s="85"/>
    </x:row>
    <x:row r="42">
      <x:c r="A42" s="86"/>
      <x:c r="B42" s="86"/>
      <x:c r="C42" s="86"/>
      <x:c r="D42" s="86"/>
      <x:c r="E42" s="88"/>
      <x:c r="F42" s="88"/>
      <x:c r="G42" s="88"/>
      <x:c r="H42" s="88"/>
      <x:c r="I42" s="86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  <x:c r="AA42" s="85"/>
      <x:c r="AB42" s="85"/>
      <x:c r="AC42" s="85"/>
      <x:c r="AD42" s="85"/>
      <x:c r="AE42" s="85"/>
      <x:c r="AF42" s="85"/>
      <x:c r="AG42" s="85"/>
      <x:c r="AH42" s="85"/>
      <x:c r="AI42" s="85"/>
      <x:c r="AJ42" s="85"/>
    </x:row>
    <x:row r="43">
      <x:c r="A43" s="86"/>
      <x:c r="B43" s="86"/>
      <x:c r="C43" s="86"/>
      <x:c r="D43" s="86"/>
      <x:c r="E43" s="88"/>
      <x:c r="F43" s="88"/>
      <x:c r="G43" s="88"/>
      <x:c r="H43" s="88"/>
      <x:c r="I43" s="86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  <x:c r="AA43" s="85"/>
      <x:c r="AB43" s="85"/>
      <x:c r="AC43" s="85"/>
      <x:c r="AD43" s="85"/>
      <x:c r="AE43" s="85"/>
      <x:c r="AF43" s="85"/>
      <x:c r="AG43" s="85"/>
      <x:c r="AH43" s="85"/>
      <x:c r="AI43" s="85"/>
      <x:c r="AJ43" s="85"/>
    </x:row>
    <x:row r="44">
      <x:c r="A44" s="86"/>
      <x:c r="B44" s="86"/>
      <x:c r="C44" s="86"/>
      <x:c r="D44" s="86"/>
      <x:c r="E44" s="88"/>
      <x:c r="F44" s="88"/>
      <x:c r="G44" s="88"/>
      <x:c r="H44" s="88"/>
      <x:c r="I44" s="86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  <x:c r="AA44" s="85"/>
      <x:c r="AB44" s="85"/>
      <x:c r="AC44" s="85"/>
      <x:c r="AD44" s="85"/>
      <x:c r="AE44" s="85"/>
      <x:c r="AF44" s="85"/>
      <x:c r="AG44" s="85"/>
      <x:c r="AH44" s="85"/>
      <x:c r="AI44" s="85"/>
      <x:c r="AJ44" s="85"/>
    </x:row>
    <x:row r="45">
      <x:c r="A45" s="86"/>
      <x:c r="B45" s="86"/>
      <x:c r="C45" s="86"/>
      <x:c r="D45" s="86"/>
      <x:c r="E45" s="88"/>
      <x:c r="F45" s="88"/>
      <x:c r="G45" s="88"/>
      <x:c r="H45" s="88"/>
      <x:c r="I45" s="86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  <x:c r="AA45" s="85"/>
      <x:c r="AB45" s="85"/>
      <x:c r="AC45" s="85"/>
      <x:c r="AD45" s="85"/>
      <x:c r="AE45" s="85"/>
      <x:c r="AF45" s="85"/>
      <x:c r="AG45" s="85"/>
      <x:c r="AH45" s="85"/>
      <x:c r="AI45" s="85"/>
      <x:c r="AJ45" s="85"/>
    </x:row>
    <x:row r="46">
      <x:c r="A46" s="86"/>
      <x:c r="B46" s="86"/>
      <x:c r="C46" s="86"/>
      <x:c r="D46" s="86"/>
      <x:c r="E46" s="88"/>
      <x:c r="F46" s="88"/>
      <x:c r="G46" s="88"/>
      <x:c r="H46" s="88"/>
      <x:c r="I46" s="86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  <x:c r="AA46" s="85"/>
      <x:c r="AB46" s="85"/>
      <x:c r="AC46" s="85"/>
      <x:c r="AD46" s="85"/>
      <x:c r="AE46" s="85"/>
      <x:c r="AF46" s="85"/>
      <x:c r="AG46" s="85"/>
      <x:c r="AH46" s="85"/>
      <x:c r="AI46" s="85"/>
      <x:c r="AJ46" s="85"/>
    </x:row>
    <x:row r="47">
      <x:c r="A47" s="86"/>
      <x:c r="B47" s="86"/>
      <x:c r="C47" s="86"/>
      <x:c r="D47" s="86"/>
      <x:c r="E47" s="88"/>
      <x:c r="F47" s="88"/>
      <x:c r="G47" s="88"/>
      <x:c r="H47" s="88"/>
      <x:c r="I47" s="86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  <x:c r="AA47" s="85"/>
      <x:c r="AB47" s="85"/>
      <x:c r="AC47" s="85"/>
      <x:c r="AD47" s="85"/>
      <x:c r="AE47" s="85"/>
      <x:c r="AF47" s="85"/>
      <x:c r="AG47" s="85"/>
      <x:c r="AH47" s="85"/>
      <x:c r="AI47" s="85"/>
      <x:c r="AJ47" s="85"/>
    </x:row>
    <x:row r="48">
      <x:c r="A48" s="86"/>
      <x:c r="B48" s="86"/>
      <x:c r="C48" s="86"/>
      <x:c r="D48" s="86"/>
      <x:c r="E48" s="88"/>
      <x:c r="F48" s="88"/>
      <x:c r="G48" s="88"/>
      <x:c r="H48" s="88"/>
      <x:c r="I48" s="86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  <x:c r="AA48" s="85"/>
      <x:c r="AB48" s="85"/>
      <x:c r="AC48" s="85"/>
      <x:c r="AD48" s="85"/>
      <x:c r="AE48" s="85"/>
      <x:c r="AF48" s="85"/>
      <x:c r="AG48" s="85"/>
      <x:c r="AH48" s="85"/>
      <x:c r="AI48" s="85"/>
      <x:c r="AJ48" s="85"/>
    </x:row>
    <x:row r="49">
      <x:c r="A49" s="86"/>
      <x:c r="B49" s="86"/>
      <x:c r="C49" s="86"/>
      <x:c r="D49" s="86"/>
      <x:c r="E49" s="88"/>
      <x:c r="F49" s="88"/>
      <x:c r="G49" s="88"/>
      <x:c r="H49" s="88"/>
      <x:c r="I49" s="86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  <x:c r="AA49" s="85"/>
      <x:c r="AB49" s="85"/>
      <x:c r="AC49" s="85"/>
      <x:c r="AD49" s="85"/>
      <x:c r="AE49" s="85"/>
      <x:c r="AF49" s="85"/>
      <x:c r="AG49" s="85"/>
      <x:c r="AH49" s="85"/>
      <x:c r="AI49" s="85"/>
      <x:c r="AJ49" s="85"/>
    </x:row>
    <x:row r="50">
      <x:c r="A50" s="86"/>
      <x:c r="B50" s="86"/>
      <x:c r="C50" s="86"/>
      <x:c r="D50" s="86"/>
      <x:c r="E50" s="88"/>
      <x:c r="F50" s="88"/>
      <x:c r="G50" s="88"/>
      <x:c r="H50" s="88"/>
      <x:c r="I50" s="86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  <x:c r="AA50" s="85"/>
      <x:c r="AB50" s="85"/>
      <x:c r="AC50" s="85"/>
      <x:c r="AD50" s="85"/>
      <x:c r="AE50" s="85"/>
      <x:c r="AF50" s="85"/>
      <x:c r="AG50" s="85"/>
      <x:c r="AH50" s="85"/>
      <x:c r="AI50" s="85"/>
      <x:c r="AJ50" s="85"/>
    </x:row>
    <x:row r="51">
      <x:c r="A51" s="86"/>
      <x:c r="B51" s="86"/>
      <x:c r="C51" s="86"/>
      <x:c r="D51" s="86"/>
      <x:c r="E51" s="88"/>
      <x:c r="F51" s="88"/>
      <x:c r="G51" s="88"/>
      <x:c r="H51" s="88"/>
      <x:c r="I51" s="86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  <x:c r="AA51" s="85"/>
      <x:c r="AB51" s="85"/>
      <x:c r="AC51" s="85"/>
      <x:c r="AD51" s="85"/>
      <x:c r="AE51" s="85"/>
      <x:c r="AF51" s="85"/>
      <x:c r="AG51" s="85"/>
      <x:c r="AH51" s="85"/>
      <x:c r="AI51" s="85"/>
      <x:c r="AJ51" s="85"/>
    </x:row>
    <x:row r="52">
      <x:c r="A52" s="86"/>
      <x:c r="B52" s="86"/>
      <x:c r="C52" s="86"/>
      <x:c r="D52" s="86"/>
      <x:c r="E52" s="88"/>
      <x:c r="F52" s="88"/>
      <x:c r="G52" s="88"/>
      <x:c r="H52" s="88"/>
      <x:c r="I52" s="86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  <x:c r="AA52" s="85"/>
      <x:c r="AB52" s="85"/>
      <x:c r="AC52" s="85"/>
      <x:c r="AD52" s="85"/>
      <x:c r="AE52" s="85"/>
      <x:c r="AF52" s="85"/>
      <x:c r="AG52" s="85"/>
      <x:c r="AH52" s="85"/>
      <x:c r="AI52" s="85"/>
      <x:c r="AJ52" s="85"/>
    </x:row>
    <x:row r="53">
      <x:c r="A53" s="86"/>
      <x:c r="B53" s="86"/>
      <x:c r="C53" s="86"/>
      <x:c r="D53" s="86"/>
      <x:c r="E53" s="88"/>
      <x:c r="F53" s="88"/>
      <x:c r="G53" s="88"/>
      <x:c r="H53" s="88"/>
      <x:c r="I53" s="86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  <x:c r="AA53" s="85"/>
      <x:c r="AB53" s="85"/>
      <x:c r="AC53" s="85"/>
      <x:c r="AD53" s="85"/>
      <x:c r="AE53" s="85"/>
      <x:c r="AF53" s="85"/>
      <x:c r="AG53" s="85"/>
      <x:c r="AH53" s="85"/>
      <x:c r="AI53" s="85"/>
      <x:c r="AJ53" s="85"/>
    </x:row>
    <x:row r="54">
      <x:c r="A54" s="86"/>
      <x:c r="B54" s="86"/>
      <x:c r="C54" s="86"/>
      <x:c r="D54" s="86"/>
      <x:c r="E54" s="88"/>
      <x:c r="F54" s="88"/>
      <x:c r="G54" s="88"/>
      <x:c r="H54" s="88"/>
      <x:c r="I54" s="86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  <x:c r="AA54" s="85"/>
      <x:c r="AB54" s="85"/>
      <x:c r="AC54" s="85"/>
      <x:c r="AD54" s="85"/>
      <x:c r="AE54" s="85"/>
      <x:c r="AF54" s="85"/>
      <x:c r="AG54" s="85"/>
      <x:c r="AH54" s="85"/>
      <x:c r="AI54" s="85"/>
      <x:c r="AJ54" s="85"/>
    </x:row>
    <x:row r="55">
      <x:c r="A55" s="86"/>
      <x:c r="B55" s="86"/>
      <x:c r="C55" s="86"/>
      <x:c r="D55" s="86"/>
      <x:c r="E55" s="88"/>
      <x:c r="F55" s="88"/>
      <x:c r="G55" s="88"/>
      <x:c r="H55" s="88"/>
      <x:c r="I55" s="86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  <x:c r="AA55" s="85"/>
      <x:c r="AB55" s="85"/>
      <x:c r="AC55" s="85"/>
      <x:c r="AD55" s="85"/>
      <x:c r="AE55" s="85"/>
      <x:c r="AF55" s="85"/>
      <x:c r="AG55" s="85"/>
      <x:c r="AH55" s="85"/>
      <x:c r="AI55" s="85"/>
      <x:c r="AJ55" s="85"/>
    </x:row>
    <x:row r="56">
      <x:c r="A56" s="86"/>
      <x:c r="B56" s="86"/>
      <x:c r="C56" s="86"/>
      <x:c r="D56" s="86"/>
      <x:c r="E56" s="88"/>
      <x:c r="F56" s="88"/>
      <x:c r="G56" s="88"/>
      <x:c r="H56" s="88"/>
      <x:c r="I56" s="86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  <x:c r="AA56" s="85"/>
      <x:c r="AB56" s="85"/>
      <x:c r="AC56" s="85"/>
      <x:c r="AD56" s="85"/>
      <x:c r="AE56" s="85"/>
      <x:c r="AF56" s="85"/>
      <x:c r="AG56" s="85"/>
      <x:c r="AH56" s="85"/>
      <x:c r="AI56" s="85"/>
      <x:c r="AJ56" s="85"/>
    </x:row>
    <x:row r="57">
      <x:c r="A57" s="86"/>
      <x:c r="B57" s="86"/>
      <x:c r="C57" s="86"/>
      <x:c r="D57" s="86"/>
      <x:c r="E57" s="88"/>
      <x:c r="F57" s="88"/>
      <x:c r="G57" s="88"/>
      <x:c r="H57" s="88"/>
      <x:c r="I57" s="86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  <x:c r="AA57" s="85"/>
      <x:c r="AB57" s="85"/>
      <x:c r="AC57" s="85"/>
      <x:c r="AD57" s="85"/>
      <x:c r="AE57" s="85"/>
      <x:c r="AF57" s="85"/>
      <x:c r="AG57" s="85"/>
      <x:c r="AH57" s="85"/>
      <x:c r="AI57" s="85"/>
      <x:c r="AJ57" s="85"/>
    </x:row>
    <x:row r="58">
      <x:c r="A58" s="86"/>
      <x:c r="B58" s="86"/>
      <x:c r="C58" s="86"/>
      <x:c r="D58" s="86"/>
      <x:c r="E58" s="88"/>
      <x:c r="F58" s="88"/>
      <x:c r="G58" s="88"/>
      <x:c r="H58" s="88"/>
      <x:c r="I58" s="86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  <x:c r="AA58" s="85"/>
      <x:c r="AB58" s="85"/>
      <x:c r="AC58" s="85"/>
      <x:c r="AD58" s="85"/>
      <x:c r="AE58" s="85"/>
      <x:c r="AF58" s="85"/>
      <x:c r="AG58" s="85"/>
      <x:c r="AH58" s="85"/>
      <x:c r="AI58" s="85"/>
      <x:c r="AJ58" s="85"/>
    </x:row>
    <x:row r="59">
      <x:c r="A59" s="86"/>
      <x:c r="B59" s="86"/>
      <x:c r="C59" s="86"/>
      <x:c r="D59" s="86"/>
      <x:c r="E59" s="88"/>
      <x:c r="F59" s="88"/>
      <x:c r="G59" s="88"/>
      <x:c r="H59" s="88"/>
      <x:c r="I59" s="86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  <x:c r="AA59" s="85"/>
      <x:c r="AB59" s="85"/>
      <x:c r="AC59" s="85"/>
      <x:c r="AD59" s="85"/>
      <x:c r="AE59" s="85"/>
      <x:c r="AF59" s="85"/>
      <x:c r="AG59" s="85"/>
      <x:c r="AH59" s="85"/>
      <x:c r="AI59" s="85"/>
      <x:c r="AJ59" s="85"/>
    </x:row>
    <x:row r="60">
      <x:c r="A60" s="86"/>
      <x:c r="B60" s="86"/>
      <x:c r="C60" s="86"/>
      <x:c r="D60" s="86"/>
      <x:c r="E60" s="88"/>
      <x:c r="F60" s="88"/>
      <x:c r="G60" s="88"/>
      <x:c r="H60" s="88"/>
      <x:c r="I60" s="86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  <x:c r="AA60" s="85"/>
      <x:c r="AB60" s="85"/>
      <x:c r="AC60" s="85"/>
      <x:c r="AD60" s="85"/>
      <x:c r="AE60" s="85"/>
      <x:c r="AF60" s="85"/>
      <x:c r="AG60" s="85"/>
      <x:c r="AH60" s="85"/>
      <x:c r="AI60" s="85"/>
      <x:c r="AJ60" s="85"/>
    </x:row>
    <x:row r="61">
      <x:c r="A61" s="86"/>
      <x:c r="B61" s="86"/>
      <x:c r="C61" s="86"/>
      <x:c r="D61" s="86"/>
      <x:c r="E61" s="88"/>
      <x:c r="F61" s="88"/>
      <x:c r="G61" s="88"/>
      <x:c r="H61" s="88"/>
      <x:c r="I61" s="86"/>
      <x:c r="J61" s="85"/>
      <x:c r="K61" s="85"/>
      <x:c r="L61" s="85"/>
      <x:c r="M61" s="85"/>
      <x:c r="N61" s="85"/>
      <x:c r="O61" s="85"/>
      <x:c r="P61" s="85"/>
      <x:c r="Q61" s="85"/>
      <x:c r="R61" s="85"/>
      <x:c r="S61" s="85"/>
      <x:c r="T61" s="85"/>
      <x:c r="U61" s="85"/>
      <x:c r="V61" s="85"/>
      <x:c r="W61" s="85"/>
      <x:c r="X61" s="85"/>
      <x:c r="Y61" s="85"/>
      <x:c r="Z61" s="85"/>
      <x:c r="AA61" s="85"/>
      <x:c r="AB61" s="85"/>
      <x:c r="AC61" s="85"/>
      <x:c r="AD61" s="85"/>
      <x:c r="AE61" s="85"/>
      <x:c r="AF61" s="85"/>
      <x:c r="AG61" s="85"/>
      <x:c r="AH61" s="85"/>
      <x:c r="AI61" s="85"/>
      <x:c r="AJ61" s="85"/>
    </x:row>
    <x:row r="62">
      <x:c r="A62" s="86"/>
      <x:c r="B62" s="86"/>
      <x:c r="C62" s="86"/>
      <x:c r="D62" s="86"/>
      <x:c r="E62" s="88"/>
      <x:c r="F62" s="88"/>
      <x:c r="G62" s="88"/>
      <x:c r="H62" s="88"/>
      <x:c r="I62" s="86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  <x:c r="AA62" s="85"/>
      <x:c r="AB62" s="85"/>
      <x:c r="AC62" s="85"/>
      <x:c r="AD62" s="85"/>
      <x:c r="AE62" s="85"/>
      <x:c r="AF62" s="85"/>
      <x:c r="AG62" s="85"/>
      <x:c r="AH62" s="85"/>
      <x:c r="AI62" s="85"/>
      <x:c r="AJ62" s="85"/>
    </x:row>
    <x:row r="63">
      <x:c r="A63" s="86"/>
      <x:c r="B63" s="86"/>
      <x:c r="C63" s="86"/>
      <x:c r="D63" s="86"/>
      <x:c r="E63" s="88"/>
      <x:c r="F63" s="88"/>
      <x:c r="G63" s="88"/>
      <x:c r="H63" s="88"/>
      <x:c r="I63" s="86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5"/>
      <x:c r="V63" s="85"/>
      <x:c r="W63" s="85"/>
      <x:c r="X63" s="85"/>
      <x:c r="Y63" s="85"/>
      <x:c r="Z63" s="85"/>
      <x:c r="AA63" s="85"/>
      <x:c r="AB63" s="85"/>
      <x:c r="AC63" s="85"/>
      <x:c r="AD63" s="85"/>
      <x:c r="AE63" s="85"/>
      <x:c r="AF63" s="85"/>
      <x:c r="AG63" s="85"/>
      <x:c r="AH63" s="85"/>
      <x:c r="AI63" s="85"/>
      <x:c r="AJ63" s="85"/>
    </x:row>
    <x:row r="64">
      <x:c r="A64" s="86"/>
      <x:c r="B64" s="86"/>
      <x:c r="C64" s="86"/>
      <x:c r="D64" s="86"/>
      <x:c r="E64" s="88"/>
      <x:c r="F64" s="88"/>
      <x:c r="G64" s="88"/>
      <x:c r="H64" s="88"/>
      <x:c r="I64" s="86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  <x:c r="AA64" s="85"/>
      <x:c r="AB64" s="85"/>
      <x:c r="AC64" s="85"/>
      <x:c r="AD64" s="85"/>
      <x:c r="AE64" s="85"/>
      <x:c r="AF64" s="85"/>
      <x:c r="AG64" s="85"/>
      <x:c r="AH64" s="85"/>
      <x:c r="AI64" s="85"/>
      <x:c r="AJ64" s="85"/>
    </x:row>
    <x:row r="65">
      <x:c r="A65" s="86"/>
      <x:c r="B65" s="86"/>
      <x:c r="C65" s="86"/>
      <x:c r="D65" s="86"/>
      <x:c r="E65" s="88"/>
      <x:c r="F65" s="88"/>
      <x:c r="G65" s="88"/>
      <x:c r="H65" s="88"/>
      <x:c r="I65" s="86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  <x:c r="AA65" s="85"/>
      <x:c r="AB65" s="85"/>
      <x:c r="AC65" s="85"/>
      <x:c r="AD65" s="85"/>
      <x:c r="AE65" s="85"/>
      <x:c r="AF65" s="85"/>
      <x:c r="AG65" s="85"/>
      <x:c r="AH65" s="85"/>
      <x:c r="AI65" s="85"/>
      <x:c r="AJ65" s="85"/>
    </x:row>
    <x:row r="66">
      <x:c r="A66" s="86"/>
      <x:c r="B66" s="86"/>
      <x:c r="C66" s="86"/>
      <x:c r="D66" s="86"/>
      <x:c r="E66" s="88"/>
      <x:c r="F66" s="88"/>
      <x:c r="G66" s="88"/>
      <x:c r="H66" s="88"/>
      <x:c r="I66" s="86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5"/>
      <x:c r="V66" s="85"/>
      <x:c r="W66" s="85"/>
      <x:c r="X66" s="85"/>
      <x:c r="Y66" s="85"/>
      <x:c r="Z66" s="85"/>
      <x:c r="AA66" s="85"/>
      <x:c r="AB66" s="85"/>
      <x:c r="AC66" s="85"/>
      <x:c r="AD66" s="85"/>
      <x:c r="AE66" s="85"/>
      <x:c r="AF66" s="85"/>
      <x:c r="AG66" s="85"/>
      <x:c r="AH66" s="85"/>
      <x:c r="AI66" s="85"/>
      <x:c r="AJ66" s="85"/>
    </x:row>
    <x:row r="67">
      <x:c r="A67" s="86"/>
      <x:c r="B67" s="86"/>
      <x:c r="C67" s="86"/>
      <x:c r="D67" s="86"/>
      <x:c r="E67" s="88"/>
      <x:c r="F67" s="88"/>
      <x:c r="G67" s="88"/>
      <x:c r="H67" s="88"/>
      <x:c r="I67" s="86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  <x:c r="AA67" s="85"/>
      <x:c r="AB67" s="85"/>
      <x:c r="AC67" s="85"/>
      <x:c r="AD67" s="85"/>
      <x:c r="AE67" s="85"/>
      <x:c r="AF67" s="85"/>
      <x:c r="AG67" s="85"/>
      <x:c r="AH67" s="85"/>
      <x:c r="AI67" s="85"/>
      <x:c r="AJ67" s="85"/>
    </x:row>
    <x:row r="68">
      <x:c r="A68" s="86"/>
      <x:c r="B68" s="86"/>
      <x:c r="C68" s="86"/>
      <x:c r="D68" s="86"/>
      <x:c r="E68" s="88"/>
      <x:c r="F68" s="88"/>
      <x:c r="G68" s="88"/>
      <x:c r="H68" s="88"/>
      <x:c r="I68" s="86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  <x:c r="AA68" s="85"/>
      <x:c r="AB68" s="85"/>
      <x:c r="AC68" s="85"/>
      <x:c r="AD68" s="85"/>
      <x:c r="AE68" s="85"/>
      <x:c r="AF68" s="85"/>
      <x:c r="AG68" s="85"/>
      <x:c r="AH68" s="85"/>
      <x:c r="AI68" s="85"/>
      <x:c r="AJ68" s="85"/>
    </x:row>
    <x:row r="69">
      <x:c r="A69" s="86"/>
      <x:c r="B69" s="86"/>
      <x:c r="C69" s="86"/>
      <x:c r="D69" s="86"/>
      <x:c r="E69" s="88"/>
      <x:c r="F69" s="88"/>
      <x:c r="G69" s="88"/>
      <x:c r="H69" s="88"/>
      <x:c r="I69" s="86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5"/>
      <x:c r="V69" s="85"/>
      <x:c r="W69" s="85"/>
      <x:c r="X69" s="85"/>
      <x:c r="Y69" s="85"/>
      <x:c r="Z69" s="85"/>
      <x:c r="AA69" s="85"/>
      <x:c r="AB69" s="85"/>
      <x:c r="AC69" s="85"/>
      <x:c r="AD69" s="85"/>
      <x:c r="AE69" s="85"/>
      <x:c r="AF69" s="85"/>
      <x:c r="AG69" s="85"/>
      <x:c r="AH69" s="85"/>
      <x:c r="AI69" s="85"/>
      <x:c r="AJ69" s="85"/>
    </x:row>
    <x:row r="70">
      <x:c r="A70" s="86"/>
      <x:c r="B70" s="86"/>
      <x:c r="C70" s="86"/>
      <x:c r="D70" s="86"/>
      <x:c r="E70" s="88"/>
      <x:c r="F70" s="88"/>
      <x:c r="G70" s="88"/>
      <x:c r="H70" s="88"/>
      <x:c r="I70" s="86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  <x:c r="AA70" s="85"/>
      <x:c r="AB70" s="85"/>
      <x:c r="AC70" s="85"/>
      <x:c r="AD70" s="85"/>
      <x:c r="AE70" s="85"/>
      <x:c r="AF70" s="85"/>
      <x:c r="AG70" s="85"/>
      <x:c r="AH70" s="85"/>
      <x:c r="AI70" s="85"/>
      <x:c r="AJ70" s="85"/>
    </x:row>
    <x:row r="71">
      <x:c r="A71" s="86"/>
      <x:c r="B71" s="86"/>
      <x:c r="C71" s="86"/>
      <x:c r="D71" s="86"/>
      <x:c r="E71" s="88"/>
      <x:c r="F71" s="88"/>
      <x:c r="G71" s="88"/>
      <x:c r="H71" s="88"/>
      <x:c r="I71" s="86"/>
      <x:c r="J71" s="85"/>
      <x:c r="K71" s="85"/>
      <x:c r="L71" s="85"/>
      <x:c r="M71" s="85"/>
      <x:c r="N71" s="85"/>
      <x:c r="O71" s="85"/>
      <x:c r="P71" s="85"/>
      <x:c r="Q71" s="85"/>
      <x:c r="R71" s="85"/>
      <x:c r="S71" s="85"/>
      <x:c r="T71" s="85"/>
      <x:c r="U71" s="85"/>
      <x:c r="V71" s="85"/>
      <x:c r="W71" s="85"/>
      <x:c r="X71" s="85"/>
      <x:c r="Y71" s="85"/>
      <x:c r="Z71" s="85"/>
      <x:c r="AA71" s="85"/>
      <x:c r="AB71" s="85"/>
      <x:c r="AC71" s="85"/>
      <x:c r="AD71" s="85"/>
      <x:c r="AE71" s="85"/>
      <x:c r="AF71" s="85"/>
      <x:c r="AG71" s="85"/>
      <x:c r="AH71" s="85"/>
      <x:c r="AI71" s="85"/>
      <x:c r="AJ71" s="85"/>
    </x:row>
    <x:row r="72">
      <x:c r="A72" s="86"/>
      <x:c r="B72" s="86"/>
      <x:c r="C72" s="86"/>
      <x:c r="D72" s="86"/>
      <x:c r="E72" s="88"/>
      <x:c r="F72" s="88"/>
      <x:c r="G72" s="88"/>
      <x:c r="H72" s="88"/>
      <x:c r="I72" s="86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  <x:c r="AA72" s="85"/>
      <x:c r="AB72" s="85"/>
      <x:c r="AC72" s="85"/>
      <x:c r="AD72" s="85"/>
      <x:c r="AE72" s="85"/>
      <x:c r="AF72" s="85"/>
      <x:c r="AG72" s="85"/>
      <x:c r="AH72" s="85"/>
      <x:c r="AI72" s="85"/>
      <x:c r="AJ72" s="85"/>
    </x:row>
    <x:row r="73">
      <x:c r="A73" s="86"/>
      <x:c r="B73" s="86"/>
      <x:c r="C73" s="86"/>
      <x:c r="D73" s="86"/>
      <x:c r="E73" s="88"/>
      <x:c r="F73" s="88"/>
      <x:c r="G73" s="88"/>
      <x:c r="H73" s="88"/>
      <x:c r="I73" s="86"/>
      <x:c r="J73" s="85"/>
      <x:c r="K73" s="85"/>
      <x:c r="L73" s="85"/>
      <x:c r="M73" s="85"/>
      <x:c r="N73" s="85"/>
      <x:c r="O73" s="85"/>
      <x:c r="P73" s="85"/>
      <x:c r="Q73" s="85"/>
      <x:c r="R73" s="85"/>
      <x:c r="S73" s="85"/>
      <x:c r="T73" s="85"/>
      <x:c r="U73" s="85"/>
      <x:c r="V73" s="85"/>
      <x:c r="W73" s="85"/>
      <x:c r="X73" s="85"/>
      <x:c r="Y73" s="85"/>
      <x:c r="Z73" s="85"/>
      <x:c r="AA73" s="85"/>
      <x:c r="AB73" s="85"/>
      <x:c r="AC73" s="85"/>
      <x:c r="AD73" s="85"/>
      <x:c r="AE73" s="85"/>
      <x:c r="AF73" s="85"/>
      <x:c r="AG73" s="85"/>
      <x:c r="AH73" s="85"/>
      <x:c r="AI73" s="85"/>
      <x:c r="AJ73" s="85"/>
    </x:row>
    <x:row r="74">
      <x:c r="A74" s="86"/>
      <x:c r="B74" s="86"/>
      <x:c r="C74" s="86"/>
      <x:c r="D74" s="86"/>
      <x:c r="E74" s="88"/>
      <x:c r="F74" s="88"/>
      <x:c r="G74" s="88"/>
      <x:c r="H74" s="88"/>
      <x:c r="I74" s="86"/>
      <x:c r="J74" s="85"/>
      <x:c r="K74" s="85"/>
      <x:c r="L74" s="85"/>
      <x:c r="M74" s="85"/>
      <x:c r="N74" s="85"/>
      <x:c r="O74" s="85"/>
      <x:c r="P74" s="85"/>
      <x:c r="Q74" s="85"/>
      <x:c r="R74" s="85"/>
      <x:c r="S74" s="85"/>
      <x:c r="T74" s="85"/>
      <x:c r="U74" s="85"/>
      <x:c r="V74" s="85"/>
      <x:c r="W74" s="85"/>
      <x:c r="X74" s="85"/>
      <x:c r="Y74" s="85"/>
      <x:c r="Z74" s="85"/>
      <x:c r="AA74" s="85"/>
      <x:c r="AB74" s="85"/>
      <x:c r="AC74" s="85"/>
      <x:c r="AD74" s="85"/>
      <x:c r="AE74" s="85"/>
      <x:c r="AF74" s="85"/>
      <x:c r="AG74" s="85"/>
      <x:c r="AH74" s="85"/>
      <x:c r="AI74" s="85"/>
      <x:c r="AJ74" s="85"/>
    </x:row>
    <x:row r="75">
      <x:c r="A75" s="86"/>
      <x:c r="B75" s="86"/>
      <x:c r="C75" s="86"/>
      <x:c r="D75" s="86"/>
      <x:c r="E75" s="88"/>
      <x:c r="F75" s="88"/>
      <x:c r="G75" s="88"/>
      <x:c r="H75" s="88"/>
      <x:c r="I75" s="86"/>
      <x:c r="J75" s="85"/>
      <x:c r="K75" s="85"/>
      <x:c r="L75" s="85"/>
      <x:c r="M75" s="85"/>
      <x:c r="N75" s="85"/>
      <x:c r="O75" s="85"/>
      <x:c r="P75" s="85"/>
      <x:c r="Q75" s="85"/>
      <x:c r="R75" s="85"/>
      <x:c r="S75" s="85"/>
      <x:c r="T75" s="85"/>
      <x:c r="U75" s="85"/>
      <x:c r="V75" s="85"/>
      <x:c r="W75" s="85"/>
      <x:c r="X75" s="85"/>
      <x:c r="Y75" s="85"/>
      <x:c r="Z75" s="85"/>
      <x:c r="AA75" s="85"/>
      <x:c r="AB75" s="85"/>
      <x:c r="AC75" s="85"/>
      <x:c r="AD75" s="85"/>
      <x:c r="AE75" s="85"/>
      <x:c r="AF75" s="85"/>
      <x:c r="AG75" s="85"/>
      <x:c r="AH75" s="85"/>
      <x:c r="AI75" s="85"/>
      <x:c r="AJ75" s="85"/>
    </x:row>
    <x:row r="76">
      <x:c r="A76" s="86"/>
      <x:c r="B76" s="86"/>
      <x:c r="C76" s="86"/>
      <x:c r="D76" s="86"/>
      <x:c r="E76" s="88"/>
      <x:c r="F76" s="88"/>
      <x:c r="G76" s="88"/>
      <x:c r="H76" s="88"/>
      <x:c r="I76" s="86"/>
      <x:c r="J76" s="85"/>
      <x:c r="K76" s="85"/>
      <x:c r="L76" s="85"/>
      <x:c r="M76" s="85"/>
      <x:c r="N76" s="85"/>
      <x:c r="O76" s="85"/>
      <x:c r="P76" s="85"/>
      <x:c r="Q76" s="85"/>
      <x:c r="R76" s="85"/>
      <x:c r="S76" s="85"/>
      <x:c r="T76" s="85"/>
      <x:c r="U76" s="85"/>
      <x:c r="V76" s="85"/>
      <x:c r="W76" s="85"/>
      <x:c r="X76" s="85"/>
      <x:c r="Y76" s="85"/>
      <x:c r="Z76" s="85"/>
      <x:c r="AA76" s="85"/>
      <x:c r="AB76" s="85"/>
      <x:c r="AC76" s="85"/>
      <x:c r="AD76" s="85"/>
      <x:c r="AE76" s="85"/>
      <x:c r="AF76" s="85"/>
      <x:c r="AG76" s="85"/>
      <x:c r="AH76" s="85"/>
      <x:c r="AI76" s="85"/>
      <x:c r="AJ76" s="85"/>
    </x:row>
    <x:row r="77">
      <x:c r="A77" s="86"/>
      <x:c r="B77" s="86"/>
      <x:c r="C77" s="86"/>
      <x:c r="D77" s="86"/>
      <x:c r="E77" s="88"/>
      <x:c r="F77" s="88"/>
      <x:c r="G77" s="88"/>
      <x:c r="H77" s="88"/>
      <x:c r="I77" s="86"/>
      <x:c r="J77" s="85"/>
      <x:c r="K77" s="85"/>
      <x:c r="L77" s="85"/>
      <x:c r="M77" s="85"/>
      <x:c r="N77" s="85"/>
      <x:c r="O77" s="85"/>
      <x:c r="P77" s="85"/>
      <x:c r="Q77" s="85"/>
      <x:c r="R77" s="85"/>
      <x:c r="S77" s="85"/>
      <x:c r="T77" s="85"/>
      <x:c r="U77" s="85"/>
      <x:c r="V77" s="85"/>
      <x:c r="W77" s="85"/>
      <x:c r="X77" s="85"/>
      <x:c r="Y77" s="85"/>
      <x:c r="Z77" s="85"/>
      <x:c r="AA77" s="85"/>
      <x:c r="AB77" s="85"/>
      <x:c r="AC77" s="85"/>
      <x:c r="AD77" s="85"/>
      <x:c r="AE77" s="85"/>
      <x:c r="AF77" s="85"/>
      <x:c r="AG77" s="85"/>
      <x:c r="AH77" s="85"/>
      <x:c r="AI77" s="85"/>
      <x:c r="AJ77" s="85"/>
    </x:row>
    <x:row r="78">
      <x:c r="A78" s="86"/>
      <x:c r="B78" s="86"/>
      <x:c r="C78" s="86"/>
      <x:c r="D78" s="86"/>
      <x:c r="E78" s="88"/>
      <x:c r="F78" s="88"/>
      <x:c r="G78" s="88"/>
      <x:c r="H78" s="88"/>
      <x:c r="I78" s="86"/>
      <x:c r="J78" s="85"/>
      <x:c r="K78" s="85"/>
      <x:c r="L78" s="85"/>
      <x:c r="M78" s="85"/>
      <x:c r="N78" s="85"/>
      <x:c r="O78" s="85"/>
      <x:c r="P78" s="85"/>
      <x:c r="Q78" s="85"/>
      <x:c r="R78" s="85"/>
      <x:c r="S78" s="85"/>
      <x:c r="T78" s="85"/>
      <x:c r="U78" s="85"/>
      <x:c r="V78" s="85"/>
      <x:c r="W78" s="85"/>
      <x:c r="X78" s="85"/>
      <x:c r="Y78" s="85"/>
      <x:c r="Z78" s="85"/>
      <x:c r="AA78" s="85"/>
      <x:c r="AB78" s="85"/>
      <x:c r="AC78" s="85"/>
      <x:c r="AD78" s="85"/>
      <x:c r="AE78" s="85"/>
      <x:c r="AF78" s="85"/>
      <x:c r="AG78" s="85"/>
      <x:c r="AH78" s="85"/>
      <x:c r="AI78" s="85"/>
      <x:c r="AJ78" s="85"/>
    </x:row>
    <x:row r="79">
      <x:c r="A79" s="86"/>
      <x:c r="B79" s="86"/>
      <x:c r="C79" s="86"/>
      <x:c r="D79" s="86"/>
      <x:c r="E79" s="88"/>
      <x:c r="F79" s="88"/>
      <x:c r="G79" s="88"/>
      <x:c r="H79" s="88"/>
      <x:c r="I79" s="86"/>
      <x:c r="J79" s="85"/>
      <x:c r="K79" s="85"/>
      <x:c r="L79" s="85"/>
      <x:c r="M79" s="85"/>
      <x:c r="N79" s="85"/>
      <x:c r="O79" s="85"/>
      <x:c r="P79" s="85"/>
      <x:c r="Q79" s="85"/>
      <x:c r="R79" s="85"/>
      <x:c r="S79" s="85"/>
      <x:c r="T79" s="85"/>
      <x:c r="U79" s="85"/>
      <x:c r="V79" s="85"/>
      <x:c r="W79" s="85"/>
      <x:c r="X79" s="85"/>
      <x:c r="Y79" s="85"/>
      <x:c r="Z79" s="85"/>
      <x:c r="AA79" s="85"/>
      <x:c r="AB79" s="85"/>
      <x:c r="AC79" s="85"/>
      <x:c r="AD79" s="85"/>
      <x:c r="AE79" s="85"/>
      <x:c r="AF79" s="85"/>
      <x:c r="AG79" s="85"/>
      <x:c r="AH79" s="85"/>
      <x:c r="AI79" s="85"/>
      <x:c r="AJ79" s="85"/>
    </x:row>
    <x:row r="80">
      <x:c r="A80" s="86"/>
      <x:c r="B80" s="86"/>
      <x:c r="C80" s="86"/>
      <x:c r="D80" s="86"/>
      <x:c r="E80" s="88"/>
      <x:c r="F80" s="88"/>
      <x:c r="G80" s="88"/>
      <x:c r="H80" s="88"/>
      <x:c r="I80" s="86"/>
      <x:c r="J80" s="85"/>
      <x:c r="K80" s="85"/>
      <x:c r="L80" s="85"/>
      <x:c r="M80" s="85"/>
      <x:c r="N80" s="85"/>
      <x:c r="O80" s="85"/>
      <x:c r="P80" s="85"/>
      <x:c r="Q80" s="85"/>
      <x:c r="R80" s="85"/>
      <x:c r="S80" s="85"/>
      <x:c r="T80" s="85"/>
      <x:c r="U80" s="85"/>
      <x:c r="V80" s="85"/>
      <x:c r="W80" s="85"/>
      <x:c r="X80" s="85"/>
      <x:c r="Y80" s="85"/>
      <x:c r="Z80" s="85"/>
      <x:c r="AA80" s="85"/>
      <x:c r="AB80" s="85"/>
      <x:c r="AC80" s="85"/>
      <x:c r="AD80" s="85"/>
      <x:c r="AE80" s="85"/>
      <x:c r="AF80" s="85"/>
      <x:c r="AG80" s="85"/>
      <x:c r="AH80" s="85"/>
      <x:c r="AI80" s="85"/>
      <x:c r="AJ80" s="85"/>
    </x:row>
    <x:row r="81">
      <x:c r="A81" s="86"/>
      <x:c r="B81" s="86"/>
      <x:c r="C81" s="86"/>
      <x:c r="D81" s="86"/>
      <x:c r="E81" s="88"/>
      <x:c r="F81" s="88"/>
      <x:c r="G81" s="88"/>
      <x:c r="H81" s="88"/>
      <x:c r="I81" s="86"/>
      <x:c r="J81" s="85"/>
      <x:c r="K81" s="85"/>
      <x:c r="L81" s="85"/>
      <x:c r="M81" s="85"/>
      <x:c r="N81" s="85"/>
      <x:c r="O81" s="85"/>
      <x:c r="P81" s="85"/>
      <x:c r="Q81" s="85"/>
      <x:c r="R81" s="85"/>
      <x:c r="S81" s="85"/>
      <x:c r="T81" s="85"/>
      <x:c r="U81" s="85"/>
      <x:c r="V81" s="85"/>
      <x:c r="W81" s="85"/>
      <x:c r="X81" s="85"/>
      <x:c r="Y81" s="85"/>
      <x:c r="Z81" s="85"/>
      <x:c r="AA81" s="85"/>
      <x:c r="AB81" s="85"/>
      <x:c r="AC81" s="85"/>
      <x:c r="AD81" s="85"/>
      <x:c r="AE81" s="85"/>
      <x:c r="AF81" s="85"/>
      <x:c r="AG81" s="85"/>
      <x:c r="AH81" s="85"/>
      <x:c r="AI81" s="85"/>
      <x:c r="AJ81" s="85"/>
    </x:row>
    <x:row r="82">
      <x:c r="A82" s="86"/>
      <x:c r="B82" s="86"/>
      <x:c r="C82" s="86"/>
      <x:c r="D82" s="86"/>
      <x:c r="E82" s="88"/>
      <x:c r="F82" s="88"/>
      <x:c r="G82" s="88"/>
      <x:c r="H82" s="88"/>
      <x:c r="I82" s="86"/>
      <x:c r="J82" s="85"/>
      <x:c r="K82" s="85"/>
      <x:c r="L82" s="85"/>
      <x:c r="M82" s="85"/>
      <x:c r="N82" s="85"/>
      <x:c r="O82" s="85"/>
      <x:c r="P82" s="85"/>
      <x:c r="Q82" s="85"/>
      <x:c r="R82" s="85"/>
      <x:c r="S82" s="85"/>
      <x:c r="T82" s="85"/>
      <x:c r="U82" s="85"/>
      <x:c r="V82" s="85"/>
      <x:c r="W82" s="85"/>
      <x:c r="X82" s="85"/>
      <x:c r="Y82" s="85"/>
      <x:c r="Z82" s="85"/>
      <x:c r="AA82" s="85"/>
      <x:c r="AB82" s="85"/>
      <x:c r="AC82" s="85"/>
      <x:c r="AD82" s="85"/>
      <x:c r="AE82" s="85"/>
      <x:c r="AF82" s="85"/>
      <x:c r="AG82" s="85"/>
      <x:c r="AH82" s="85"/>
      <x:c r="AI82" s="85"/>
      <x:c r="AJ82" s="85"/>
    </x:row>
    <x:row r="83">
      <x:c r="A83" s="86"/>
      <x:c r="B83" s="86"/>
      <x:c r="C83" s="86"/>
      <x:c r="D83" s="86"/>
      <x:c r="E83" s="88"/>
      <x:c r="F83" s="88"/>
      <x:c r="G83" s="88"/>
      <x:c r="H83" s="88"/>
      <x:c r="I83" s="86"/>
      <x:c r="J83" s="85"/>
      <x:c r="K83" s="85"/>
      <x:c r="L83" s="85"/>
      <x:c r="M83" s="85"/>
      <x:c r="N83" s="85"/>
      <x:c r="O83" s="85"/>
      <x:c r="P83" s="85"/>
      <x:c r="Q83" s="85"/>
      <x:c r="R83" s="85"/>
      <x:c r="S83" s="85"/>
      <x:c r="T83" s="85"/>
      <x:c r="U83" s="85"/>
      <x:c r="V83" s="85"/>
      <x:c r="W83" s="85"/>
      <x:c r="X83" s="85"/>
      <x:c r="Y83" s="85"/>
      <x:c r="Z83" s="85"/>
      <x:c r="AA83" s="85"/>
      <x:c r="AB83" s="85"/>
      <x:c r="AC83" s="85"/>
      <x:c r="AD83" s="85"/>
      <x:c r="AE83" s="85"/>
      <x:c r="AF83" s="85"/>
      <x:c r="AG83" s="85"/>
      <x:c r="AH83" s="85"/>
      <x:c r="AI83" s="85"/>
      <x:c r="AJ83" s="85"/>
    </x:row>
    <x:row r="84">
      <x:c r="A84" s="86"/>
      <x:c r="B84" s="86"/>
      <x:c r="C84" s="86"/>
      <x:c r="D84" s="86"/>
      <x:c r="E84" s="88"/>
      <x:c r="F84" s="88"/>
      <x:c r="G84" s="88"/>
      <x:c r="H84" s="88"/>
      <x:c r="I84" s="86"/>
      <x:c r="J84" s="85"/>
      <x:c r="K84" s="85"/>
      <x:c r="L84" s="85"/>
      <x:c r="M84" s="85"/>
      <x:c r="N84" s="85"/>
      <x:c r="O84" s="85"/>
      <x:c r="P84" s="85"/>
      <x:c r="Q84" s="85"/>
      <x:c r="R84" s="85"/>
      <x:c r="S84" s="85"/>
      <x:c r="T84" s="85"/>
      <x:c r="U84" s="85"/>
      <x:c r="V84" s="85"/>
      <x:c r="W84" s="85"/>
      <x:c r="X84" s="85"/>
      <x:c r="Y84" s="85"/>
      <x:c r="Z84" s="85"/>
      <x:c r="AA84" s="85"/>
      <x:c r="AB84" s="85"/>
      <x:c r="AC84" s="85"/>
      <x:c r="AD84" s="85"/>
      <x:c r="AE84" s="85"/>
      <x:c r="AF84" s="85"/>
      <x:c r="AG84" s="85"/>
      <x:c r="AH84" s="85"/>
      <x:c r="AI84" s="85"/>
      <x:c r="AJ84" s="85"/>
    </x:row>
    <x:row r="85">
      <x:c r="A85" s="86"/>
      <x:c r="B85" s="86"/>
      <x:c r="C85" s="86"/>
      <x:c r="D85" s="86"/>
      <x:c r="E85" s="88"/>
      <x:c r="F85" s="88"/>
      <x:c r="G85" s="88"/>
      <x:c r="H85" s="88"/>
      <x:c r="I85" s="86"/>
      <x:c r="J85" s="85"/>
      <x:c r="K85" s="85"/>
      <x:c r="L85" s="85"/>
      <x:c r="M85" s="85"/>
      <x:c r="N85" s="85"/>
      <x:c r="O85" s="85"/>
      <x:c r="P85" s="85"/>
      <x:c r="Q85" s="85"/>
      <x:c r="R85" s="85"/>
      <x:c r="S85" s="85"/>
      <x:c r="T85" s="85"/>
      <x:c r="U85" s="85"/>
      <x:c r="V85" s="85"/>
      <x:c r="W85" s="85"/>
      <x:c r="X85" s="85"/>
      <x:c r="Y85" s="85"/>
      <x:c r="Z85" s="85"/>
      <x:c r="AA85" s="85"/>
      <x:c r="AB85" s="85"/>
      <x:c r="AC85" s="85"/>
      <x:c r="AD85" s="85"/>
      <x:c r="AE85" s="85"/>
      <x:c r="AF85" s="85"/>
      <x:c r="AG85" s="85"/>
      <x:c r="AH85" s="85"/>
      <x:c r="AI85" s="85"/>
      <x:c r="AJ85" s="85"/>
    </x:row>
    <x:row r="86">
      <x:c r="A86" s="86"/>
      <x:c r="B86" s="86"/>
      <x:c r="C86" s="86"/>
      <x:c r="D86" s="86"/>
      <x:c r="E86" s="88"/>
      <x:c r="F86" s="88"/>
      <x:c r="G86" s="88"/>
      <x:c r="H86" s="88"/>
      <x:c r="I86" s="86"/>
      <x:c r="J86" s="85"/>
      <x:c r="K86" s="85"/>
      <x:c r="L86" s="85"/>
      <x:c r="M86" s="85"/>
      <x:c r="N86" s="85"/>
      <x:c r="O86" s="85"/>
      <x:c r="P86" s="85"/>
      <x:c r="Q86" s="85"/>
      <x:c r="R86" s="85"/>
      <x:c r="S86" s="85"/>
      <x:c r="T86" s="85"/>
      <x:c r="U86" s="85"/>
      <x:c r="V86" s="85"/>
      <x:c r="W86" s="85"/>
      <x:c r="X86" s="85"/>
      <x:c r="Y86" s="85"/>
      <x:c r="Z86" s="85"/>
      <x:c r="AA86" s="85"/>
      <x:c r="AB86" s="85"/>
      <x:c r="AC86" s="85"/>
      <x:c r="AD86" s="85"/>
      <x:c r="AE86" s="85"/>
      <x:c r="AF86" s="85"/>
      <x:c r="AG86" s="85"/>
      <x:c r="AH86" s="85"/>
      <x:c r="AI86" s="85"/>
      <x:c r="AJ86" s="85"/>
    </x:row>
    <x:row r="87">
      <x:c r="A87" s="86"/>
      <x:c r="B87" s="86"/>
      <x:c r="C87" s="86"/>
      <x:c r="D87" s="86"/>
      <x:c r="E87" s="88"/>
      <x:c r="F87" s="88"/>
      <x:c r="G87" s="88"/>
      <x:c r="H87" s="88"/>
      <x:c r="I87" s="86"/>
      <x:c r="J87" s="85"/>
      <x:c r="K87" s="85"/>
      <x:c r="L87" s="85"/>
      <x:c r="M87" s="85"/>
      <x:c r="N87" s="85"/>
      <x:c r="O87" s="85"/>
      <x:c r="P87" s="85"/>
      <x:c r="Q87" s="85"/>
      <x:c r="R87" s="85"/>
      <x:c r="S87" s="85"/>
      <x:c r="T87" s="85"/>
      <x:c r="U87" s="85"/>
      <x:c r="V87" s="85"/>
      <x:c r="W87" s="85"/>
      <x:c r="X87" s="85"/>
      <x:c r="Y87" s="85"/>
      <x:c r="Z87" s="85"/>
      <x:c r="AA87" s="85"/>
      <x:c r="AB87" s="85"/>
      <x:c r="AC87" s="85"/>
      <x:c r="AD87" s="85"/>
      <x:c r="AE87" s="85"/>
      <x:c r="AF87" s="85"/>
      <x:c r="AG87" s="85"/>
      <x:c r="AH87" s="85"/>
      <x:c r="AI87" s="85"/>
      <x:c r="AJ87" s="85"/>
    </x:row>
    <x:row r="88">
      <x:c r="A88" s="86"/>
      <x:c r="B88" s="86"/>
      <x:c r="C88" s="86"/>
      <x:c r="D88" s="86"/>
      <x:c r="E88" s="88"/>
      <x:c r="F88" s="88"/>
      <x:c r="G88" s="88"/>
      <x:c r="H88" s="88"/>
      <x:c r="I88" s="86"/>
      <x:c r="J88" s="85"/>
      <x:c r="K88" s="85"/>
      <x:c r="L88" s="85"/>
      <x:c r="M88" s="85"/>
      <x:c r="N88" s="85"/>
      <x:c r="O88" s="85"/>
      <x:c r="P88" s="85"/>
      <x:c r="Q88" s="85"/>
      <x:c r="R88" s="85"/>
      <x:c r="S88" s="85"/>
      <x:c r="T88" s="85"/>
      <x:c r="U88" s="85"/>
      <x:c r="V88" s="85"/>
      <x:c r="W88" s="85"/>
      <x:c r="X88" s="85"/>
      <x:c r="Y88" s="85"/>
      <x:c r="Z88" s="85"/>
      <x:c r="AA88" s="85"/>
      <x:c r="AB88" s="85"/>
      <x:c r="AC88" s="85"/>
      <x:c r="AD88" s="85"/>
      <x:c r="AE88" s="85"/>
      <x:c r="AF88" s="85"/>
      <x:c r="AG88" s="85"/>
      <x:c r="AH88" s="85"/>
      <x:c r="AI88" s="85"/>
      <x:c r="AJ88" s="85"/>
    </x:row>
    <x:row r="89">
      <x:c r="A89" s="86"/>
      <x:c r="B89" s="86"/>
      <x:c r="C89" s="86"/>
      <x:c r="D89" s="86"/>
      <x:c r="E89" s="88"/>
      <x:c r="F89" s="88"/>
      <x:c r="G89" s="88"/>
      <x:c r="H89" s="88"/>
      <x:c r="I89" s="86"/>
      <x:c r="J89" s="85"/>
      <x:c r="K89" s="85"/>
      <x:c r="L89" s="85"/>
      <x:c r="M89" s="85"/>
      <x:c r="N89" s="85"/>
      <x:c r="O89" s="85"/>
      <x:c r="P89" s="85"/>
      <x:c r="Q89" s="85"/>
      <x:c r="R89" s="85"/>
      <x:c r="S89" s="85"/>
      <x:c r="T89" s="85"/>
      <x:c r="U89" s="85"/>
      <x:c r="V89" s="85"/>
      <x:c r="W89" s="85"/>
      <x:c r="X89" s="85"/>
      <x:c r="Y89" s="85"/>
      <x:c r="Z89" s="85"/>
      <x:c r="AA89" s="85"/>
      <x:c r="AB89" s="85"/>
      <x:c r="AC89" s="85"/>
      <x:c r="AD89" s="85"/>
      <x:c r="AE89" s="85"/>
      <x:c r="AF89" s="85"/>
      <x:c r="AG89" s="85"/>
      <x:c r="AH89" s="85"/>
      <x:c r="AI89" s="85"/>
      <x:c r="AJ89" s="85"/>
    </x:row>
    <x:row r="90">
      <x:c r="A90" s="86"/>
      <x:c r="B90" s="86"/>
      <x:c r="C90" s="86"/>
      <x:c r="D90" s="86"/>
      <x:c r="E90" s="88"/>
      <x:c r="F90" s="88"/>
      <x:c r="G90" s="88"/>
      <x:c r="H90" s="88"/>
      <x:c r="I90" s="86"/>
      <x:c r="J90" s="85"/>
      <x:c r="K90" s="85"/>
      <x:c r="L90" s="85"/>
      <x:c r="M90" s="85"/>
      <x:c r="N90" s="85"/>
      <x:c r="O90" s="85"/>
      <x:c r="P90" s="85"/>
      <x:c r="Q90" s="85"/>
      <x:c r="R90" s="85"/>
      <x:c r="S90" s="85"/>
      <x:c r="T90" s="85"/>
      <x:c r="U90" s="85"/>
      <x:c r="V90" s="85"/>
      <x:c r="W90" s="85"/>
      <x:c r="X90" s="85"/>
      <x:c r="Y90" s="85"/>
      <x:c r="Z90" s="85"/>
      <x:c r="AA90" s="85"/>
      <x:c r="AB90" s="85"/>
      <x:c r="AC90" s="85"/>
      <x:c r="AD90" s="85"/>
      <x:c r="AE90" s="85"/>
      <x:c r="AF90" s="85"/>
      <x:c r="AG90" s="85"/>
      <x:c r="AH90" s="85"/>
      <x:c r="AI90" s="85"/>
      <x:c r="AJ90" s="85"/>
    </x:row>
    <x:row r="91">
      <x:c r="A91" s="86"/>
      <x:c r="B91" s="86"/>
      <x:c r="C91" s="86"/>
      <x:c r="D91" s="86"/>
      <x:c r="E91" s="88"/>
      <x:c r="F91" s="88"/>
      <x:c r="G91" s="88"/>
      <x:c r="H91" s="88"/>
      <x:c r="I91" s="86"/>
      <x:c r="J91" s="85"/>
      <x:c r="K91" s="85"/>
      <x:c r="L91" s="85"/>
      <x:c r="M91" s="85"/>
      <x:c r="N91" s="85"/>
      <x:c r="O91" s="85"/>
      <x:c r="P91" s="85"/>
      <x:c r="Q91" s="85"/>
      <x:c r="R91" s="85"/>
      <x:c r="S91" s="85"/>
      <x:c r="T91" s="85"/>
      <x:c r="U91" s="85"/>
      <x:c r="V91" s="85"/>
      <x:c r="W91" s="85"/>
      <x:c r="X91" s="85"/>
      <x:c r="Y91" s="85"/>
      <x:c r="Z91" s="85"/>
      <x:c r="AA91" s="85"/>
      <x:c r="AB91" s="85"/>
      <x:c r="AC91" s="85"/>
      <x:c r="AD91" s="85"/>
      <x:c r="AE91" s="85"/>
      <x:c r="AF91" s="85"/>
      <x:c r="AG91" s="85"/>
      <x:c r="AH91" s="85"/>
      <x:c r="AI91" s="85"/>
      <x:c r="AJ91" s="85"/>
    </x:row>
    <x:row r="92">
      <x:c r="A92" s="86"/>
      <x:c r="B92" s="86"/>
      <x:c r="C92" s="86"/>
      <x:c r="D92" s="86"/>
      <x:c r="E92" s="88"/>
      <x:c r="F92" s="88"/>
      <x:c r="G92" s="88"/>
      <x:c r="H92" s="88"/>
      <x:c r="I92" s="86"/>
      <x:c r="J92" s="85"/>
      <x:c r="K92" s="85"/>
      <x:c r="L92" s="85"/>
      <x:c r="M92" s="85"/>
      <x:c r="N92" s="85"/>
      <x:c r="O92" s="85"/>
      <x:c r="P92" s="85"/>
      <x:c r="Q92" s="85"/>
      <x:c r="R92" s="85"/>
      <x:c r="S92" s="85"/>
      <x:c r="T92" s="85"/>
      <x:c r="U92" s="85"/>
      <x:c r="V92" s="85"/>
      <x:c r="W92" s="85"/>
      <x:c r="X92" s="85"/>
      <x:c r="Y92" s="85"/>
      <x:c r="Z92" s="85"/>
      <x:c r="AA92" s="85"/>
      <x:c r="AB92" s="85"/>
      <x:c r="AC92" s="85"/>
      <x:c r="AD92" s="85"/>
      <x:c r="AE92" s="85"/>
      <x:c r="AF92" s="85"/>
      <x:c r="AG92" s="85"/>
      <x:c r="AH92" s="85"/>
      <x:c r="AI92" s="85"/>
      <x:c r="AJ92" s="85"/>
    </x:row>
    <x:row r="93">
      <x:c r="A93" s="86"/>
      <x:c r="B93" s="86"/>
      <x:c r="C93" s="86"/>
      <x:c r="D93" s="86"/>
      <x:c r="E93" s="88"/>
      <x:c r="F93" s="88"/>
      <x:c r="G93" s="88"/>
      <x:c r="H93" s="88"/>
      <x:c r="I93" s="86"/>
      <x:c r="J93" s="85"/>
      <x:c r="K93" s="85"/>
      <x:c r="L93" s="85"/>
      <x:c r="M93" s="85"/>
      <x:c r="N93" s="85"/>
      <x:c r="O93" s="85"/>
      <x:c r="P93" s="85"/>
      <x:c r="Q93" s="85"/>
      <x:c r="R93" s="85"/>
      <x:c r="S93" s="85"/>
      <x:c r="T93" s="85"/>
      <x:c r="U93" s="85"/>
      <x:c r="V93" s="85"/>
      <x:c r="W93" s="85"/>
      <x:c r="X93" s="85"/>
      <x:c r="Y93" s="85"/>
      <x:c r="Z93" s="85"/>
      <x:c r="AA93" s="85"/>
      <x:c r="AB93" s="85"/>
      <x:c r="AC93" s="85"/>
      <x:c r="AD93" s="85"/>
      <x:c r="AE93" s="85"/>
      <x:c r="AF93" s="85"/>
      <x:c r="AG93" s="85"/>
      <x:c r="AH93" s="85"/>
      <x:c r="AI93" s="85"/>
      <x:c r="AJ93" s="85"/>
    </x:row>
    <x:row r="94">
      <x:c r="A94" s="86"/>
      <x:c r="B94" s="86"/>
      <x:c r="C94" s="86"/>
      <x:c r="D94" s="86"/>
      <x:c r="E94" s="88"/>
      <x:c r="F94" s="88"/>
      <x:c r="G94" s="88"/>
      <x:c r="H94" s="88"/>
      <x:c r="I94" s="86"/>
      <x:c r="J94" s="85"/>
      <x:c r="K94" s="85"/>
      <x:c r="L94" s="85"/>
      <x:c r="M94" s="85"/>
      <x:c r="N94" s="85"/>
      <x:c r="O94" s="85"/>
      <x:c r="P94" s="85"/>
      <x:c r="Q94" s="85"/>
      <x:c r="R94" s="85"/>
      <x:c r="S94" s="85"/>
      <x:c r="T94" s="85"/>
      <x:c r="U94" s="85"/>
      <x:c r="V94" s="85"/>
      <x:c r="W94" s="85"/>
      <x:c r="X94" s="85"/>
      <x:c r="Y94" s="85"/>
      <x:c r="Z94" s="85"/>
      <x:c r="AA94" s="85"/>
      <x:c r="AB94" s="85"/>
      <x:c r="AC94" s="85"/>
      <x:c r="AD94" s="85"/>
      <x:c r="AE94" s="85"/>
      <x:c r="AF94" s="85"/>
      <x:c r="AG94" s="85"/>
      <x:c r="AH94" s="85"/>
      <x:c r="AI94" s="85"/>
      <x:c r="AJ94" s="85"/>
    </x:row>
    <x:row r="95">
      <x:c r="A95" s="86"/>
      <x:c r="B95" s="86"/>
      <x:c r="C95" s="86"/>
      <x:c r="D95" s="86"/>
      <x:c r="E95" s="88"/>
      <x:c r="F95" s="88"/>
      <x:c r="G95" s="88"/>
      <x:c r="H95" s="88"/>
      <x:c r="I95" s="86"/>
      <x:c r="J95" s="85"/>
      <x:c r="K95" s="85"/>
      <x:c r="L95" s="85"/>
      <x:c r="M95" s="85"/>
      <x:c r="N95" s="85"/>
      <x:c r="O95" s="85"/>
      <x:c r="P95" s="85"/>
      <x:c r="Q95" s="85"/>
      <x:c r="R95" s="85"/>
      <x:c r="S95" s="85"/>
      <x:c r="T95" s="85"/>
      <x:c r="U95" s="85"/>
      <x:c r="V95" s="85"/>
      <x:c r="W95" s="85"/>
      <x:c r="X95" s="85"/>
      <x:c r="Y95" s="85"/>
      <x:c r="Z95" s="85"/>
      <x:c r="AA95" s="85"/>
      <x:c r="AB95" s="85"/>
      <x:c r="AC95" s="85"/>
      <x:c r="AD95" s="85"/>
      <x:c r="AE95" s="85"/>
      <x:c r="AF95" s="85"/>
      <x:c r="AG95" s="85"/>
      <x:c r="AH95" s="85"/>
      <x:c r="AI95" s="85"/>
      <x:c r="AJ95" s="85"/>
    </x:row>
    <x:row r="96">
      <x:c r="A96" s="86"/>
      <x:c r="B96" s="86"/>
      <x:c r="C96" s="86"/>
      <x:c r="D96" s="86"/>
      <x:c r="E96" s="88"/>
      <x:c r="F96" s="88"/>
      <x:c r="G96" s="88"/>
      <x:c r="H96" s="88"/>
      <x:c r="I96" s="86"/>
      <x:c r="J96" s="85"/>
      <x:c r="K96" s="85"/>
      <x:c r="L96" s="85"/>
      <x:c r="M96" s="85"/>
      <x:c r="N96" s="85"/>
      <x:c r="O96" s="85"/>
      <x:c r="P96" s="85"/>
      <x:c r="Q96" s="85"/>
      <x:c r="R96" s="85"/>
      <x:c r="S96" s="85"/>
      <x:c r="T96" s="85"/>
      <x:c r="U96" s="85"/>
      <x:c r="V96" s="85"/>
      <x:c r="W96" s="85"/>
      <x:c r="X96" s="85"/>
      <x:c r="Y96" s="85"/>
      <x:c r="Z96" s="85"/>
      <x:c r="AA96" s="85"/>
      <x:c r="AB96" s="85"/>
      <x:c r="AC96" s="85"/>
      <x:c r="AD96" s="85"/>
      <x:c r="AE96" s="85"/>
      <x:c r="AF96" s="85"/>
      <x:c r="AG96" s="85"/>
      <x:c r="AH96" s="85"/>
      <x:c r="AI96" s="85"/>
      <x:c r="AJ96" s="85"/>
    </x:row>
    <x:row r="97">
      <x:c r="A97" s="86"/>
      <x:c r="B97" s="86"/>
      <x:c r="C97" s="86"/>
      <x:c r="D97" s="86"/>
      <x:c r="E97" s="88"/>
      <x:c r="F97" s="88"/>
      <x:c r="G97" s="88"/>
      <x:c r="H97" s="88"/>
      <x:c r="I97" s="86"/>
      <x:c r="J97" s="85"/>
      <x:c r="K97" s="85"/>
      <x:c r="L97" s="85"/>
      <x:c r="M97" s="85"/>
      <x:c r="N97" s="85"/>
      <x:c r="O97" s="85"/>
      <x:c r="P97" s="85"/>
      <x:c r="Q97" s="85"/>
      <x:c r="R97" s="85"/>
      <x:c r="S97" s="85"/>
      <x:c r="T97" s="85"/>
      <x:c r="U97" s="85"/>
      <x:c r="V97" s="85"/>
      <x:c r="W97" s="85"/>
      <x:c r="X97" s="85"/>
      <x:c r="Y97" s="85"/>
      <x:c r="Z97" s="85"/>
      <x:c r="AA97" s="85"/>
      <x:c r="AB97" s="85"/>
      <x:c r="AC97" s="85"/>
      <x:c r="AD97" s="85"/>
      <x:c r="AE97" s="85"/>
      <x:c r="AF97" s="85"/>
      <x:c r="AG97" s="85"/>
      <x:c r="AH97" s="85"/>
      <x:c r="AI97" s="85"/>
      <x:c r="AJ97" s="85"/>
    </x:row>
    <x:row r="98">
      <x:c r="A98" s="86"/>
      <x:c r="B98" s="86"/>
      <x:c r="C98" s="86"/>
      <x:c r="D98" s="86"/>
      <x:c r="E98" s="88"/>
      <x:c r="F98" s="88"/>
      <x:c r="G98" s="88"/>
      <x:c r="H98" s="88"/>
      <x:c r="I98" s="86"/>
      <x:c r="J98" s="85"/>
      <x:c r="K98" s="85"/>
      <x:c r="L98" s="85"/>
      <x:c r="M98" s="85"/>
      <x:c r="N98" s="85"/>
      <x:c r="O98" s="85"/>
      <x:c r="P98" s="85"/>
      <x:c r="Q98" s="85"/>
      <x:c r="R98" s="85"/>
      <x:c r="S98" s="85"/>
      <x:c r="T98" s="85"/>
      <x:c r="U98" s="85"/>
      <x:c r="V98" s="85"/>
      <x:c r="W98" s="85"/>
      <x:c r="X98" s="85"/>
      <x:c r="Y98" s="85"/>
      <x:c r="Z98" s="85"/>
      <x:c r="AA98" s="85"/>
      <x:c r="AB98" s="85"/>
      <x:c r="AC98" s="85"/>
      <x:c r="AD98" s="85"/>
      <x:c r="AE98" s="85"/>
      <x:c r="AF98" s="85"/>
      <x:c r="AG98" s="85"/>
      <x:c r="AH98" s="85"/>
      <x:c r="AI98" s="85"/>
      <x:c r="AJ98" s="85"/>
    </x:row>
    <x:row r="99">
      <x:c r="A99" s="86"/>
      <x:c r="B99" s="86"/>
      <x:c r="C99" s="86"/>
      <x:c r="D99" s="86"/>
      <x:c r="E99" s="88"/>
      <x:c r="F99" s="88"/>
      <x:c r="G99" s="88"/>
      <x:c r="H99" s="88"/>
      <x:c r="I99" s="86"/>
      <x:c r="J99" s="85"/>
      <x:c r="K99" s="85"/>
      <x:c r="L99" s="85"/>
      <x:c r="M99" s="85"/>
      <x:c r="N99" s="85"/>
      <x:c r="O99" s="85"/>
      <x:c r="P99" s="85"/>
      <x:c r="Q99" s="85"/>
      <x:c r="R99" s="85"/>
      <x:c r="S99" s="85"/>
      <x:c r="T99" s="85"/>
      <x:c r="U99" s="85"/>
      <x:c r="V99" s="85"/>
      <x:c r="W99" s="85"/>
      <x:c r="X99" s="85"/>
      <x:c r="Y99" s="85"/>
      <x:c r="Z99" s="85"/>
      <x:c r="AA99" s="85"/>
      <x:c r="AB99" s="85"/>
      <x:c r="AC99" s="85"/>
      <x:c r="AD99" s="85"/>
      <x:c r="AE99" s="85"/>
      <x:c r="AF99" s="85"/>
      <x:c r="AG99" s="85"/>
      <x:c r="AH99" s="85"/>
      <x:c r="AI99" s="85"/>
      <x:c r="AJ99" s="85"/>
    </x:row>
    <x:row r="100">
      <x:c r="A100" s="86"/>
      <x:c r="B100" s="86"/>
      <x:c r="C100" s="86"/>
      <x:c r="D100" s="86"/>
      <x:c r="E100" s="88"/>
      <x:c r="F100" s="88"/>
      <x:c r="G100" s="88"/>
      <x:c r="H100" s="88"/>
      <x:c r="I100" s="86"/>
      <x:c r="J100" s="85"/>
      <x:c r="K100" s="85"/>
      <x:c r="L100" s="85"/>
      <x:c r="M100" s="85"/>
      <x:c r="N100" s="85"/>
      <x:c r="O100" s="85"/>
      <x:c r="P100" s="85"/>
      <x:c r="Q100" s="85"/>
      <x:c r="R100" s="85"/>
      <x:c r="S100" s="85"/>
      <x:c r="T100" s="85"/>
      <x:c r="U100" s="85"/>
      <x:c r="V100" s="85"/>
      <x:c r="W100" s="85"/>
      <x:c r="X100" s="85"/>
      <x:c r="Y100" s="85"/>
      <x:c r="Z100" s="85"/>
      <x:c r="AA100" s="85"/>
      <x:c r="AB100" s="85"/>
      <x:c r="AC100" s="85"/>
      <x:c r="AD100" s="85"/>
      <x:c r="AE100" s="85"/>
      <x:c r="AF100" s="85"/>
      <x:c r="AG100" s="85"/>
      <x:c r="AH100" s="85"/>
      <x:c r="AI100" s="85"/>
      <x:c r="AJ100" s="85"/>
    </x:row>
    <x:row r="101">
      <x:c r="A101" s="86"/>
      <x:c r="B101" s="86"/>
      <x:c r="C101" s="86"/>
      <x:c r="D101" s="86"/>
      <x:c r="E101" s="88"/>
      <x:c r="F101" s="88"/>
      <x:c r="G101" s="88"/>
      <x:c r="H101" s="88"/>
      <x:c r="I101" s="86"/>
      <x:c r="J101" s="85"/>
      <x:c r="K101" s="85"/>
      <x:c r="L101" s="85"/>
      <x:c r="M101" s="85"/>
      <x:c r="N101" s="85"/>
      <x:c r="O101" s="85"/>
      <x:c r="P101" s="85"/>
      <x:c r="Q101" s="85"/>
      <x:c r="R101" s="85"/>
      <x:c r="S101" s="85"/>
      <x:c r="T101" s="85"/>
      <x:c r="U101" s="85"/>
      <x:c r="V101" s="85"/>
      <x:c r="W101" s="85"/>
      <x:c r="X101" s="85"/>
      <x:c r="Y101" s="85"/>
      <x:c r="Z101" s="85"/>
      <x:c r="AA101" s="85"/>
      <x:c r="AB101" s="85"/>
      <x:c r="AC101" s="85"/>
      <x:c r="AD101" s="85"/>
      <x:c r="AE101" s="85"/>
      <x:c r="AF101" s="85"/>
      <x:c r="AG101" s="85"/>
      <x:c r="AH101" s="85"/>
      <x:c r="AI101" s="85"/>
      <x:c r="AJ101" s="85"/>
    </x:row>
    <x:row r="102">
      <x:c r="A102" s="86"/>
      <x:c r="B102" s="86"/>
      <x:c r="C102" s="86"/>
      <x:c r="D102" s="86"/>
      <x:c r="E102" s="88"/>
      <x:c r="F102" s="88"/>
      <x:c r="G102" s="88"/>
      <x:c r="H102" s="88"/>
      <x:c r="I102" s="86"/>
      <x:c r="J102" s="85"/>
      <x:c r="K102" s="85"/>
      <x:c r="L102" s="85"/>
      <x:c r="M102" s="85"/>
      <x:c r="N102" s="85"/>
      <x:c r="O102" s="85"/>
      <x:c r="P102" s="85"/>
      <x:c r="Q102" s="85"/>
      <x:c r="R102" s="85"/>
      <x:c r="S102" s="85"/>
      <x:c r="T102" s="85"/>
      <x:c r="U102" s="85"/>
      <x:c r="V102" s="85"/>
      <x:c r="W102" s="85"/>
      <x:c r="X102" s="85"/>
      <x:c r="Y102" s="85"/>
      <x:c r="Z102" s="85"/>
      <x:c r="AA102" s="85"/>
      <x:c r="AB102" s="85"/>
      <x:c r="AC102" s="85"/>
      <x:c r="AD102" s="85"/>
      <x:c r="AE102" s="85"/>
      <x:c r="AF102" s="85"/>
      <x:c r="AG102" s="85"/>
      <x:c r="AH102" s="85"/>
      <x:c r="AI102" s="85"/>
      <x:c r="AJ102" s="85"/>
    </x:row>
    <x:row r="103">
      <x:c r="A103" s="86"/>
      <x:c r="B103" s="86"/>
      <x:c r="C103" s="86"/>
      <x:c r="D103" s="86"/>
      <x:c r="E103" s="88"/>
      <x:c r="F103" s="88"/>
      <x:c r="G103" s="88"/>
      <x:c r="H103" s="88"/>
      <x:c r="I103" s="86"/>
      <x:c r="J103" s="85"/>
      <x:c r="K103" s="85"/>
      <x:c r="L103" s="85"/>
      <x:c r="M103" s="85"/>
      <x:c r="N103" s="85"/>
      <x:c r="O103" s="85"/>
      <x:c r="P103" s="85"/>
      <x:c r="Q103" s="85"/>
      <x:c r="R103" s="85"/>
      <x:c r="S103" s="85"/>
      <x:c r="T103" s="85"/>
      <x:c r="U103" s="85"/>
      <x:c r="V103" s="85"/>
      <x:c r="W103" s="85"/>
      <x:c r="X103" s="85"/>
      <x:c r="Y103" s="85"/>
      <x:c r="Z103" s="85"/>
      <x:c r="AA103" s="85"/>
      <x:c r="AB103" s="85"/>
      <x:c r="AC103" s="85"/>
      <x:c r="AD103" s="85"/>
      <x:c r="AE103" s="85"/>
      <x:c r="AF103" s="85"/>
      <x:c r="AG103" s="85"/>
      <x:c r="AH103" s="85"/>
      <x:c r="AI103" s="85"/>
      <x:c r="AJ103" s="85"/>
    </x:row>
    <x:row r="104">
      <x:c r="A104" s="21"/>
      <x:c r="B104" s="21"/>
      <x:c r="C104" s="21"/>
      <x:c r="D104" s="21"/>
      <x:c r="E104" s="39"/>
      <x:c r="F104" s="39"/>
      <x:c r="G104" s="39"/>
      <x:c r="H104" s="39"/>
      <x:c r="I104" s="21"/>
    </x:row>
    <x:row r="105">
      <x:c r="A105" s="21"/>
      <x:c r="B105" s="21"/>
      <x:c r="C105" s="21"/>
      <x:c r="D105" s="21"/>
      <x:c r="E105" s="39"/>
      <x:c r="F105" s="39"/>
      <x:c r="G105" s="39"/>
      <x:c r="H105" s="39"/>
      <x:c r="I105" s="21"/>
    </x:row>
    <x:row r="106">
      <x:c r="A106" s="21"/>
      <x:c r="B106" s="21"/>
      <x:c r="C106" s="21"/>
      <x:c r="D106" s="21"/>
      <x:c r="E106" s="39"/>
      <x:c r="F106" s="39"/>
      <x:c r="G106" s="39"/>
      <x:c r="H106" s="39"/>
      <x:c r="I106" s="21"/>
    </x:row>
    <x:row r="107">
      <x:c r="A107" s="21"/>
      <x:c r="B107" s="21"/>
      <x:c r="C107" s="21"/>
      <x:c r="D107" s="21"/>
      <x:c r="E107" s="39"/>
      <x:c r="F107" s="39"/>
      <x:c r="G107" s="39"/>
      <x:c r="H107" s="39"/>
      <x:c r="I107" s="21"/>
    </x:row>
    <x:row r="108">
      <x:c r="A108" s="21"/>
      <x:c r="B108" s="21"/>
      <x:c r="C108" s="21"/>
      <x:c r="D108" s="21"/>
      <x:c r="E108" s="39"/>
      <x:c r="F108" s="39"/>
      <x:c r="G108" s="39"/>
      <x:c r="H108" s="39"/>
      <x:c r="I108" s="21"/>
    </x:row>
    <x:row r="109">
      <x:c r="A109" s="21"/>
      <x:c r="B109" s="21"/>
      <x:c r="C109" s="21"/>
      <x:c r="D109" s="21"/>
      <x:c r="E109" s="39"/>
      <x:c r="F109" s="39"/>
      <x:c r="G109" s="39"/>
      <x:c r="H109" s="39"/>
      <x:c r="I109" s="21"/>
    </x:row>
    <x:row r="110">
      <x:c r="A110" s="21"/>
      <x:c r="B110" s="21"/>
      <x:c r="C110" s="21"/>
      <x:c r="D110" s="21"/>
      <x:c r="E110" s="39"/>
      <x:c r="F110" s="39"/>
      <x:c r="G110" s="39"/>
      <x:c r="H110" s="39"/>
      <x:c r="I110" s="21"/>
    </x:row>
    <x:row r="111">
      <x:c r="A111" s="21"/>
      <x:c r="B111" s="21"/>
      <x:c r="C111" s="21"/>
      <x:c r="D111" s="21"/>
      <x:c r="E111" s="39"/>
      <x:c r="F111" s="39"/>
      <x:c r="G111" s="39"/>
      <x:c r="H111" s="39"/>
      <x:c r="I111" s="21"/>
    </x:row>
    <x:row r="112">
      <x:c r="A112" s="21"/>
      <x:c r="B112" s="21"/>
      <x:c r="C112" s="21"/>
      <x:c r="D112" s="21"/>
      <x:c r="E112" s="39"/>
      <x:c r="F112" s="39"/>
      <x:c r="G112" s="39"/>
      <x:c r="H112" s="39"/>
      <x:c r="I112" s="21"/>
    </x:row>
    <x:row r="113">
      <x:c r="A113" s="21"/>
      <x:c r="B113" s="21"/>
      <x:c r="C113" s="21"/>
      <x:c r="D113" s="21"/>
      <x:c r="E113" s="39"/>
      <x:c r="F113" s="39"/>
      <x:c r="G113" s="39"/>
      <x:c r="H113" s="39"/>
      <x:c r="I113" s="21"/>
    </x:row>
    <x:row r="114">
      <x:c r="A114" s="21"/>
      <x:c r="B114" s="21"/>
      <x:c r="C114" s="21"/>
      <x:c r="D114" s="21"/>
      <x:c r="E114" s="39"/>
      <x:c r="F114" s="39"/>
      <x:c r="G114" s="39"/>
      <x:c r="H114" s="39"/>
      <x:c r="I114" s="21"/>
    </x:row>
    <x:row r="115">
      <x:c r="A115" s="21"/>
      <x:c r="B115" s="21"/>
      <x:c r="C115" s="21"/>
      <x:c r="D115" s="21"/>
      <x:c r="E115" s="39"/>
      <x:c r="F115" s="39"/>
      <x:c r="G115" s="39"/>
      <x:c r="H115" s="39"/>
      <x:c r="I115" s="21"/>
    </x:row>
    <x:row r="116">
      <x:c r="A116" s="21"/>
      <x:c r="B116" s="21"/>
      <x:c r="C116" s="21"/>
      <x:c r="D116" s="21"/>
      <x:c r="E116" s="39"/>
      <x:c r="F116" s="39"/>
      <x:c r="G116" s="39"/>
      <x:c r="H116" s="39"/>
      <x:c r="I116" s="21"/>
    </x:row>
    <x:row r="117">
      <x:c r="A117" s="21"/>
      <x:c r="B117" s="21"/>
      <x:c r="C117" s="21"/>
      <x:c r="D117" s="21"/>
      <x:c r="E117" s="39"/>
      <x:c r="F117" s="39"/>
      <x:c r="G117" s="39"/>
      <x:c r="H117" s="39"/>
      <x:c r="I117" s="21"/>
    </x:row>
    <x:row r="118">
      <x:c r="A118" s="21"/>
      <x:c r="B118" s="21"/>
      <x:c r="C118" s="21"/>
      <x:c r="D118" s="21"/>
      <x:c r="E118" s="39"/>
      <x:c r="F118" s="39"/>
      <x:c r="G118" s="39"/>
      <x:c r="H118" s="39"/>
      <x:c r="I118" s="21"/>
    </x:row>
    <x:row r="119">
      <x:c r="A119" s="21"/>
      <x:c r="B119" s="21"/>
      <x:c r="C119" s="21"/>
      <x:c r="D119" s="21"/>
      <x:c r="E119" s="39"/>
      <x:c r="F119" s="39"/>
      <x:c r="G119" s="39"/>
      <x:c r="H119" s="39"/>
      <x:c r="I119" s="21"/>
    </x:row>
    <x:row r="120">
      <x:c r="A120" s="21"/>
      <x:c r="B120" s="21"/>
      <x:c r="C120" s="21"/>
      <x:c r="D120" s="21"/>
      <x:c r="E120" s="39"/>
      <x:c r="F120" s="39"/>
      <x:c r="G120" s="39"/>
      <x:c r="H120" s="39"/>
      <x:c r="I120" s="21"/>
    </x:row>
    <x:row r="121">
      <x:c r="A121" s="21"/>
      <x:c r="B121" s="21"/>
      <x:c r="C121" s="21"/>
      <x:c r="D121" s="21"/>
      <x:c r="E121" s="39"/>
      <x:c r="F121" s="39"/>
      <x:c r="G121" s="39"/>
      <x:c r="H121" s="39"/>
      <x:c r="I121" s="21"/>
    </x:row>
    <x:row r="122">
      <x:c r="A122" s="21"/>
      <x:c r="B122" s="21"/>
      <x:c r="C122" s="21"/>
      <x:c r="D122" s="21"/>
      <x:c r="E122" s="39"/>
      <x:c r="F122" s="39"/>
      <x:c r="G122" s="39"/>
      <x:c r="H122" s="39"/>
      <x:c r="I122" s="21"/>
    </x:row>
    <x:row r="123">
      <x:c r="A123" s="21"/>
      <x:c r="B123" s="21"/>
      <x:c r="C123" s="21"/>
      <x:c r="D123" s="21"/>
      <x:c r="E123" s="39"/>
      <x:c r="F123" s="39"/>
      <x:c r="G123" s="39"/>
      <x:c r="H123" s="39"/>
      <x:c r="I123" s="21"/>
    </x:row>
    <x:row r="124">
      <x:c r="A124" s="21"/>
      <x:c r="B124" s="21"/>
      <x:c r="C124" s="21"/>
      <x:c r="D124" s="21"/>
      <x:c r="E124" s="39"/>
      <x:c r="F124" s="39"/>
      <x:c r="G124" s="39"/>
      <x:c r="H124" s="39"/>
      <x:c r="I124" s="21"/>
    </x:row>
    <x:row r="125">
      <x:c r="A125" s="21"/>
      <x:c r="B125" s="21"/>
      <x:c r="C125" s="21"/>
      <x:c r="D125" s="21"/>
      <x:c r="E125" s="39"/>
      <x:c r="F125" s="39"/>
      <x:c r="G125" s="39"/>
      <x:c r="H125" s="39"/>
      <x:c r="I125" s="21"/>
    </x:row>
    <x:row r="126">
      <x:c r="A126" s="21"/>
      <x:c r="B126" s="21"/>
      <x:c r="C126" s="21"/>
      <x:c r="D126" s="21"/>
      <x:c r="E126" s="39"/>
      <x:c r="F126" s="39"/>
      <x:c r="G126" s="39"/>
      <x:c r="H126" s="39"/>
      <x:c r="I126" s="21"/>
    </x:row>
    <x:row r="127">
      <x:c r="A127" s="21"/>
      <x:c r="B127" s="21"/>
      <x:c r="C127" s="21"/>
      <x:c r="D127" s="21"/>
      <x:c r="E127" s="39"/>
      <x:c r="F127" s="39"/>
      <x:c r="G127" s="39"/>
      <x:c r="H127" s="39"/>
      <x:c r="I127" s="21"/>
    </x:row>
    <x:row r="128">
      <x:c r="A128" s="21"/>
      <x:c r="B128" s="21"/>
      <x:c r="C128" s="21"/>
      <x:c r="D128" s="21"/>
      <x:c r="E128" s="39"/>
      <x:c r="F128" s="39"/>
      <x:c r="G128" s="39"/>
      <x:c r="H128" s="39"/>
      <x:c r="I128" s="21"/>
    </x:row>
    <x:row r="129">
      <x:c r="A129" s="21"/>
      <x:c r="B129" s="21"/>
      <x:c r="C129" s="21"/>
      <x:c r="D129" s="21"/>
      <x:c r="E129" s="39"/>
      <x:c r="F129" s="39"/>
      <x:c r="G129" s="39"/>
      <x:c r="H129" s="39"/>
      <x:c r="I129" s="21"/>
    </x:row>
    <x:row r="130">
      <x:c r="A130" s="21"/>
      <x:c r="B130" s="21"/>
      <x:c r="C130" s="21"/>
      <x:c r="D130" s="21"/>
      <x:c r="E130" s="39"/>
      <x:c r="F130" s="39"/>
      <x:c r="G130" s="39"/>
      <x:c r="H130" s="39"/>
      <x:c r="I130" s="21"/>
    </x:row>
    <x:row r="131">
      <x:c r="A131" s="21"/>
      <x:c r="B131" s="21"/>
      <x:c r="C131" s="21"/>
      <x:c r="D131" s="21"/>
      <x:c r="E131" s="39"/>
      <x:c r="F131" s="39"/>
      <x:c r="G131" s="39"/>
      <x:c r="H131" s="39"/>
      <x:c r="I131" s="21"/>
    </x:row>
    <x:row r="132">
      <x:c r="A132" s="21"/>
      <x:c r="B132" s="21"/>
      <x:c r="C132" s="21"/>
      <x:c r="D132" s="21"/>
      <x:c r="E132" s="39"/>
      <x:c r="F132" s="39"/>
      <x:c r="G132" s="39"/>
      <x:c r="H132" s="39"/>
      <x:c r="I132" s="21"/>
    </x:row>
    <x:row r="133">
      <x:c r="A133" s="21"/>
      <x:c r="B133" s="21"/>
      <x:c r="C133" s="21"/>
      <x:c r="D133" s="21"/>
      <x:c r="E133" s="39"/>
      <x:c r="F133" s="39"/>
      <x:c r="G133" s="39"/>
      <x:c r="H133" s="39"/>
      <x:c r="I133" s="21"/>
    </x:row>
    <x:row r="134">
      <x:c r="A134" s="21"/>
      <x:c r="B134" s="21"/>
      <x:c r="C134" s="21"/>
      <x:c r="D134" s="21"/>
      <x:c r="E134" s="39"/>
      <x:c r="F134" s="39"/>
      <x:c r="G134" s="39"/>
      <x:c r="H134" s="39"/>
      <x:c r="I134" s="21"/>
    </x:row>
    <x:row r="135">
      <x:c r="A135" s="21"/>
      <x:c r="B135" s="21"/>
      <x:c r="C135" s="21"/>
      <x:c r="D135" s="21"/>
      <x:c r="E135" s="39"/>
      <x:c r="F135" s="39"/>
      <x:c r="G135" s="39"/>
      <x:c r="H135" s="39"/>
      <x:c r="I135" s="21"/>
    </x:row>
    <x:row r="136">
      <x:c r="A136" s="21"/>
      <x:c r="B136" s="21"/>
      <x:c r="C136" s="21"/>
      <x:c r="D136" s="21"/>
      <x:c r="E136" s="39"/>
      <x:c r="F136" s="39"/>
      <x:c r="G136" s="39"/>
      <x:c r="H136" s="39"/>
      <x:c r="I136" s="21"/>
    </x:row>
    <x:row r="137">
      <x:c r="A137" s="21"/>
      <x:c r="B137" s="21"/>
      <x:c r="C137" s="21"/>
      <x:c r="D137" s="21"/>
      <x:c r="E137" s="39"/>
      <x:c r="F137" s="39"/>
      <x:c r="G137" s="39"/>
      <x:c r="H137" s="39"/>
      <x:c r="I137" s="21"/>
    </x:row>
    <x:row r="138">
      <x:c r="A138" s="21"/>
      <x:c r="B138" s="21"/>
      <x:c r="C138" s="21"/>
      <x:c r="D138" s="21"/>
      <x:c r="E138" s="39"/>
      <x:c r="F138" s="39"/>
      <x:c r="G138" s="39"/>
      <x:c r="H138" s="39"/>
      <x:c r="I138" s="21"/>
    </x:row>
    <x:row r="139">
      <x:c r="A139" s="21"/>
      <x:c r="B139" s="21"/>
      <x:c r="C139" s="21"/>
      <x:c r="D139" s="21"/>
      <x:c r="E139" s="39"/>
      <x:c r="F139" s="39"/>
      <x:c r="G139" s="39"/>
      <x:c r="H139" s="39"/>
      <x:c r="I139" s="21"/>
    </x:row>
    <x:row r="140">
      <x:c r="A140" s="21"/>
      <x:c r="B140" s="21"/>
      <x:c r="C140" s="21"/>
      <x:c r="D140" s="21"/>
      <x:c r="E140" s="39"/>
      <x:c r="F140" s="39"/>
      <x:c r="G140" s="39"/>
      <x:c r="H140" s="39"/>
      <x:c r="I140" s="21"/>
    </x:row>
    <x:row r="141">
      <x:c r="A141" s="21"/>
      <x:c r="B141" s="21"/>
      <x:c r="C141" s="21"/>
      <x:c r="D141" s="21"/>
      <x:c r="E141" s="39"/>
      <x:c r="F141" s="39"/>
      <x:c r="G141" s="39"/>
      <x:c r="H141" s="39"/>
      <x:c r="I141" s="21"/>
    </x:row>
    <x:row r="142">
      <x:c r="A142" s="21"/>
      <x:c r="B142" s="21"/>
      <x:c r="C142" s="21"/>
      <x:c r="D142" s="21"/>
      <x:c r="E142" s="39"/>
      <x:c r="F142" s="39"/>
      <x:c r="G142" s="39"/>
      <x:c r="H142" s="39"/>
      <x:c r="I142" s="21"/>
    </x:row>
    <x:row r="143">
      <x:c r="A143" s="21"/>
      <x:c r="B143" s="21"/>
      <x:c r="C143" s="21"/>
      <x:c r="D143" s="21"/>
      <x:c r="E143" s="39"/>
      <x:c r="F143" s="39"/>
      <x:c r="G143" s="39"/>
      <x:c r="H143" s="39"/>
      <x:c r="I143" s="21"/>
    </x:row>
    <x:row r="144">
      <x:c r="A144" s="21"/>
      <x:c r="B144" s="21"/>
      <x:c r="C144" s="21"/>
      <x:c r="D144" s="21"/>
      <x:c r="E144" s="39"/>
      <x:c r="F144" s="39"/>
      <x:c r="G144" s="39"/>
      <x:c r="H144" s="39"/>
      <x:c r="I144" s="21"/>
    </x:row>
    <x:row r="145">
      <x:c r="A145" s="21"/>
      <x:c r="B145" s="21"/>
      <x:c r="C145" s="21"/>
      <x:c r="D145" s="21"/>
      <x:c r="E145" s="39"/>
      <x:c r="F145" s="39"/>
      <x:c r="G145" s="39"/>
      <x:c r="H145" s="39"/>
      <x:c r="I145" s="21"/>
    </x:row>
    <x:row r="146">
      <x:c r="A146" s="21"/>
      <x:c r="B146" s="21"/>
      <x:c r="C146" s="21"/>
      <x:c r="D146" s="21"/>
      <x:c r="E146" s="39"/>
      <x:c r="F146" s="39"/>
      <x:c r="G146" s="39"/>
      <x:c r="H146" s="39"/>
      <x:c r="I146" s="21"/>
    </x:row>
    <x:row r="147">
      <x:c r="A147" s="21"/>
      <x:c r="B147" s="21"/>
      <x:c r="C147" s="21"/>
      <x:c r="D147" s="21"/>
      <x:c r="E147" s="39"/>
      <x:c r="F147" s="39"/>
      <x:c r="G147" s="39"/>
      <x:c r="H147" s="39"/>
      <x:c r="I147" s="21"/>
    </x:row>
    <x:row r="148">
      <x:c r="A148" s="21"/>
      <x:c r="B148" s="21"/>
      <x:c r="C148" s="21"/>
      <x:c r="D148" s="21"/>
      <x:c r="E148" s="39"/>
      <x:c r="F148" s="39"/>
      <x:c r="G148" s="39"/>
      <x:c r="H148" s="39"/>
      <x:c r="I148" s="21"/>
    </x:row>
    <x:row r="149">
      <x:c r="A149" s="21"/>
      <x:c r="B149" s="21"/>
      <x:c r="C149" s="21"/>
      <x:c r="D149" s="21"/>
      <x:c r="E149" s="39"/>
      <x:c r="F149" s="39"/>
      <x:c r="G149" s="39"/>
      <x:c r="H149" s="39"/>
      <x:c r="I149" s="21"/>
    </x:row>
    <x:row r="150">
      <x:c r="A150" s="21"/>
      <x:c r="B150" s="21"/>
      <x:c r="C150" s="21"/>
      <x:c r="D150" s="21"/>
      <x:c r="E150" s="39"/>
      <x:c r="F150" s="39"/>
      <x:c r="G150" s="39"/>
      <x:c r="H150" s="39"/>
      <x:c r="I150" s="21"/>
    </x:row>
    <x:row r="151">
      <x:c r="A151" s="21"/>
      <x:c r="B151" s="21"/>
      <x:c r="C151" s="21"/>
      <x:c r="D151" s="21"/>
      <x:c r="E151" s="39"/>
      <x:c r="F151" s="39"/>
      <x:c r="G151" s="39"/>
      <x:c r="H151" s="39"/>
      <x:c r="I151" s="21"/>
    </x:row>
    <x:row r="152">
      <x:c r="A152" s="21"/>
      <x:c r="B152" s="21"/>
      <x:c r="C152" s="21"/>
      <x:c r="D152" s="21"/>
      <x:c r="E152" s="39"/>
      <x:c r="F152" s="39"/>
      <x:c r="G152" s="39"/>
      <x:c r="H152" s="39"/>
      <x:c r="I152" s="21"/>
    </x:row>
    <x:row r="153">
      <x:c r="A153" s="21"/>
      <x:c r="B153" s="21"/>
      <x:c r="C153" s="21"/>
      <x:c r="D153" s="21"/>
      <x:c r="E153" s="39"/>
      <x:c r="F153" s="39"/>
      <x:c r="G153" s="39"/>
      <x:c r="H153" s="39"/>
      <x:c r="I153" s="21"/>
    </x:row>
    <x:row r="154">
      <x:c r="A154" s="21"/>
      <x:c r="B154" s="21"/>
      <x:c r="C154" s="21"/>
      <x:c r="D154" s="21"/>
      <x:c r="E154" s="39"/>
      <x:c r="F154" s="39"/>
      <x:c r="G154" s="39"/>
      <x:c r="H154" s="39"/>
      <x:c r="I154" s="21"/>
    </x:row>
    <x:row r="155">
      <x:c r="A155" s="21"/>
      <x:c r="B155" s="21"/>
      <x:c r="C155" s="21"/>
      <x:c r="D155" s="21"/>
      <x:c r="E155" s="39"/>
      <x:c r="F155" s="39"/>
      <x:c r="G155" s="39"/>
      <x:c r="H155" s="39"/>
      <x:c r="I155" s="21"/>
    </x:row>
    <x:row r="156">
      <x:c r="A156" s="21"/>
      <x:c r="B156" s="21"/>
      <x:c r="C156" s="21"/>
      <x:c r="D156" s="21"/>
      <x:c r="E156" s="39"/>
      <x:c r="F156" s="39"/>
      <x:c r="G156" s="39"/>
      <x:c r="H156" s="39"/>
      <x:c r="I156" s="21"/>
    </x:row>
    <x:row r="157">
      <x:c r="A157" s="21"/>
      <x:c r="B157" s="21"/>
      <x:c r="C157" s="21"/>
      <x:c r="D157" s="21"/>
      <x:c r="E157" s="39"/>
      <x:c r="F157" s="39"/>
      <x:c r="G157" s="39"/>
      <x:c r="H157" s="39"/>
      <x:c r="I157" s="21"/>
    </x:row>
    <x:row r="158">
      <x:c r="A158" s="21"/>
      <x:c r="B158" s="21"/>
      <x:c r="C158" s="21"/>
      <x:c r="D158" s="21"/>
      <x:c r="E158" s="39"/>
      <x:c r="F158" s="39"/>
      <x:c r="G158" s="39"/>
      <x:c r="H158" s="39"/>
      <x:c r="I158" s="21"/>
    </x:row>
    <x:row r="159">
      <x:c r="A159" s="21"/>
      <x:c r="B159" s="21"/>
      <x:c r="C159" s="21"/>
      <x:c r="D159" s="21"/>
      <x:c r="E159" s="39"/>
      <x:c r="F159" s="39"/>
      <x:c r="G159" s="39"/>
      <x:c r="H159" s="39"/>
      <x:c r="I159" s="21"/>
    </x:row>
    <x:row r="160">
      <x:c r="A160" s="21"/>
      <x:c r="B160" s="21"/>
      <x:c r="C160" s="21"/>
      <x:c r="D160" s="21"/>
      <x:c r="E160" s="39"/>
      <x:c r="F160" s="39"/>
      <x:c r="G160" s="39"/>
      <x:c r="H160" s="39"/>
      <x:c r="I160" s="21"/>
    </x:row>
    <x:row r="161">
      <x:c r="A161" s="21"/>
      <x:c r="B161" s="21"/>
      <x:c r="C161" s="21"/>
      <x:c r="D161" s="21"/>
      <x:c r="E161" s="39"/>
      <x:c r="F161" s="39"/>
      <x:c r="G161" s="39"/>
      <x:c r="H161" s="39"/>
      <x:c r="I161" s="21"/>
    </x:row>
    <x:row r="162">
      <x:c r="A162" s="21"/>
      <x:c r="B162" s="21"/>
      <x:c r="C162" s="21"/>
      <x:c r="D162" s="21"/>
      <x:c r="E162" s="39"/>
      <x:c r="F162" s="39"/>
      <x:c r="G162" s="39"/>
      <x:c r="H162" s="39"/>
      <x:c r="I162" s="21"/>
    </x:row>
    <x:row r="163">
      <x:c r="A163" s="21"/>
      <x:c r="B163" s="21"/>
      <x:c r="C163" s="21"/>
      <x:c r="D163" s="21"/>
      <x:c r="E163" s="39"/>
      <x:c r="F163" s="39"/>
      <x:c r="G163" s="39"/>
      <x:c r="H163" s="39"/>
      <x:c r="I163" s="21"/>
    </x:row>
    <x:row r="164">
      <x:c r="A164" s="21"/>
      <x:c r="B164" s="21"/>
      <x:c r="C164" s="21"/>
      <x:c r="D164" s="21"/>
      <x:c r="E164" s="39"/>
      <x:c r="F164" s="39"/>
      <x:c r="G164" s="39"/>
      <x:c r="H164" s="39"/>
      <x:c r="I164" s="21"/>
    </x:row>
    <x:row r="165">
      <x:c r="A165" s="21"/>
      <x:c r="B165" s="21"/>
      <x:c r="C165" s="21"/>
      <x:c r="D165" s="21"/>
      <x:c r="E165" s="39"/>
      <x:c r="F165" s="39"/>
      <x:c r="G165" s="39"/>
      <x:c r="H165" s="39"/>
      <x:c r="I165" s="21"/>
    </x:row>
    <x:row r="166">
      <x:c r="A166" s="21"/>
      <x:c r="B166" s="21"/>
      <x:c r="C166" s="21"/>
      <x:c r="D166" s="21"/>
      <x:c r="E166" s="39"/>
      <x:c r="F166" s="39"/>
      <x:c r="G166" s="39"/>
      <x:c r="H166" s="39"/>
      <x:c r="I166" s="21"/>
    </x:row>
    <x:row r="167">
      <x:c r="A167" s="21"/>
      <x:c r="B167" s="21"/>
      <x:c r="C167" s="21"/>
      <x:c r="D167" s="21"/>
      <x:c r="E167" s="39"/>
      <x:c r="F167" s="39"/>
      <x:c r="G167" s="39"/>
      <x:c r="H167" s="39"/>
      <x:c r="I167" s="21"/>
    </x:row>
    <x:row r="168">
      <x:c r="A168" s="21"/>
      <x:c r="B168" s="21"/>
      <x:c r="C168" s="21"/>
      <x:c r="D168" s="21"/>
      <x:c r="E168" s="39"/>
      <x:c r="F168" s="39"/>
      <x:c r="G168" s="39"/>
      <x:c r="H168" s="39"/>
      <x:c r="I168" s="21"/>
    </x:row>
    <x:row r="169">
      <x:c r="A169" s="21"/>
      <x:c r="B169" s="21"/>
      <x:c r="C169" s="21"/>
      <x:c r="D169" s="21"/>
      <x:c r="E169" s="39"/>
      <x:c r="F169" s="39"/>
      <x:c r="G169" s="39"/>
      <x:c r="H169" s="39"/>
      <x:c r="I169" s="21"/>
    </x:row>
    <x:row r="170">
      <x:c r="A170" s="21"/>
      <x:c r="B170" s="21"/>
      <x:c r="C170" s="21"/>
      <x:c r="D170" s="21"/>
      <x:c r="E170" s="39"/>
      <x:c r="F170" s="39"/>
      <x:c r="G170" s="39"/>
      <x:c r="H170" s="39"/>
      <x:c r="I170" s="21"/>
    </x:row>
    <x:row r="171">
      <x:c r="A171" s="21"/>
      <x:c r="B171" s="21"/>
      <x:c r="C171" s="21"/>
      <x:c r="D171" s="21"/>
      <x:c r="E171" s="39"/>
      <x:c r="F171" s="39"/>
      <x:c r="G171" s="39"/>
      <x:c r="H171" s="39"/>
      <x:c r="I171" s="21"/>
    </x:row>
    <x:row r="172">
      <x:c r="A172" s="21"/>
      <x:c r="B172" s="21"/>
      <x:c r="C172" s="21"/>
      <x:c r="D172" s="21"/>
      <x:c r="E172" s="39"/>
      <x:c r="F172" s="39"/>
      <x:c r="G172" s="39"/>
      <x:c r="H172" s="39"/>
      <x:c r="I172" s="21"/>
    </x:row>
    <x:row r="173">
      <x:c r="A173" s="21"/>
      <x:c r="B173" s="21"/>
      <x:c r="C173" s="21"/>
      <x:c r="D173" s="21"/>
      <x:c r="E173" s="39"/>
      <x:c r="F173" s="39"/>
      <x:c r="G173" s="39"/>
      <x:c r="H173" s="39"/>
      <x:c r="I173" s="21"/>
    </x:row>
    <x:row r="174">
      <x:c r="A174" s="21"/>
      <x:c r="B174" s="21"/>
      <x:c r="C174" s="21"/>
      <x:c r="D174" s="21"/>
      <x:c r="E174" s="39"/>
      <x:c r="F174" s="39"/>
      <x:c r="G174" s="39"/>
      <x:c r="H174" s="39"/>
      <x:c r="I174" s="21"/>
    </x:row>
    <x:row r="175">
      <x:c r="A175" s="21"/>
      <x:c r="B175" s="21"/>
      <x:c r="C175" s="21"/>
      <x:c r="D175" s="21"/>
      <x:c r="E175" s="39"/>
      <x:c r="F175" s="39"/>
      <x:c r="G175" s="39"/>
      <x:c r="H175" s="39"/>
      <x:c r="I175" s="21"/>
    </x:row>
    <x:row r="176">
      <x:c r="A176" s="21"/>
      <x:c r="B176" s="21"/>
      <x:c r="C176" s="21"/>
      <x:c r="D176" s="21"/>
      <x:c r="E176" s="39"/>
      <x:c r="F176" s="39"/>
      <x:c r="G176" s="39"/>
      <x:c r="H176" s="39"/>
      <x:c r="I176" s="21"/>
    </x:row>
    <x:row r="177">
      <x:c r="A177" s="21"/>
      <x:c r="B177" s="21"/>
      <x:c r="C177" s="21"/>
      <x:c r="D177" s="21"/>
      <x:c r="E177" s="39"/>
      <x:c r="F177" s="39"/>
      <x:c r="G177" s="39"/>
      <x:c r="H177" s="39"/>
      <x:c r="I177" s="21"/>
    </x:row>
    <x:row r="178">
      <x:c r="A178" s="21"/>
      <x:c r="B178" s="21"/>
      <x:c r="C178" s="21"/>
      <x:c r="D178" s="21"/>
      <x:c r="E178" s="39"/>
      <x:c r="F178" s="39"/>
      <x:c r="G178" s="39"/>
      <x:c r="H178" s="39"/>
      <x:c r="I178" s="21"/>
    </x:row>
    <x:row r="179">
      <x:c r="A179" s="21"/>
      <x:c r="B179" s="21"/>
      <x:c r="C179" s="21"/>
      <x:c r="D179" s="21"/>
      <x:c r="E179" s="39"/>
      <x:c r="F179" s="39"/>
      <x:c r="G179" s="39"/>
      <x:c r="H179" s="39"/>
      <x:c r="I179" s="21"/>
    </x:row>
    <x:row r="180">
      <x:c r="A180" s="21"/>
      <x:c r="B180" s="21"/>
      <x:c r="C180" s="21"/>
      <x:c r="D180" s="21"/>
      <x:c r="E180" s="39"/>
      <x:c r="F180" s="39"/>
      <x:c r="G180" s="39"/>
      <x:c r="H180" s="39"/>
      <x:c r="I180" s="21"/>
    </x:row>
    <x:row r="181">
      <x:c r="A181" s="21"/>
      <x:c r="B181" s="21"/>
      <x:c r="C181" s="21"/>
      <x:c r="D181" s="21"/>
      <x:c r="E181" s="39"/>
      <x:c r="F181" s="39"/>
      <x:c r="G181" s="39"/>
      <x:c r="H181" s="39"/>
      <x:c r="I181" s="21"/>
    </x:row>
    <x:row r="182">
      <x:c r="A182" s="21"/>
      <x:c r="B182" s="21"/>
      <x:c r="C182" s="21"/>
      <x:c r="D182" s="21"/>
      <x:c r="E182" s="39"/>
      <x:c r="F182" s="39"/>
      <x:c r="G182" s="39"/>
      <x:c r="H182" s="39"/>
      <x:c r="I182" s="21"/>
    </x:row>
    <x:row r="183">
      <x:c r="A183" s="21"/>
      <x:c r="B183" s="21"/>
      <x:c r="C183" s="21"/>
      <x:c r="D183" s="21"/>
      <x:c r="E183" s="39"/>
      <x:c r="F183" s="39"/>
      <x:c r="G183" s="39"/>
      <x:c r="H183" s="39"/>
      <x:c r="I183" s="21"/>
    </x:row>
    <x:row r="184">
      <x:c r="A184" s="21"/>
      <x:c r="B184" s="21"/>
      <x:c r="C184" s="21"/>
      <x:c r="D184" s="21"/>
      <x:c r="E184" s="39"/>
      <x:c r="F184" s="39"/>
      <x:c r="G184" s="39"/>
      <x:c r="H184" s="39"/>
      <x:c r="I184" s="21"/>
    </x:row>
    <x:row r="185">
      <x:c r="A185" s="21"/>
      <x:c r="B185" s="21"/>
      <x:c r="C185" s="21"/>
      <x:c r="D185" s="21"/>
      <x:c r="E185" s="39"/>
      <x:c r="F185" s="39"/>
      <x:c r="G185" s="39"/>
      <x:c r="H185" s="39"/>
      <x:c r="I185" s="21"/>
    </x:row>
    <x:row r="186">
      <x:c r="A186" s="21"/>
      <x:c r="B186" s="21"/>
      <x:c r="C186" s="21"/>
      <x:c r="D186" s="21"/>
      <x:c r="E186" s="39"/>
      <x:c r="F186" s="39"/>
      <x:c r="G186" s="39"/>
      <x:c r="H186" s="39"/>
      <x:c r="I186" s="21"/>
    </x:row>
    <x:row r="187">
      <x:c r="A187" s="21"/>
      <x:c r="B187" s="21"/>
      <x:c r="C187" s="21"/>
      <x:c r="D187" s="21"/>
      <x:c r="E187" s="39"/>
      <x:c r="F187" s="39"/>
      <x:c r="G187" s="39"/>
      <x:c r="H187" s="39"/>
      <x:c r="I187" s="21"/>
    </x:row>
    <x:row r="188">
      <x:c r="A188" s="21"/>
      <x:c r="B188" s="21"/>
      <x:c r="C188" s="21"/>
      <x:c r="D188" s="21"/>
      <x:c r="E188" s="39"/>
      <x:c r="F188" s="39"/>
      <x:c r="G188" s="39"/>
      <x:c r="H188" s="39"/>
      <x:c r="I188" s="21"/>
    </x:row>
    <x:row r="189">
      <x:c r="A189" s="21"/>
      <x:c r="B189" s="21"/>
      <x:c r="C189" s="21"/>
      <x:c r="D189" s="21"/>
      <x:c r="E189" s="39"/>
      <x:c r="F189" s="39"/>
      <x:c r="G189" s="39"/>
      <x:c r="H189" s="39"/>
      <x:c r="I189" s="21"/>
    </x:row>
    <x:row r="190">
      <x:c r="A190" s="21"/>
      <x:c r="B190" s="21"/>
      <x:c r="C190" s="21"/>
      <x:c r="D190" s="21"/>
      <x:c r="E190" s="39"/>
      <x:c r="F190" s="39"/>
      <x:c r="G190" s="39"/>
      <x:c r="H190" s="39"/>
      <x:c r="I190" s="21"/>
    </x:row>
    <x:row r="191">
      <x:c r="A191" s="21"/>
      <x:c r="B191" s="21"/>
      <x:c r="C191" s="21"/>
      <x:c r="D191" s="21"/>
      <x:c r="E191" s="39"/>
      <x:c r="F191" s="39"/>
      <x:c r="G191" s="39"/>
      <x:c r="H191" s="39"/>
      <x:c r="I191" s="21"/>
    </x:row>
    <x:row r="192">
      <x:c r="A192" s="21"/>
      <x:c r="B192" s="21"/>
      <x:c r="C192" s="21"/>
      <x:c r="D192" s="21"/>
      <x:c r="E192" s="39"/>
      <x:c r="F192" s="39"/>
      <x:c r="G192" s="39"/>
      <x:c r="H192" s="39"/>
      <x:c r="I192" s="21"/>
    </x:row>
    <x:row r="193">
      <x:c r="A193" s="21"/>
      <x:c r="B193" s="21"/>
      <x:c r="C193" s="21"/>
      <x:c r="D193" s="21"/>
      <x:c r="E193" s="39"/>
      <x:c r="F193" s="39"/>
      <x:c r="G193" s="39"/>
      <x:c r="H193" s="39"/>
      <x:c r="I193" s="21"/>
    </x:row>
    <x:row r="194">
      <x:c r="A194" s="21"/>
      <x:c r="B194" s="21"/>
      <x:c r="C194" s="21"/>
      <x:c r="D194" s="21"/>
      <x:c r="E194" s="39"/>
      <x:c r="F194" s="39"/>
      <x:c r="G194" s="39"/>
      <x:c r="H194" s="39"/>
      <x:c r="I194" s="21"/>
    </x:row>
    <x:row r="195">
      <x:c r="A195" s="21"/>
      <x:c r="B195" s="21"/>
      <x:c r="C195" s="21"/>
      <x:c r="D195" s="21"/>
      <x:c r="E195" s="39"/>
      <x:c r="F195" s="39"/>
      <x:c r="G195" s="39"/>
      <x:c r="H195" s="39"/>
      <x:c r="I195" s="21"/>
    </x:row>
    <x:row r="196">
      <x:c r="A196" s="21"/>
      <x:c r="B196" s="21"/>
      <x:c r="C196" s="21"/>
      <x:c r="D196" s="21"/>
      <x:c r="E196" s="39"/>
      <x:c r="F196" s="39"/>
      <x:c r="G196" s="39"/>
      <x:c r="H196" s="39"/>
      <x:c r="I196" s="21"/>
    </x:row>
    <x:row r="197">
      <x:c r="A197" s="21"/>
      <x:c r="B197" s="21"/>
      <x:c r="C197" s="21"/>
      <x:c r="D197" s="21"/>
      <x:c r="E197" s="39"/>
      <x:c r="F197" s="39"/>
      <x:c r="G197" s="39"/>
      <x:c r="H197" s="39"/>
      <x:c r="I197" s="21"/>
    </x:row>
    <x:row r="198">
      <x:c r="A198" s="21"/>
      <x:c r="B198" s="21"/>
      <x:c r="C198" s="21"/>
      <x:c r="D198" s="21"/>
      <x:c r="E198" s="39"/>
      <x:c r="F198" s="39"/>
      <x:c r="G198" s="39"/>
      <x:c r="H198" s="39"/>
      <x:c r="I198" s="21"/>
    </x:row>
    <x:row r="199">
      <x:c r="A199" s="21"/>
      <x:c r="B199" s="21"/>
      <x:c r="C199" s="21"/>
      <x:c r="D199" s="21"/>
      <x:c r="E199" s="39"/>
      <x:c r="F199" s="39"/>
      <x:c r="G199" s="39"/>
      <x:c r="H199" s="39"/>
      <x:c r="I199" s="21"/>
    </x:row>
    <x:row r="200">
      <x:c r="A200" s="21"/>
      <x:c r="B200" s="21"/>
      <x:c r="C200" s="21"/>
      <x:c r="D200" s="21"/>
      <x:c r="E200" s="39"/>
      <x:c r="F200" s="39"/>
      <x:c r="G200" s="39"/>
      <x:c r="H200" s="39"/>
      <x:c r="I200" s="21"/>
    </x:row>
    <x:row r="201">
      <x:c r="A201" s="21"/>
      <x:c r="B201" s="21"/>
      <x:c r="C201" s="21"/>
      <x:c r="D201" s="21"/>
      <x:c r="E201" s="39"/>
      <x:c r="F201" s="39"/>
      <x:c r="G201" s="39"/>
      <x:c r="H201" s="39"/>
      <x:c r="I201" s="21"/>
    </x:row>
    <x:row r="202">
      <x:c r="A202" s="21"/>
      <x:c r="B202" s="21"/>
      <x:c r="C202" s="21"/>
      <x:c r="D202" s="21"/>
      <x:c r="E202" s="39"/>
      <x:c r="F202" s="39"/>
      <x:c r="G202" s="39"/>
      <x:c r="H202" s="39"/>
      <x:c r="I202" s="21"/>
    </x:row>
    <x:row r="203">
      <x:c r="A203" s="21"/>
      <x:c r="B203" s="21"/>
      <x:c r="C203" s="21"/>
      <x:c r="D203" s="21"/>
      <x:c r="E203" s="39"/>
      <x:c r="F203" s="39"/>
      <x:c r="G203" s="39"/>
      <x:c r="H203" s="39"/>
      <x:c r="I203" s="21"/>
    </x:row>
    <x:row r="204">
      <x:c r="A204" s="21"/>
      <x:c r="B204" s="21"/>
      <x:c r="C204" s="21"/>
      <x:c r="D204" s="21"/>
      <x:c r="E204" s="39"/>
      <x:c r="F204" s="39"/>
      <x:c r="G204" s="39"/>
      <x:c r="H204" s="39"/>
      <x:c r="I204" s="21"/>
    </x:row>
    <x:row r="205">
      <x:c r="A205" s="21"/>
      <x:c r="B205" s="21"/>
      <x:c r="C205" s="21"/>
      <x:c r="D205" s="21"/>
      <x:c r="E205" s="39"/>
      <x:c r="F205" s="39"/>
      <x:c r="G205" s="39"/>
      <x:c r="H205" s="39"/>
      <x:c r="I205" s="21"/>
    </x:row>
    <x:row r="206">
      <x:c r="A206" s="21"/>
      <x:c r="B206" s="21"/>
      <x:c r="C206" s="21"/>
      <x:c r="D206" s="21"/>
      <x:c r="E206" s="39"/>
      <x:c r="F206" s="39"/>
      <x:c r="G206" s="39"/>
      <x:c r="H206" s="39"/>
      <x:c r="I206" s="21"/>
    </x:row>
    <x:row r="207">
      <x:c r="A207" s="21"/>
      <x:c r="B207" s="21"/>
      <x:c r="C207" s="21"/>
      <x:c r="D207" s="21"/>
      <x:c r="E207" s="39"/>
      <x:c r="F207" s="39"/>
      <x:c r="G207" s="39"/>
      <x:c r="H207" s="39"/>
      <x:c r="I207" s="21"/>
    </x:row>
    <x:row r="208">
      <x:c r="A208" s="21"/>
      <x:c r="B208" s="21"/>
      <x:c r="C208" s="21"/>
      <x:c r="D208" s="21"/>
      <x:c r="E208" s="39"/>
      <x:c r="F208" s="39"/>
      <x:c r="G208" s="39"/>
      <x:c r="H208" s="39"/>
      <x:c r="I208" s="21"/>
    </x:row>
    <x:row r="209">
      <x:c r="A209" s="21"/>
      <x:c r="B209" s="21"/>
      <x:c r="C209" s="21"/>
      <x:c r="D209" s="21"/>
      <x:c r="E209" s="39"/>
      <x:c r="F209" s="39"/>
      <x:c r="G209" s="39"/>
      <x:c r="H209" s="39"/>
      <x:c r="I209" s="21"/>
    </x:row>
    <x:row r="210">
      <x:c r="A210" s="21"/>
      <x:c r="B210" s="21"/>
      <x:c r="C210" s="21"/>
      <x:c r="D210" s="21"/>
      <x:c r="E210" s="39"/>
      <x:c r="F210" s="39"/>
      <x:c r="G210" s="39"/>
      <x:c r="H210" s="39"/>
      <x:c r="I210" s="21"/>
    </x:row>
    <x:row r="211">
      <x:c r="A211" s="21"/>
      <x:c r="B211" s="21"/>
      <x:c r="C211" s="21"/>
      <x:c r="D211" s="21"/>
      <x:c r="E211" s="39"/>
      <x:c r="F211" s="39"/>
      <x:c r="G211" s="39"/>
      <x:c r="H211" s="39"/>
      <x:c r="I211" s="21"/>
    </x:row>
    <x:row r="212">
      <x:c r="A212" s="21"/>
      <x:c r="B212" s="21"/>
      <x:c r="C212" s="21"/>
      <x:c r="D212" s="21"/>
      <x:c r="E212" s="39"/>
      <x:c r="F212" s="39"/>
      <x:c r="G212" s="39"/>
      <x:c r="H212" s="39"/>
      <x:c r="I212" s="21"/>
    </x:row>
    <x:row r="213">
      <x:c r="A213" s="21"/>
      <x:c r="B213" s="21"/>
      <x:c r="C213" s="21"/>
      <x:c r="D213" s="21"/>
      <x:c r="E213" s="39"/>
      <x:c r="F213" s="39"/>
      <x:c r="G213" s="39"/>
      <x:c r="H213" s="39"/>
      <x:c r="I213" s="21"/>
    </x:row>
    <x:row r="214">
      <x:c r="A214" s="21"/>
      <x:c r="B214" s="21"/>
      <x:c r="C214" s="21"/>
      <x:c r="D214" s="21"/>
      <x:c r="E214" s="39"/>
      <x:c r="F214" s="39"/>
      <x:c r="G214" s="39"/>
      <x:c r="H214" s="39"/>
      <x:c r="I214" s="21"/>
    </x:row>
    <x:row r="215">
      <x:c r="A215" s="21"/>
      <x:c r="B215" s="21"/>
      <x:c r="C215" s="21"/>
      <x:c r="D215" s="21"/>
      <x:c r="E215" s="39"/>
      <x:c r="F215" s="39"/>
      <x:c r="G215" s="39"/>
      <x:c r="H215" s="39"/>
      <x:c r="I215" s="21"/>
    </x:row>
    <x:row r="216">
      <x:c r="A216" s="21"/>
      <x:c r="B216" s="21"/>
      <x:c r="C216" s="21"/>
      <x:c r="D216" s="21"/>
      <x:c r="E216" s="39"/>
      <x:c r="F216" s="39"/>
      <x:c r="G216" s="39"/>
      <x:c r="H216" s="39"/>
      <x:c r="I216" s="21"/>
    </x:row>
    <x:row r="217">
      <x:c r="A217" s="21"/>
      <x:c r="B217" s="21"/>
      <x:c r="C217" s="21"/>
      <x:c r="D217" s="21"/>
      <x:c r="E217" s="39"/>
      <x:c r="F217" s="39"/>
      <x:c r="G217" s="39"/>
      <x:c r="H217" s="39"/>
      <x:c r="I217" s="21"/>
    </x:row>
    <x:row r="218">
      <x:c r="A218" s="21"/>
      <x:c r="B218" s="21"/>
      <x:c r="C218" s="21"/>
      <x:c r="D218" s="21"/>
      <x:c r="E218" s="39"/>
      <x:c r="F218" s="39"/>
      <x:c r="G218" s="39"/>
      <x:c r="H218" s="39"/>
      <x:c r="I218" s="21"/>
    </x:row>
    <x:row r="219">
      <x:c r="A219" s="21"/>
      <x:c r="B219" s="21"/>
      <x:c r="C219" s="21"/>
      <x:c r="D219" s="21"/>
      <x:c r="E219" s="39"/>
      <x:c r="F219" s="39"/>
      <x:c r="G219" s="39"/>
      <x:c r="H219" s="39"/>
      <x:c r="I219" s="21"/>
    </x:row>
    <x:row r="220">
      <x:c r="A220" s="21"/>
      <x:c r="B220" s="21"/>
      <x:c r="C220" s="21"/>
      <x:c r="D220" s="21"/>
      <x:c r="E220" s="39"/>
      <x:c r="F220" s="39"/>
      <x:c r="G220" s="39"/>
      <x:c r="H220" s="39"/>
      <x:c r="I220" s="21"/>
    </x:row>
    <x:row r="221">
      <x:c r="A221" s="21"/>
      <x:c r="B221" s="21"/>
      <x:c r="C221" s="21"/>
      <x:c r="D221" s="21"/>
      <x:c r="E221" s="39"/>
      <x:c r="F221" s="39"/>
      <x:c r="G221" s="39"/>
      <x:c r="H221" s="39"/>
      <x:c r="I221" s="21"/>
    </x:row>
    <x:row r="222">
      <x:c r="A222" s="21"/>
      <x:c r="B222" s="21"/>
      <x:c r="C222" s="21"/>
      <x:c r="D222" s="21"/>
      <x:c r="E222" s="39"/>
      <x:c r="F222" s="39"/>
      <x:c r="G222" s="39"/>
      <x:c r="H222" s="39"/>
      <x:c r="I222" s="21"/>
    </x:row>
    <x:row r="223">
      <x:c r="A223" s="21"/>
      <x:c r="B223" s="21"/>
      <x:c r="C223" s="21"/>
      <x:c r="D223" s="21"/>
      <x:c r="E223" s="39"/>
      <x:c r="F223" s="39"/>
      <x:c r="G223" s="39"/>
      <x:c r="H223" s="39"/>
      <x:c r="I223" s="21"/>
    </x:row>
    <x:row r="224">
      <x:c r="A224" s="21"/>
      <x:c r="B224" s="21"/>
      <x:c r="C224" s="21"/>
      <x:c r="D224" s="21"/>
      <x:c r="E224" s="39"/>
      <x:c r="F224" s="39"/>
      <x:c r="G224" s="39"/>
      <x:c r="H224" s="39"/>
      <x:c r="I224" s="21"/>
    </x:row>
    <x:row r="225">
      <x:c r="A225" s="21"/>
      <x:c r="B225" s="21"/>
      <x:c r="C225" s="21"/>
      <x:c r="D225" s="21"/>
      <x:c r="E225" s="39"/>
      <x:c r="F225" s="39"/>
      <x:c r="G225" s="39"/>
      <x:c r="H225" s="39"/>
      <x:c r="I225" s="21"/>
    </x:row>
    <x:row r="226">
      <x:c r="A226" s="21"/>
      <x:c r="B226" s="21"/>
      <x:c r="C226" s="21"/>
      <x:c r="D226" s="21"/>
      <x:c r="E226" s="39"/>
      <x:c r="F226" s="39"/>
      <x:c r="G226" s="39"/>
      <x:c r="H226" s="39"/>
      <x:c r="I226" s="21"/>
    </x:row>
    <x:row r="227">
      <x:c r="A227" s="21"/>
      <x:c r="B227" s="21"/>
      <x:c r="C227" s="21"/>
      <x:c r="D227" s="21"/>
      <x:c r="E227" s="39"/>
      <x:c r="F227" s="39"/>
      <x:c r="G227" s="39"/>
      <x:c r="H227" s="39"/>
      <x:c r="I227" s="21"/>
    </x:row>
    <x:row r="228">
      <x:c r="A228" s="21"/>
      <x:c r="B228" s="21"/>
      <x:c r="C228" s="21"/>
      <x:c r="D228" s="21"/>
      <x:c r="E228" s="39"/>
      <x:c r="F228" s="39"/>
      <x:c r="G228" s="39"/>
      <x:c r="H228" s="39"/>
      <x:c r="I228" s="21"/>
    </x:row>
    <x:row r="229">
      <x:c r="A229" s="21"/>
      <x:c r="B229" s="21"/>
      <x:c r="C229" s="21"/>
      <x:c r="D229" s="21"/>
      <x:c r="E229" s="39"/>
      <x:c r="F229" s="39"/>
      <x:c r="G229" s="39"/>
      <x:c r="H229" s="39"/>
      <x:c r="I229" s="21"/>
    </x:row>
    <x:row r="230">
      <x:c r="A230" s="21"/>
      <x:c r="B230" s="21"/>
      <x:c r="C230" s="21"/>
      <x:c r="D230" s="21"/>
      <x:c r="E230" s="39"/>
      <x:c r="F230" s="39"/>
      <x:c r="G230" s="39"/>
      <x:c r="H230" s="39"/>
      <x:c r="I230" s="21"/>
    </x:row>
    <x:row r="231">
      <x:c r="A231" s="21"/>
      <x:c r="B231" s="21"/>
      <x:c r="C231" s="21"/>
      <x:c r="D231" s="21"/>
      <x:c r="E231" s="39"/>
      <x:c r="F231" s="39"/>
      <x:c r="G231" s="39"/>
      <x:c r="H231" s="39"/>
      <x:c r="I231" s="21"/>
    </x:row>
    <x:row r="232">
      <x:c r="A232" s="21"/>
      <x:c r="B232" s="21"/>
      <x:c r="C232" s="21"/>
      <x:c r="D232" s="21"/>
      <x:c r="E232" s="39"/>
      <x:c r="F232" s="39"/>
      <x:c r="G232" s="39"/>
      <x:c r="H232" s="39"/>
      <x:c r="I232" s="21"/>
    </x:row>
    <x:row r="233">
      <x:c r="A233" s="21"/>
      <x:c r="B233" s="21"/>
      <x:c r="C233" s="21"/>
      <x:c r="D233" s="21"/>
      <x:c r="E233" s="39"/>
      <x:c r="F233" s="39"/>
      <x:c r="G233" s="39"/>
      <x:c r="H233" s="39"/>
      <x:c r="I233" s="21"/>
    </x:row>
    <x:row r="234">
      <x:c r="A234" s="21"/>
      <x:c r="B234" s="21"/>
      <x:c r="C234" s="21"/>
      <x:c r="D234" s="21"/>
      <x:c r="E234" s="39"/>
      <x:c r="F234" s="39"/>
      <x:c r="G234" s="39"/>
      <x:c r="H234" s="39"/>
      <x:c r="I234" s="21"/>
    </x:row>
    <x:row r="235">
      <x:c r="A235" s="21"/>
      <x:c r="B235" s="21"/>
      <x:c r="C235" s="21"/>
      <x:c r="D235" s="21"/>
      <x:c r="E235" s="39"/>
      <x:c r="F235" s="39"/>
      <x:c r="G235" s="39"/>
      <x:c r="H235" s="39"/>
      <x:c r="I235" s="21"/>
    </x:row>
    <x:row r="236">
      <x:c r="A236" s="21"/>
      <x:c r="B236" s="21"/>
      <x:c r="C236" s="21"/>
      <x:c r="D236" s="21"/>
      <x:c r="E236" s="39"/>
      <x:c r="F236" s="39"/>
      <x:c r="G236" s="39"/>
      <x:c r="H236" s="39"/>
      <x:c r="I236" s="21"/>
    </x:row>
    <x:row r="237">
      <x:c r="A237" s="21"/>
      <x:c r="B237" s="21"/>
      <x:c r="C237" s="21"/>
      <x:c r="D237" s="21"/>
      <x:c r="E237" s="39"/>
      <x:c r="F237" s="39"/>
      <x:c r="G237" s="39"/>
      <x:c r="H237" s="39"/>
      <x:c r="I237" s="21"/>
    </x:row>
    <x:row r="238">
      <x:c r="A238" s="21"/>
      <x:c r="B238" s="21"/>
      <x:c r="C238" s="21"/>
      <x:c r="D238" s="21"/>
      <x:c r="E238" s="39"/>
      <x:c r="F238" s="39"/>
      <x:c r="G238" s="39"/>
      <x:c r="H238" s="39"/>
      <x:c r="I238" s="21"/>
    </x:row>
    <x:row r="239">
      <x:c r="A239" s="21"/>
      <x:c r="B239" s="21"/>
      <x:c r="C239" s="21"/>
      <x:c r="D239" s="21"/>
      <x:c r="E239" s="39"/>
      <x:c r="F239" s="39"/>
      <x:c r="G239" s="39"/>
      <x:c r="H239" s="39"/>
      <x:c r="I239" s="21"/>
    </x:row>
    <x:row r="240">
      <x:c r="A240" s="21"/>
      <x:c r="B240" s="21"/>
      <x:c r="C240" s="21"/>
      <x:c r="D240" s="21"/>
      <x:c r="E240" s="39"/>
      <x:c r="F240" s="39"/>
      <x:c r="G240" s="39"/>
      <x:c r="H240" s="39"/>
      <x:c r="I240" s="21"/>
    </x:row>
    <x:row r="241">
      <x:c r="A241" s="21"/>
      <x:c r="B241" s="21"/>
      <x:c r="C241" s="21"/>
      <x:c r="D241" s="21"/>
      <x:c r="E241" s="39"/>
      <x:c r="F241" s="39"/>
      <x:c r="G241" s="39"/>
      <x:c r="H241" s="39"/>
      <x:c r="I241" s="21"/>
    </x:row>
    <x:row r="242">
      <x:c r="A242" s="21"/>
      <x:c r="B242" s="21"/>
      <x:c r="C242" s="21"/>
      <x:c r="D242" s="21"/>
      <x:c r="E242" s="39"/>
      <x:c r="F242" s="39"/>
      <x:c r="G242" s="39"/>
      <x:c r="H242" s="39"/>
      <x:c r="I242" s="21"/>
    </x:row>
    <x:row r="243">
      <x:c r="A243" s="21"/>
      <x:c r="B243" s="21"/>
      <x:c r="C243" s="21"/>
      <x:c r="D243" s="21"/>
      <x:c r="E243" s="39"/>
      <x:c r="F243" s="39"/>
      <x:c r="G243" s="39"/>
      <x:c r="H243" s="39"/>
      <x:c r="I243" s="21"/>
    </x:row>
    <x:row r="244">
      <x:c r="A244" s="21"/>
      <x:c r="B244" s="21"/>
      <x:c r="C244" s="21"/>
      <x:c r="D244" s="21"/>
      <x:c r="E244" s="39"/>
      <x:c r="F244" s="39"/>
      <x:c r="G244" s="39"/>
      <x:c r="H244" s="39"/>
      <x:c r="I244" s="21"/>
    </x:row>
    <x:row r="245">
      <x:c r="A245" s="21"/>
      <x:c r="B245" s="21"/>
      <x:c r="C245" s="21"/>
      <x:c r="D245" s="21"/>
      <x:c r="E245" s="39"/>
      <x:c r="F245" s="39"/>
      <x:c r="G245" s="39"/>
      <x:c r="H245" s="39"/>
      <x:c r="I245" s="21"/>
    </x:row>
    <x:row r="246">
      <x:c r="A246" s="21"/>
      <x:c r="B246" s="21"/>
      <x:c r="C246" s="21"/>
      <x:c r="D246" s="21"/>
      <x:c r="E246" s="39"/>
      <x:c r="F246" s="39"/>
      <x:c r="G246" s="39"/>
      <x:c r="H246" s="39"/>
      <x:c r="I246" s="21"/>
    </x:row>
    <x:row r="247">
      <x:c r="A247" s="21"/>
      <x:c r="B247" s="21"/>
      <x:c r="C247" s="21"/>
      <x:c r="D247" s="21"/>
      <x:c r="E247" s="39"/>
      <x:c r="F247" s="39"/>
      <x:c r="G247" s="39"/>
      <x:c r="H247" s="39"/>
      <x:c r="I247" s="21"/>
    </x:row>
    <x:row r="248">
      <x:c r="A248" s="21"/>
      <x:c r="B248" s="21"/>
      <x:c r="C248" s="21"/>
      <x:c r="D248" s="21"/>
      <x:c r="E248" s="39"/>
      <x:c r="F248" s="39"/>
      <x:c r="G248" s="39"/>
      <x:c r="H248" s="39"/>
      <x:c r="I248" s="21"/>
    </x:row>
    <x:row r="249">
      <x:c r="A249" s="21"/>
      <x:c r="B249" s="21"/>
      <x:c r="C249" s="21"/>
      <x:c r="D249" s="21"/>
      <x:c r="E249" s="39"/>
      <x:c r="F249" s="39"/>
      <x:c r="G249" s="39"/>
      <x:c r="H249" s="39"/>
      <x:c r="I249" s="21"/>
    </x:row>
    <x:row r="250">
      <x:c r="A250" s="21"/>
      <x:c r="B250" s="21"/>
      <x:c r="C250" s="21"/>
      <x:c r="D250" s="21"/>
      <x:c r="E250" s="39"/>
      <x:c r="F250" s="39"/>
      <x:c r="G250" s="39"/>
      <x:c r="H250" s="39"/>
      <x:c r="I250" s="21"/>
    </x:row>
    <x:row r="251">
      <x:c r="A251" s="21"/>
      <x:c r="B251" s="21"/>
      <x:c r="C251" s="21"/>
      <x:c r="D251" s="21"/>
      <x:c r="E251" s="39"/>
      <x:c r="F251" s="39"/>
      <x:c r="G251" s="39"/>
      <x:c r="H251" s="39"/>
      <x:c r="I251" s="21"/>
    </x:row>
    <x:row r="252">
      <x:c r="A252" s="21"/>
      <x:c r="B252" s="21"/>
      <x:c r="C252" s="21"/>
      <x:c r="D252" s="21"/>
      <x:c r="E252" s="39"/>
      <x:c r="F252" s="39"/>
      <x:c r="G252" s="39"/>
      <x:c r="H252" s="39"/>
      <x:c r="I252" s="21"/>
    </x:row>
    <x:row r="253">
      <x:c r="A253" s="21"/>
      <x:c r="B253" s="21"/>
      <x:c r="C253" s="21"/>
      <x:c r="D253" s="21"/>
      <x:c r="E253" s="39"/>
      <x:c r="F253" s="39"/>
      <x:c r="G253" s="39"/>
      <x:c r="H253" s="39"/>
      <x:c r="I253" s="21"/>
    </x:row>
    <x:row r="254">
      <x:c r="A254" s="21"/>
      <x:c r="B254" s="21"/>
      <x:c r="C254" s="21"/>
      <x:c r="D254" s="21"/>
      <x:c r="E254" s="39"/>
      <x:c r="F254" s="39"/>
      <x:c r="G254" s="39"/>
      <x:c r="H254" s="39"/>
      <x:c r="I254" s="21"/>
    </x:row>
    <x:row r="255">
      <x:c r="A255" s="21"/>
      <x:c r="B255" s="21"/>
      <x:c r="C255" s="21"/>
      <x:c r="D255" s="21"/>
      <x:c r="E255" s="39"/>
      <x:c r="F255" s="39"/>
      <x:c r="G255" s="39"/>
      <x:c r="H255" s="39"/>
      <x:c r="I255" s="21"/>
    </x:row>
    <x:row r="256">
      <x:c r="A256" s="21"/>
      <x:c r="B256" s="21"/>
      <x:c r="C256" s="21"/>
      <x:c r="D256" s="21"/>
      <x:c r="E256" s="39"/>
      <x:c r="F256" s="39"/>
      <x:c r="G256" s="39"/>
      <x:c r="H256" s="39"/>
      <x:c r="I256" s="21"/>
    </x:row>
    <x:row r="257">
      <x:c r="A257" s="21"/>
      <x:c r="B257" s="21"/>
      <x:c r="C257" s="21"/>
      <x:c r="D257" s="21"/>
      <x:c r="E257" s="39"/>
      <x:c r="F257" s="39"/>
      <x:c r="G257" s="39"/>
      <x:c r="H257" s="39"/>
      <x:c r="I257" s="21"/>
    </x:row>
    <x:row r="258">
      <x:c r="A258" s="21"/>
      <x:c r="B258" s="21"/>
      <x:c r="C258" s="21"/>
      <x:c r="D258" s="21"/>
      <x:c r="E258" s="39"/>
      <x:c r="F258" s="39"/>
      <x:c r="G258" s="39"/>
      <x:c r="H258" s="39"/>
      <x:c r="I258" s="21"/>
    </x:row>
    <x:row r="259">
      <x:c r="A259" s="21"/>
      <x:c r="B259" s="21"/>
      <x:c r="C259" s="21"/>
      <x:c r="D259" s="21"/>
      <x:c r="E259" s="39"/>
      <x:c r="F259" s="39"/>
      <x:c r="G259" s="39"/>
      <x:c r="H259" s="39"/>
      <x:c r="I259" s="21"/>
    </x:row>
    <x:row r="260">
      <x:c r="A260" s="21"/>
      <x:c r="B260" s="21"/>
      <x:c r="C260" s="21"/>
      <x:c r="D260" s="21"/>
      <x:c r="E260" s="39"/>
      <x:c r="F260" s="39"/>
      <x:c r="G260" s="39"/>
      <x:c r="H260" s="39"/>
      <x:c r="I260" s="21"/>
    </x:row>
    <x:row r="261">
      <x:c r="A261" s="21"/>
      <x:c r="B261" s="21"/>
      <x:c r="C261" s="21"/>
      <x:c r="D261" s="21"/>
      <x:c r="E261" s="39"/>
      <x:c r="F261" s="39"/>
      <x:c r="G261" s="39"/>
      <x:c r="H261" s="39"/>
      <x:c r="I261" s="21"/>
    </x:row>
    <x:row r="262">
      <x:c r="A262" s="21"/>
      <x:c r="B262" s="21"/>
      <x:c r="C262" s="21"/>
      <x:c r="D262" s="21"/>
      <x:c r="E262" s="39"/>
      <x:c r="F262" s="39"/>
      <x:c r="G262" s="39"/>
      <x:c r="H262" s="39"/>
      <x:c r="I262" s="21"/>
    </x:row>
    <x:row r="263">
      <x:c r="A263" s="21"/>
      <x:c r="B263" s="21"/>
      <x:c r="C263" s="21"/>
      <x:c r="D263" s="21"/>
      <x:c r="E263" s="39"/>
      <x:c r="F263" s="39"/>
      <x:c r="G263" s="39"/>
      <x:c r="H263" s="39"/>
      <x:c r="I263" s="21"/>
    </x:row>
    <x:row r="264">
      <x:c r="A264" s="21"/>
      <x:c r="B264" s="21"/>
      <x:c r="C264" s="21"/>
      <x:c r="D264" s="21"/>
      <x:c r="E264" s="39"/>
      <x:c r="F264" s="39"/>
      <x:c r="G264" s="39"/>
      <x:c r="H264" s="39"/>
      <x:c r="I264" s="21"/>
    </x:row>
    <x:row r="265">
      <x:c r="A265" s="21"/>
      <x:c r="B265" s="21"/>
      <x:c r="C265" s="21"/>
      <x:c r="D265" s="21"/>
      <x:c r="E265" s="39"/>
      <x:c r="F265" s="39"/>
      <x:c r="G265" s="39"/>
      <x:c r="H265" s="39"/>
      <x:c r="I265" s="21"/>
    </x:row>
    <x:row r="266">
      <x:c r="A266" s="21"/>
      <x:c r="B266" s="21"/>
      <x:c r="C266" s="21"/>
      <x:c r="D266" s="21"/>
      <x:c r="E266" s="39"/>
      <x:c r="F266" s="39"/>
      <x:c r="G266" s="39"/>
      <x:c r="H266" s="39"/>
      <x:c r="I266" s="21"/>
    </x:row>
    <x:row r="267">
      <x:c r="A267" s="21"/>
      <x:c r="B267" s="21"/>
      <x:c r="C267" s="21"/>
      <x:c r="D267" s="21"/>
      <x:c r="E267" s="39"/>
      <x:c r="F267" s="39"/>
      <x:c r="G267" s="39"/>
      <x:c r="H267" s="39"/>
      <x:c r="I267" s="21"/>
    </x:row>
    <x:row r="268">
      <x:c r="A268" s="21"/>
      <x:c r="B268" s="21"/>
      <x:c r="C268" s="21"/>
      <x:c r="D268" s="21"/>
      <x:c r="E268" s="39"/>
      <x:c r="F268" s="39"/>
      <x:c r="G268" s="39"/>
      <x:c r="H268" s="39"/>
      <x:c r="I268" s="21"/>
    </x:row>
    <x:row r="269">
      <x:c r="A269" s="21"/>
      <x:c r="B269" s="21"/>
      <x:c r="C269" s="21"/>
      <x:c r="D269" s="21"/>
      <x:c r="E269" s="39"/>
      <x:c r="F269" s="39"/>
      <x:c r="G269" s="39"/>
      <x:c r="H269" s="39"/>
      <x:c r="I269" s="21"/>
    </x:row>
    <x:row r="270">
      <x:c r="A270" s="21"/>
      <x:c r="B270" s="21"/>
      <x:c r="C270" s="21"/>
      <x:c r="D270" s="21"/>
      <x:c r="E270" s="39"/>
      <x:c r="F270" s="39"/>
      <x:c r="G270" s="39"/>
      <x:c r="H270" s="39"/>
      <x:c r="I270" s="21"/>
    </x:row>
    <x:row r="271">
      <x:c r="A271" s="21"/>
      <x:c r="B271" s="21"/>
      <x:c r="C271" s="21"/>
      <x:c r="D271" s="21"/>
      <x:c r="E271" s="39"/>
      <x:c r="F271" s="39"/>
      <x:c r="G271" s="39"/>
      <x:c r="H271" s="39"/>
      <x:c r="I271" s="21"/>
    </x:row>
    <x:row r="272">
      <x:c r="A272" s="21"/>
      <x:c r="B272" s="21"/>
      <x:c r="C272" s="21"/>
      <x:c r="D272" s="21"/>
      <x:c r="E272" s="39"/>
      <x:c r="F272" s="39"/>
      <x:c r="G272" s="39"/>
      <x:c r="H272" s="39"/>
      <x:c r="I272" s="21"/>
    </x:row>
    <x:row r="273">
      <x:c r="A273" s="21"/>
      <x:c r="B273" s="21"/>
      <x:c r="C273" s="21"/>
      <x:c r="D273" s="21"/>
      <x:c r="E273" s="39"/>
      <x:c r="F273" s="39"/>
      <x:c r="G273" s="39"/>
      <x:c r="H273" s="39"/>
      <x:c r="I273" s="21"/>
    </x:row>
    <x:row r="274">
      <x:c r="A274" s="21"/>
      <x:c r="B274" s="21"/>
      <x:c r="C274" s="21"/>
      <x:c r="D274" s="21"/>
      <x:c r="E274" s="39"/>
      <x:c r="F274" s="39"/>
      <x:c r="G274" s="39"/>
      <x:c r="H274" s="39"/>
      <x:c r="I274" s="21"/>
    </x:row>
    <x:row r="275">
      <x:c r="A275" s="21"/>
      <x:c r="B275" s="21"/>
      <x:c r="C275" s="21"/>
      <x:c r="D275" s="21"/>
      <x:c r="E275" s="39"/>
      <x:c r="F275" s="39"/>
      <x:c r="G275" s="39"/>
      <x:c r="H275" s="39"/>
      <x:c r="I275" s="21"/>
    </x:row>
    <x:row r="276">
      <x:c r="A276" s="21"/>
      <x:c r="B276" s="21"/>
      <x:c r="C276" s="21"/>
      <x:c r="D276" s="21"/>
      <x:c r="E276" s="39"/>
      <x:c r="F276" s="39"/>
      <x:c r="G276" s="39"/>
      <x:c r="H276" s="39"/>
      <x:c r="I276" s="21"/>
    </x:row>
    <x:row r="277">
      <x:c r="A277" s="21"/>
      <x:c r="B277" s="21"/>
      <x:c r="C277" s="21"/>
      <x:c r="D277" s="21"/>
      <x:c r="E277" s="39"/>
      <x:c r="F277" s="39"/>
      <x:c r="G277" s="39"/>
      <x:c r="H277" s="39"/>
      <x:c r="I277" s="21"/>
    </x:row>
    <x:row r="278">
      <x:c r="A278" s="21"/>
      <x:c r="B278" s="21"/>
      <x:c r="C278" s="21"/>
      <x:c r="D278" s="21"/>
      <x:c r="E278" s="39"/>
      <x:c r="F278" s="39"/>
      <x:c r="G278" s="39"/>
      <x:c r="H278" s="39"/>
      <x:c r="I278" s="21"/>
    </x:row>
    <x:row r="279">
      <x:c r="A279" s="21"/>
      <x:c r="B279" s="21"/>
      <x:c r="C279" s="21"/>
      <x:c r="D279" s="21"/>
      <x:c r="E279" s="39"/>
      <x:c r="F279" s="39"/>
      <x:c r="G279" s="39"/>
      <x:c r="H279" s="39"/>
      <x:c r="I279" s="21"/>
    </x:row>
    <x:row r="280">
      <x:c r="A280" s="21"/>
      <x:c r="B280" s="21"/>
      <x:c r="C280" s="21"/>
      <x:c r="D280" s="21"/>
      <x:c r="E280" s="39"/>
      <x:c r="F280" s="39"/>
      <x:c r="G280" s="39"/>
      <x:c r="H280" s="39"/>
      <x:c r="I280" s="21"/>
    </x:row>
    <x:row r="281">
      <x:c r="A281" s="21"/>
      <x:c r="B281" s="21"/>
      <x:c r="C281" s="21"/>
      <x:c r="D281" s="21"/>
      <x:c r="E281" s="39"/>
      <x:c r="F281" s="39"/>
      <x:c r="G281" s="39"/>
      <x:c r="H281" s="39"/>
      <x:c r="I281" s="21"/>
    </x:row>
    <x:row r="282">
      <x:c r="A282" s="21"/>
      <x:c r="B282" s="21"/>
      <x:c r="C282" s="21"/>
      <x:c r="D282" s="21"/>
      <x:c r="E282" s="39"/>
      <x:c r="F282" s="39"/>
      <x:c r="G282" s="39"/>
      <x:c r="H282" s="39"/>
      <x:c r="I282" s="21"/>
    </x:row>
    <x:row r="283">
      <x:c r="A283" s="21"/>
      <x:c r="B283" s="21"/>
      <x:c r="C283" s="21"/>
      <x:c r="D283" s="21"/>
      <x:c r="E283" s="39"/>
      <x:c r="F283" s="39"/>
      <x:c r="G283" s="39"/>
      <x:c r="H283" s="39"/>
      <x:c r="I283" s="21"/>
    </x:row>
    <x:row r="284">
      <x:c r="A284" s="21"/>
      <x:c r="B284" s="21"/>
      <x:c r="C284" s="21"/>
      <x:c r="D284" s="21"/>
      <x:c r="E284" s="39"/>
      <x:c r="F284" s="39"/>
      <x:c r="G284" s="39"/>
      <x:c r="H284" s="39"/>
      <x:c r="I284" s="21"/>
    </x:row>
    <x:row r="285">
      <x:c r="A285" s="21"/>
      <x:c r="B285" s="21"/>
      <x:c r="C285" s="21"/>
      <x:c r="D285" s="21"/>
      <x:c r="E285" s="39"/>
      <x:c r="F285" s="39"/>
      <x:c r="G285" s="39"/>
      <x:c r="H285" s="39"/>
      <x:c r="I285" s="21"/>
    </x:row>
    <x:row r="286">
      <x:c r="A286" s="21"/>
      <x:c r="B286" s="21"/>
      <x:c r="C286" s="21"/>
      <x:c r="D286" s="21"/>
      <x:c r="E286" s="39"/>
      <x:c r="F286" s="39"/>
      <x:c r="G286" s="39"/>
      <x:c r="H286" s="39"/>
      <x:c r="I286" s="21"/>
    </x:row>
    <x:row r="287">
      <x:c r="A287" s="21"/>
      <x:c r="B287" s="21"/>
      <x:c r="C287" s="21"/>
      <x:c r="D287" s="21"/>
      <x:c r="E287" s="39"/>
      <x:c r="F287" s="39"/>
      <x:c r="G287" s="39"/>
      <x:c r="H287" s="39"/>
      <x:c r="I287" s="21"/>
    </x:row>
    <x:row r="288">
      <x:c r="A288" s="21"/>
      <x:c r="B288" s="21"/>
      <x:c r="C288" s="21"/>
      <x:c r="D288" s="21"/>
      <x:c r="E288" s="39"/>
      <x:c r="F288" s="39"/>
      <x:c r="G288" s="39"/>
      <x:c r="H288" s="39"/>
      <x:c r="I288" s="21"/>
    </x:row>
    <x:row r="289">
      <x:c r="A289" s="21"/>
      <x:c r="B289" s="21"/>
      <x:c r="C289" s="21"/>
      <x:c r="D289" s="21"/>
      <x:c r="E289" s="39"/>
      <x:c r="F289" s="39"/>
      <x:c r="G289" s="39"/>
      <x:c r="H289" s="39"/>
      <x:c r="I289" s="21"/>
    </x:row>
    <x:row r="290">
      <x:c r="A290" s="21"/>
      <x:c r="B290" s="21"/>
      <x:c r="C290" s="21"/>
      <x:c r="D290" s="21"/>
      <x:c r="E290" s="39"/>
      <x:c r="F290" s="39"/>
      <x:c r="G290" s="39"/>
      <x:c r="H290" s="39"/>
      <x:c r="I290" s="21"/>
    </x:row>
    <x:row r="291">
      <x:c r="A291" s="21"/>
      <x:c r="B291" s="21"/>
      <x:c r="C291" s="21"/>
      <x:c r="D291" s="21"/>
      <x:c r="E291" s="39"/>
      <x:c r="F291" s="39"/>
      <x:c r="G291" s="39"/>
      <x:c r="H291" s="39"/>
      <x:c r="I291" s="21"/>
    </x:row>
    <x:row r="292">
      <x:c r="A292" s="21"/>
      <x:c r="B292" s="21"/>
      <x:c r="C292" s="21"/>
      <x:c r="D292" s="21"/>
      <x:c r="E292" s="39"/>
      <x:c r="F292" s="39"/>
      <x:c r="G292" s="39"/>
      <x:c r="H292" s="39"/>
      <x:c r="I292" s="21"/>
    </x:row>
    <x:row r="293">
      <x:c r="A293" s="21"/>
      <x:c r="B293" s="21"/>
      <x:c r="C293" s="21"/>
      <x:c r="D293" s="21"/>
      <x:c r="E293" s="39"/>
      <x:c r="F293" s="39"/>
      <x:c r="G293" s="39"/>
      <x:c r="H293" s="39"/>
      <x:c r="I293" s="21"/>
    </x:row>
    <x:row r="294">
      <x:c r="A294" s="21"/>
      <x:c r="B294" s="21"/>
      <x:c r="C294" s="21"/>
      <x:c r="D294" s="21"/>
      <x:c r="E294" s="39"/>
      <x:c r="F294" s="39"/>
      <x:c r="G294" s="39"/>
      <x:c r="H294" s="39"/>
      <x:c r="I294" s="21"/>
    </x:row>
    <x:row r="295">
      <x:c r="A295" s="21"/>
      <x:c r="B295" s="21"/>
      <x:c r="C295" s="21"/>
      <x:c r="D295" s="21"/>
      <x:c r="E295" s="39"/>
      <x:c r="F295" s="39"/>
      <x:c r="G295" s="39"/>
      <x:c r="H295" s="39"/>
      <x:c r="I295" s="21"/>
    </x:row>
    <x:row r="296">
      <x:c r="A296" s="21"/>
      <x:c r="B296" s="21"/>
      <x:c r="C296" s="21"/>
      <x:c r="D296" s="21"/>
      <x:c r="E296" s="39"/>
      <x:c r="F296" s="39"/>
      <x:c r="G296" s="39"/>
      <x:c r="H296" s="39"/>
      <x:c r="I296" s="21"/>
    </x:row>
    <x:row r="297">
      <x:c r="A297" s="21"/>
      <x:c r="B297" s="21"/>
      <x:c r="C297" s="21"/>
      <x:c r="D297" s="21"/>
      <x:c r="E297" s="39"/>
      <x:c r="F297" s="39"/>
      <x:c r="G297" s="39"/>
      <x:c r="H297" s="39"/>
      <x:c r="I297" s="21"/>
    </x:row>
    <x:row r="298">
      <x:c r="A298" s="21"/>
      <x:c r="B298" s="21"/>
      <x:c r="C298" s="21"/>
      <x:c r="D298" s="21"/>
      <x:c r="E298" s="39"/>
      <x:c r="F298" s="39"/>
      <x:c r="G298" s="39"/>
      <x:c r="H298" s="39"/>
      <x:c r="I298" s="21"/>
    </x:row>
    <x:row r="299">
      <x:c r="A299" s="21"/>
      <x:c r="B299" s="21"/>
      <x:c r="C299" s="21"/>
      <x:c r="D299" s="21"/>
      <x:c r="E299" s="39"/>
      <x:c r="F299" s="39"/>
      <x:c r="G299" s="39"/>
      <x:c r="H299" s="39"/>
      <x:c r="I299" s="21"/>
    </x:row>
    <x:row r="300">
      <x:c r="A300" s="21"/>
      <x:c r="B300" s="21"/>
      <x:c r="C300" s="21"/>
      <x:c r="D300" s="21"/>
      <x:c r="E300" s="39"/>
      <x:c r="F300" s="39"/>
      <x:c r="G300" s="39"/>
      <x:c r="H300" s="39"/>
      <x:c r="I300" s="21"/>
    </x:row>
    <x:row r="301">
      <x:c r="A301" s="21"/>
      <x:c r="B301" s="21"/>
      <x:c r="C301" s="21"/>
      <x:c r="D301" s="21"/>
      <x:c r="E301" s="39"/>
      <x:c r="F301" s="39"/>
      <x:c r="G301" s="39"/>
      <x:c r="H301" s="39"/>
      <x:c r="I301" s="21"/>
    </x:row>
    <x:row r="302">
      <x:c r="A302" s="21"/>
      <x:c r="B302" s="21"/>
      <x:c r="C302" s="21"/>
      <x:c r="D302" s="21"/>
      <x:c r="E302" s="39"/>
      <x:c r="F302" s="39"/>
      <x:c r="G302" s="39"/>
      <x:c r="H302" s="39"/>
      <x:c r="I302" s="21"/>
    </x:row>
    <x:row r="303">
      <x:c r="A303" s="21"/>
      <x:c r="B303" s="21"/>
      <x:c r="C303" s="21"/>
      <x:c r="D303" s="21"/>
      <x:c r="E303" s="39"/>
      <x:c r="F303" s="39"/>
      <x:c r="G303" s="39"/>
      <x:c r="H303" s="39"/>
      <x:c r="I303" s="21"/>
    </x:row>
    <x:row r="304">
      <x:c r="A304" s="21"/>
      <x:c r="B304" s="21"/>
      <x:c r="C304" s="21"/>
      <x:c r="D304" s="21"/>
      <x:c r="E304" s="39"/>
      <x:c r="F304" s="39"/>
      <x:c r="G304" s="39"/>
      <x:c r="H304" s="39"/>
      <x:c r="I304" s="21"/>
    </x:row>
    <x:row r="305">
      <x:c r="A305" s="21"/>
      <x:c r="B305" s="21"/>
      <x:c r="C305" s="21"/>
      <x:c r="D305" s="21"/>
      <x:c r="E305" s="39"/>
      <x:c r="F305" s="39"/>
      <x:c r="G305" s="39"/>
      <x:c r="H305" s="39"/>
      <x:c r="I305" s="21"/>
    </x:row>
    <x:row r="306">
      <x:c r="A306" s="21"/>
      <x:c r="B306" s="21"/>
      <x:c r="C306" s="21"/>
      <x:c r="D306" s="21"/>
      <x:c r="E306" s="39"/>
      <x:c r="F306" s="39"/>
      <x:c r="G306" s="39"/>
      <x:c r="H306" s="39"/>
      <x:c r="I306" s="21"/>
    </x:row>
    <x:row r="307">
      <x:c r="A307" s="21"/>
      <x:c r="B307" s="21"/>
      <x:c r="C307" s="21"/>
      <x:c r="D307" s="21"/>
      <x:c r="E307" s="39"/>
      <x:c r="F307" s="39"/>
      <x:c r="G307" s="39"/>
      <x:c r="H307" s="39"/>
      <x:c r="I307" s="21"/>
    </x:row>
    <x:row r="308">
      <x:c r="A308" s="21"/>
      <x:c r="B308" s="21"/>
      <x:c r="C308" s="21"/>
      <x:c r="D308" s="21"/>
      <x:c r="E308" s="39"/>
      <x:c r="F308" s="39"/>
      <x:c r="G308" s="39"/>
      <x:c r="H308" s="39"/>
      <x:c r="I308" s="21"/>
    </x:row>
    <x:row r="309">
      <x:c r="A309" s="21"/>
      <x:c r="B309" s="21"/>
      <x:c r="C309" s="21"/>
      <x:c r="D309" s="21"/>
      <x:c r="E309" s="39"/>
      <x:c r="F309" s="39"/>
      <x:c r="G309" s="39"/>
      <x:c r="H309" s="39"/>
      <x:c r="I309" s="21"/>
    </x:row>
    <x:row r="310">
      <x:c r="A310" s="21"/>
      <x:c r="B310" s="21"/>
      <x:c r="C310" s="21"/>
      <x:c r="D310" s="21"/>
      <x:c r="E310" s="39"/>
      <x:c r="F310" s="39"/>
      <x:c r="G310" s="39"/>
      <x:c r="H310" s="39"/>
      <x:c r="I310" s="21"/>
    </x:row>
    <x:row r="311">
      <x:c r="A311" s="21"/>
      <x:c r="B311" s="21"/>
      <x:c r="C311" s="21"/>
      <x:c r="D311" s="21"/>
      <x:c r="E311" s="39"/>
      <x:c r="F311" s="39"/>
      <x:c r="G311" s="39"/>
      <x:c r="H311" s="39"/>
      <x:c r="I311" s="21"/>
    </x:row>
    <x:row r="312">
      <x:c r="A312" s="21"/>
      <x:c r="B312" s="21"/>
      <x:c r="C312" s="21"/>
      <x:c r="D312" s="21"/>
      <x:c r="E312" s="39"/>
      <x:c r="F312" s="39"/>
      <x:c r="G312" s="39"/>
      <x:c r="H312" s="39"/>
      <x:c r="I312" s="21"/>
    </x:row>
    <x:row r="313">
      <x:c r="A313" s="21"/>
      <x:c r="B313" s="21"/>
      <x:c r="C313" s="21"/>
      <x:c r="D313" s="21"/>
      <x:c r="E313" s="39"/>
      <x:c r="F313" s="39"/>
      <x:c r="G313" s="39"/>
      <x:c r="H313" s="39"/>
      <x:c r="I313" s="21"/>
    </x:row>
    <x:row r="314">
      <x:c r="A314" s="21"/>
      <x:c r="B314" s="21"/>
      <x:c r="C314" s="21"/>
      <x:c r="D314" s="21"/>
      <x:c r="E314" s="39"/>
      <x:c r="F314" s="39"/>
      <x:c r="G314" s="39"/>
      <x:c r="H314" s="39"/>
      <x:c r="I314" s="21"/>
    </x:row>
    <x:row r="315">
      <x:c r="A315" s="21"/>
      <x:c r="B315" s="21"/>
      <x:c r="C315" s="21"/>
      <x:c r="D315" s="21"/>
      <x:c r="E315" s="39"/>
      <x:c r="F315" s="39"/>
      <x:c r="G315" s="39"/>
      <x:c r="H315" s="39"/>
      <x:c r="I315" s="21"/>
    </x:row>
    <x:row r="316">
      <x:c r="A316" s="21"/>
      <x:c r="B316" s="21"/>
      <x:c r="C316" s="21"/>
      <x:c r="D316" s="21"/>
      <x:c r="E316" s="39"/>
      <x:c r="F316" s="39"/>
      <x:c r="G316" s="39"/>
      <x:c r="H316" s="39"/>
      <x:c r="I316" s="21"/>
    </x:row>
    <x:row r="317">
      <x:c r="A317" s="21"/>
      <x:c r="B317" s="21"/>
      <x:c r="C317" s="21"/>
      <x:c r="D317" s="21"/>
      <x:c r="E317" s="39"/>
      <x:c r="F317" s="39"/>
      <x:c r="G317" s="39"/>
      <x:c r="H317" s="39"/>
      <x:c r="I317" s="21"/>
    </x:row>
    <x:row r="318">
      <x:c r="A318" s="21"/>
      <x:c r="B318" s="21"/>
      <x:c r="C318" s="21"/>
      <x:c r="D318" s="21"/>
      <x:c r="E318" s="39"/>
      <x:c r="F318" s="39"/>
      <x:c r="G318" s="39"/>
      <x:c r="H318" s="39"/>
      <x:c r="I318" s="21"/>
    </x:row>
    <x:row r="319">
      <x:c r="A319" s="21"/>
      <x:c r="B319" s="21"/>
      <x:c r="C319" s="21"/>
      <x:c r="D319" s="21"/>
      <x:c r="E319" s="39"/>
      <x:c r="F319" s="39"/>
      <x:c r="G319" s="39"/>
      <x:c r="H319" s="39"/>
      <x:c r="I319" s="21"/>
    </x:row>
    <x:row r="320">
      <x:c r="A320" s="21"/>
      <x:c r="B320" s="21"/>
      <x:c r="C320" s="21"/>
      <x:c r="D320" s="21"/>
      <x:c r="E320" s="39"/>
      <x:c r="F320" s="39"/>
      <x:c r="G320" s="39"/>
      <x:c r="H320" s="39"/>
      <x:c r="I320" s="21"/>
    </x:row>
    <x:row r="321">
      <x:c r="A321" s="21"/>
      <x:c r="B321" s="21"/>
      <x:c r="C321" s="21"/>
      <x:c r="D321" s="21"/>
      <x:c r="E321" s="39"/>
      <x:c r="F321" s="39"/>
      <x:c r="G321" s="39"/>
      <x:c r="H321" s="39"/>
      <x:c r="I321" s="21"/>
    </x:row>
    <x:row r="322">
      <x:c r="A322" s="21"/>
      <x:c r="B322" s="21"/>
      <x:c r="C322" s="21"/>
      <x:c r="D322" s="21"/>
      <x:c r="E322" s="39"/>
      <x:c r="F322" s="39"/>
      <x:c r="G322" s="39"/>
      <x:c r="H322" s="39"/>
      <x:c r="I322" s="21"/>
    </x:row>
    <x:row r="323">
      <x:c r="A323" s="21"/>
      <x:c r="B323" s="21"/>
      <x:c r="C323" s="21"/>
      <x:c r="D323" s="21"/>
      <x:c r="E323" s="39"/>
      <x:c r="F323" s="39"/>
      <x:c r="G323" s="39"/>
      <x:c r="H323" s="39"/>
      <x:c r="I323" s="21"/>
    </x:row>
    <x:row r="324">
      <x:c r="A324" s="21"/>
      <x:c r="B324" s="21"/>
      <x:c r="C324" s="21"/>
      <x:c r="D324" s="21"/>
      <x:c r="E324" s="39"/>
      <x:c r="F324" s="39"/>
      <x:c r="G324" s="39"/>
      <x:c r="H324" s="39"/>
      <x:c r="I324" s="21"/>
    </x:row>
    <x:row r="325">
      <x:c r="A325" s="21"/>
      <x:c r="B325" s="21"/>
      <x:c r="C325" s="21"/>
      <x:c r="D325" s="21"/>
      <x:c r="E325" s="39"/>
      <x:c r="F325" s="39"/>
      <x:c r="G325" s="39"/>
      <x:c r="H325" s="39"/>
      <x:c r="I325" s="21"/>
    </x:row>
    <x:row r="326">
      <x:c r="A326" s="21"/>
      <x:c r="B326" s="21"/>
      <x:c r="C326" s="21"/>
      <x:c r="D326" s="21"/>
      <x:c r="E326" s="39"/>
      <x:c r="F326" s="39"/>
      <x:c r="G326" s="39"/>
      <x:c r="H326" s="39"/>
      <x:c r="I326" s="21"/>
    </x:row>
    <x:row r="327">
      <x:c r="A327" s="21"/>
      <x:c r="B327" s="21"/>
      <x:c r="C327" s="21"/>
      <x:c r="D327" s="21"/>
      <x:c r="E327" s="39"/>
      <x:c r="F327" s="39"/>
      <x:c r="G327" s="39"/>
      <x:c r="H327" s="39"/>
      <x:c r="I327" s="21"/>
    </x:row>
    <x:row r="328">
      <x:c r="A328" s="21"/>
      <x:c r="B328" s="21"/>
      <x:c r="C328" s="21"/>
      <x:c r="D328" s="21"/>
      <x:c r="E328" s="39"/>
      <x:c r="F328" s="39"/>
      <x:c r="G328" s="39"/>
      <x:c r="H328" s="39"/>
      <x:c r="I328" s="21"/>
    </x:row>
    <x:row r="329">
      <x:c r="A329" s="21"/>
      <x:c r="B329" s="21"/>
      <x:c r="C329" s="21"/>
      <x:c r="D329" s="21"/>
      <x:c r="E329" s="39"/>
      <x:c r="F329" s="39"/>
      <x:c r="G329" s="39"/>
      <x:c r="H329" s="39"/>
      <x:c r="I329" s="21"/>
    </x:row>
    <x:row r="330">
      <x:c r="A330" s="21"/>
      <x:c r="B330" s="21"/>
      <x:c r="C330" s="21"/>
      <x:c r="D330" s="21"/>
      <x:c r="E330" s="39"/>
      <x:c r="F330" s="39"/>
      <x:c r="G330" s="39"/>
      <x:c r="H330" s="39"/>
      <x:c r="I330" s="21"/>
    </x:row>
    <x:row r="331">
      <x:c r="A331" s="21"/>
      <x:c r="B331" s="21"/>
      <x:c r="C331" s="21"/>
      <x:c r="D331" s="21"/>
      <x:c r="E331" s="39"/>
      <x:c r="F331" s="39"/>
      <x:c r="G331" s="39"/>
      <x:c r="H331" s="39"/>
      <x:c r="I331" s="21"/>
    </x:row>
    <x:row r="332">
      <x:c r="A332" s="21"/>
      <x:c r="B332" s="21"/>
      <x:c r="C332" s="21"/>
      <x:c r="D332" s="21"/>
      <x:c r="E332" s="39"/>
      <x:c r="F332" s="39"/>
      <x:c r="G332" s="39"/>
      <x:c r="H332" s="39"/>
      <x:c r="I332" s="21"/>
    </x:row>
    <x:row r="333">
      <x:c r="A333" s="21"/>
      <x:c r="B333" s="21"/>
      <x:c r="C333" s="21"/>
      <x:c r="D333" s="21"/>
      <x:c r="E333" s="39"/>
      <x:c r="F333" s="39"/>
      <x:c r="G333" s="39"/>
      <x:c r="H333" s="39"/>
      <x:c r="I333" s="21"/>
    </x:row>
    <x:row r="334">
      <x:c r="A334" s="21"/>
      <x:c r="B334" s="21"/>
      <x:c r="C334" s="21"/>
      <x:c r="D334" s="21"/>
      <x:c r="E334" s="39"/>
      <x:c r="F334" s="39"/>
      <x:c r="G334" s="39"/>
      <x:c r="H334" s="39"/>
      <x:c r="I334" s="21"/>
    </x:row>
    <x:row r="335">
      <x:c r="A335" s="21"/>
      <x:c r="B335" s="21"/>
      <x:c r="C335" s="21"/>
      <x:c r="D335" s="21"/>
      <x:c r="E335" s="39"/>
      <x:c r="F335" s="39"/>
      <x:c r="G335" s="39"/>
      <x:c r="H335" s="39"/>
      <x:c r="I335" s="21"/>
    </x:row>
    <x:row r="336">
      <x:c r="A336" s="21"/>
      <x:c r="B336" s="21"/>
      <x:c r="C336" s="21"/>
      <x:c r="D336" s="21"/>
      <x:c r="E336" s="39"/>
      <x:c r="F336" s="39"/>
      <x:c r="G336" s="39"/>
      <x:c r="H336" s="39"/>
      <x:c r="I336" s="21"/>
    </x:row>
    <x:row r="337">
      <x:c r="A337" s="21"/>
      <x:c r="B337" s="21"/>
      <x:c r="C337" s="21"/>
      <x:c r="D337" s="21"/>
      <x:c r="E337" s="39"/>
      <x:c r="F337" s="39"/>
      <x:c r="G337" s="39"/>
      <x:c r="H337" s="39"/>
      <x:c r="I337" s="21"/>
    </x:row>
    <x:row r="338">
      <x:c r="A338" s="21"/>
      <x:c r="B338" s="21"/>
      <x:c r="C338" s="21"/>
      <x:c r="D338" s="21"/>
      <x:c r="E338" s="39"/>
      <x:c r="F338" s="39"/>
      <x:c r="G338" s="39"/>
      <x:c r="H338" s="39"/>
      <x:c r="I338" s="21"/>
    </x:row>
    <x:row r="339">
      <x:c r="A339" s="21"/>
      <x:c r="B339" s="21"/>
      <x:c r="C339" s="21"/>
      <x:c r="D339" s="21"/>
      <x:c r="E339" s="39"/>
      <x:c r="F339" s="39"/>
      <x:c r="G339" s="39"/>
      <x:c r="H339" s="39"/>
      <x:c r="I339" s="21"/>
    </x:row>
    <x:row r="340">
      <x:c r="A340" s="21"/>
      <x:c r="B340" s="21"/>
      <x:c r="C340" s="21"/>
      <x:c r="D340" s="21"/>
      <x:c r="E340" s="39"/>
      <x:c r="F340" s="39"/>
      <x:c r="G340" s="39"/>
      <x:c r="H340" s="39"/>
      <x:c r="I340" s="21"/>
    </x:row>
    <x:row r="341">
      <x:c r="A341" s="21"/>
      <x:c r="B341" s="21"/>
      <x:c r="C341" s="21"/>
      <x:c r="D341" s="21"/>
      <x:c r="E341" s="39"/>
      <x:c r="F341" s="39"/>
      <x:c r="G341" s="39"/>
      <x:c r="H341" s="39"/>
      <x:c r="I341" s="21"/>
    </x:row>
    <x:row r="342">
      <x:c r="A342" s="21"/>
      <x:c r="B342" s="21"/>
      <x:c r="C342" s="21"/>
      <x:c r="D342" s="21"/>
      <x:c r="E342" s="39"/>
      <x:c r="F342" s="39"/>
      <x:c r="G342" s="39"/>
      <x:c r="H342" s="39"/>
      <x:c r="I342" s="21"/>
    </x:row>
    <x:row r="343">
      <x:c r="A343" s="21"/>
      <x:c r="B343" s="21"/>
      <x:c r="C343" s="21"/>
      <x:c r="D343" s="21"/>
      <x:c r="E343" s="39"/>
      <x:c r="F343" s="39"/>
      <x:c r="G343" s="39"/>
      <x:c r="H343" s="39"/>
      <x:c r="I343" s="21"/>
    </x:row>
    <x:row r="344">
      <x:c r="A344" s="21"/>
      <x:c r="B344" s="21"/>
      <x:c r="C344" s="21"/>
      <x:c r="D344" s="21"/>
      <x:c r="E344" s="39"/>
      <x:c r="F344" s="39"/>
      <x:c r="G344" s="39"/>
      <x:c r="H344" s="39"/>
      <x:c r="I344" s="21"/>
    </x:row>
    <x:row r="345">
      <x:c r="A345" s="21"/>
      <x:c r="B345" s="21"/>
      <x:c r="C345" s="21"/>
      <x:c r="D345" s="21"/>
      <x:c r="E345" s="39"/>
      <x:c r="F345" s="39"/>
      <x:c r="G345" s="39"/>
      <x:c r="H345" s="39"/>
      <x:c r="I345" s="21"/>
    </x:row>
    <x:row r="346">
      <x:c r="A346" s="21"/>
      <x:c r="B346" s="21"/>
      <x:c r="C346" s="21"/>
      <x:c r="D346" s="21"/>
      <x:c r="E346" s="39"/>
      <x:c r="F346" s="39"/>
      <x:c r="G346" s="39"/>
      <x:c r="H346" s="39"/>
      <x:c r="I346" s="21"/>
    </x:row>
    <x:row r="347">
      <x:c r="A347" s="21"/>
      <x:c r="B347" s="21"/>
      <x:c r="C347" s="21"/>
      <x:c r="D347" s="21"/>
      <x:c r="E347" s="39"/>
      <x:c r="F347" s="39"/>
      <x:c r="G347" s="39"/>
      <x:c r="H347" s="39"/>
      <x:c r="I347" s="21"/>
    </x:row>
    <x:row r="348">
      <x:c r="A348" s="21"/>
      <x:c r="B348" s="21"/>
      <x:c r="C348" s="21"/>
      <x:c r="D348" s="21"/>
      <x:c r="E348" s="39"/>
      <x:c r="F348" s="39"/>
      <x:c r="G348" s="39"/>
      <x:c r="H348" s="39"/>
      <x:c r="I348" s="21"/>
    </x:row>
    <x:row r="349">
      <x:c r="A349" s="21"/>
      <x:c r="B349" s="21"/>
      <x:c r="C349" s="21"/>
      <x:c r="D349" s="21"/>
      <x:c r="E349" s="39"/>
      <x:c r="F349" s="39"/>
      <x:c r="G349" s="39"/>
      <x:c r="H349" s="39"/>
      <x:c r="I349" s="21"/>
    </x:row>
    <x:row r="350">
      <x:c r="A350" s="21"/>
      <x:c r="B350" s="21"/>
      <x:c r="C350" s="21"/>
      <x:c r="D350" s="21"/>
      <x:c r="E350" s="39"/>
      <x:c r="F350" s="39"/>
      <x:c r="G350" s="39"/>
      <x:c r="H350" s="39"/>
      <x:c r="I350" s="21"/>
    </x:row>
    <x:row r="351">
      <x:c r="A351" s="21"/>
      <x:c r="B351" s="21"/>
      <x:c r="C351" s="21"/>
      <x:c r="D351" s="21"/>
      <x:c r="E351" s="39"/>
      <x:c r="F351" s="39"/>
      <x:c r="G351" s="39"/>
      <x:c r="H351" s="39"/>
      <x:c r="I351" s="21"/>
    </x:row>
    <x:row r="352">
      <x:c r="A352" s="21"/>
      <x:c r="B352" s="21"/>
      <x:c r="C352" s="21"/>
      <x:c r="D352" s="21"/>
      <x:c r="E352" s="39"/>
      <x:c r="F352" s="39"/>
      <x:c r="G352" s="39"/>
      <x:c r="H352" s="39"/>
      <x:c r="I352" s="21"/>
    </x:row>
    <x:row r="353">
      <x:c r="A353" s="21"/>
      <x:c r="B353" s="21"/>
      <x:c r="C353" s="21"/>
      <x:c r="D353" s="21"/>
      <x:c r="E353" s="39"/>
      <x:c r="F353" s="39"/>
      <x:c r="G353" s="39"/>
      <x:c r="H353" s="39"/>
      <x:c r="I353" s="21"/>
    </x:row>
    <x:row r="354">
      <x:c r="A354" s="21"/>
      <x:c r="B354" s="21"/>
      <x:c r="C354" s="21"/>
      <x:c r="D354" s="21"/>
      <x:c r="E354" s="39"/>
      <x:c r="F354" s="39"/>
      <x:c r="G354" s="39"/>
      <x:c r="H354" s="39"/>
      <x:c r="I354" s="21"/>
    </x:row>
    <x:row r="355">
      <x:c r="A355" s="21"/>
      <x:c r="B355" s="21"/>
      <x:c r="C355" s="21"/>
      <x:c r="D355" s="21"/>
      <x:c r="E355" s="39"/>
      <x:c r="F355" s="39"/>
      <x:c r="G355" s="39"/>
      <x:c r="H355" s="39"/>
      <x:c r="I355" s="21"/>
    </x:row>
    <x:row r="356">
      <x:c r="A356" s="21"/>
      <x:c r="B356" s="21"/>
      <x:c r="C356" s="21"/>
      <x:c r="D356" s="21"/>
      <x:c r="E356" s="39"/>
      <x:c r="F356" s="39"/>
      <x:c r="G356" s="39"/>
      <x:c r="H356" s="39"/>
      <x:c r="I356" s="21"/>
    </x:row>
    <x:row r="357">
      <x:c r="A357" s="21"/>
      <x:c r="B357" s="21"/>
      <x:c r="C357" s="21"/>
      <x:c r="D357" s="21"/>
      <x:c r="E357" s="39"/>
      <x:c r="F357" s="39"/>
      <x:c r="G357" s="39"/>
      <x:c r="H357" s="39"/>
      <x:c r="I357" s="21"/>
    </x:row>
    <x:row r="358">
      <x:c r="A358" s="21"/>
      <x:c r="B358" s="21"/>
      <x:c r="C358" s="21"/>
      <x:c r="D358" s="21"/>
      <x:c r="E358" s="39"/>
      <x:c r="F358" s="39"/>
      <x:c r="G358" s="39"/>
      <x:c r="H358" s="39"/>
      <x:c r="I358" s="21"/>
    </x:row>
    <x:row r="359">
      <x:c r="A359" s="21"/>
      <x:c r="B359" s="21"/>
      <x:c r="C359" s="21"/>
      <x:c r="D359" s="21"/>
      <x:c r="E359" s="39"/>
      <x:c r="F359" s="39"/>
      <x:c r="G359" s="39"/>
      <x:c r="H359" s="39"/>
      <x:c r="I359" s="21"/>
    </x:row>
    <x:row r="360">
      <x:c r="A360" s="21"/>
      <x:c r="B360" s="21"/>
      <x:c r="C360" s="21"/>
      <x:c r="D360" s="21"/>
      <x:c r="E360" s="39"/>
      <x:c r="F360" s="39"/>
      <x:c r="G360" s="39"/>
      <x:c r="H360" s="39"/>
      <x:c r="I360" s="21"/>
    </x:row>
    <x:row r="361">
      <x:c r="A361" s="21"/>
      <x:c r="B361" s="21"/>
      <x:c r="C361" s="21"/>
      <x:c r="D361" s="21"/>
      <x:c r="E361" s="39"/>
      <x:c r="F361" s="39"/>
      <x:c r="G361" s="39"/>
      <x:c r="H361" s="39"/>
      <x:c r="I361" s="21"/>
    </x:row>
    <x:row r="362">
      <x:c r="A362" s="21"/>
      <x:c r="B362" s="21"/>
      <x:c r="C362" s="21"/>
      <x:c r="D362" s="21"/>
      <x:c r="E362" s="39"/>
      <x:c r="F362" s="39"/>
      <x:c r="G362" s="39"/>
      <x:c r="H362" s="39"/>
      <x:c r="I362" s="21"/>
    </x:row>
    <x:row r="363">
      <x:c r="A363" s="21"/>
      <x:c r="B363" s="21"/>
      <x:c r="C363" s="21"/>
      <x:c r="D363" s="21"/>
      <x:c r="E363" s="39"/>
      <x:c r="F363" s="39"/>
      <x:c r="G363" s="39"/>
      <x:c r="H363" s="39"/>
      <x:c r="I363" s="21"/>
    </x:row>
    <x:row r="364">
      <x:c r="A364" s="21"/>
      <x:c r="B364" s="21"/>
      <x:c r="C364" s="21"/>
      <x:c r="D364" s="21"/>
      <x:c r="E364" s="39"/>
      <x:c r="F364" s="39"/>
      <x:c r="G364" s="39"/>
      <x:c r="H364" s="39"/>
      <x:c r="I364" s="21"/>
    </x:row>
    <x:row r="365">
      <x:c r="A365" s="21"/>
      <x:c r="B365" s="21"/>
      <x:c r="C365" s="21"/>
      <x:c r="D365" s="21"/>
      <x:c r="E365" s="39"/>
      <x:c r="F365" s="39"/>
      <x:c r="G365" s="39"/>
      <x:c r="H365" s="39"/>
      <x:c r="I365" s="21"/>
    </x:row>
    <x:row r="366">
      <x:c r="A366" s="21"/>
      <x:c r="B366" s="21"/>
      <x:c r="C366" s="21"/>
      <x:c r="D366" s="21"/>
      <x:c r="E366" s="39"/>
      <x:c r="F366" s="39"/>
      <x:c r="G366" s="39"/>
      <x:c r="H366" s="39"/>
      <x:c r="I366" s="21"/>
    </x:row>
    <x:row r="367">
      <x:c r="A367" s="21"/>
      <x:c r="B367" s="21"/>
      <x:c r="C367" s="21"/>
      <x:c r="D367" s="21"/>
      <x:c r="E367" s="39"/>
      <x:c r="F367" s="39"/>
      <x:c r="G367" s="39"/>
      <x:c r="H367" s="39"/>
      <x:c r="I367" s="21"/>
    </x:row>
    <x:row r="368">
      <x:c r="A368" s="21"/>
      <x:c r="B368" s="21"/>
      <x:c r="C368" s="21"/>
      <x:c r="D368" s="21"/>
      <x:c r="E368" s="39"/>
      <x:c r="F368" s="39"/>
      <x:c r="G368" s="39"/>
      <x:c r="H368" s="39"/>
      <x:c r="I368" s="21"/>
    </x:row>
    <x:row r="369">
      <x:c r="A369" s="21"/>
      <x:c r="B369" s="21"/>
      <x:c r="C369" s="21"/>
      <x:c r="D369" s="21"/>
      <x:c r="E369" s="39"/>
      <x:c r="F369" s="39"/>
      <x:c r="G369" s="39"/>
      <x:c r="H369" s="39"/>
      <x:c r="I369" s="21"/>
    </x:row>
    <x:row r="370">
      <x:c r="A370" s="21"/>
      <x:c r="B370" s="21"/>
      <x:c r="C370" s="21"/>
      <x:c r="D370" s="21"/>
      <x:c r="E370" s="39"/>
      <x:c r="F370" s="39"/>
      <x:c r="G370" s="39"/>
      <x:c r="H370" s="39"/>
      <x:c r="I370" s="21"/>
    </x:row>
    <x:row r="371">
      <x:c r="A371" s="21"/>
      <x:c r="B371" s="21"/>
      <x:c r="C371" s="21"/>
      <x:c r="D371" s="21"/>
      <x:c r="E371" s="39"/>
      <x:c r="F371" s="39"/>
      <x:c r="G371" s="39"/>
      <x:c r="H371" s="39"/>
      <x:c r="I371" s="21"/>
    </x:row>
    <x:row r="372">
      <x:c r="A372" s="21"/>
      <x:c r="B372" s="21"/>
      <x:c r="C372" s="21"/>
      <x:c r="D372" s="21"/>
      <x:c r="E372" s="39"/>
      <x:c r="F372" s="39"/>
      <x:c r="G372" s="39"/>
      <x:c r="H372" s="39"/>
      <x:c r="I372" s="21"/>
    </x:row>
    <x:row r="373">
      <x:c r="A373" s="21"/>
      <x:c r="B373" s="21"/>
      <x:c r="C373" s="21"/>
      <x:c r="D373" s="21"/>
      <x:c r="E373" s="39"/>
      <x:c r="F373" s="39"/>
      <x:c r="G373" s="39"/>
      <x:c r="H373" s="39"/>
      <x:c r="I373" s="21"/>
    </x:row>
    <x:row r="374">
      <x:c r="A374" s="21"/>
      <x:c r="B374" s="21"/>
      <x:c r="C374" s="21"/>
      <x:c r="D374" s="21"/>
      <x:c r="E374" s="39"/>
      <x:c r="F374" s="39"/>
      <x:c r="G374" s="39"/>
      <x:c r="H374" s="39"/>
      <x:c r="I374" s="21"/>
    </x:row>
    <x:row r="375">
      <x:c r="A375" s="21"/>
      <x:c r="B375" s="21"/>
      <x:c r="C375" s="21"/>
      <x:c r="D375" s="21"/>
      <x:c r="E375" s="39"/>
      <x:c r="F375" s="39"/>
      <x:c r="G375" s="39"/>
      <x:c r="H375" s="39"/>
      <x:c r="I375" s="21"/>
    </x:row>
    <x:row r="376">
      <x:c r="A376" s="21"/>
      <x:c r="B376" s="21"/>
      <x:c r="C376" s="21"/>
      <x:c r="D376" s="21"/>
      <x:c r="E376" s="39"/>
      <x:c r="F376" s="39"/>
      <x:c r="G376" s="39"/>
      <x:c r="H376" s="39"/>
      <x:c r="I376" s="21"/>
    </x:row>
    <x:row r="377">
      <x:c r="A377" s="21"/>
      <x:c r="B377" s="21"/>
      <x:c r="C377" s="21"/>
      <x:c r="D377" s="21"/>
      <x:c r="E377" s="39"/>
      <x:c r="F377" s="39"/>
      <x:c r="G377" s="39"/>
      <x:c r="H377" s="39"/>
      <x:c r="I377" s="21"/>
    </x:row>
    <x:row r="378">
      <x:c r="A378" s="21"/>
      <x:c r="B378" s="21"/>
      <x:c r="C378" s="21"/>
      <x:c r="D378" s="21"/>
      <x:c r="E378" s="39"/>
      <x:c r="F378" s="39"/>
      <x:c r="G378" s="39"/>
      <x:c r="H378" s="39"/>
      <x:c r="I378" s="21"/>
    </x:row>
    <x:row r="379">
      <x:c r="A379" s="21"/>
      <x:c r="B379" s="21"/>
      <x:c r="C379" s="21"/>
      <x:c r="D379" s="21"/>
      <x:c r="E379" s="39"/>
      <x:c r="F379" s="39"/>
      <x:c r="G379" s="39"/>
      <x:c r="H379" s="39"/>
      <x:c r="I379" s="21"/>
    </x:row>
    <x:row r="380">
      <x:c r="A380" s="21"/>
      <x:c r="B380" s="21"/>
      <x:c r="C380" s="21"/>
      <x:c r="D380" s="21"/>
      <x:c r="E380" s="39"/>
      <x:c r="F380" s="39"/>
      <x:c r="G380" s="39"/>
      <x:c r="H380" s="39"/>
      <x:c r="I380" s="21"/>
    </x:row>
    <x:row r="381">
      <x:c r="A381" s="21"/>
      <x:c r="B381" s="21"/>
      <x:c r="C381" s="21"/>
      <x:c r="D381" s="21"/>
      <x:c r="E381" s="39"/>
      <x:c r="F381" s="39"/>
      <x:c r="G381" s="39"/>
      <x:c r="H381" s="39"/>
      <x:c r="I381" s="21"/>
    </x:row>
    <x:row r="382">
      <x:c r="A382" s="21"/>
      <x:c r="B382" s="21"/>
      <x:c r="C382" s="21"/>
      <x:c r="D382" s="21"/>
      <x:c r="E382" s="39"/>
      <x:c r="F382" s="39"/>
      <x:c r="G382" s="39"/>
      <x:c r="H382" s="39"/>
      <x:c r="I382" s="21"/>
    </x:row>
    <x:row r="383">
      <x:c r="A383" s="21"/>
      <x:c r="B383" s="21"/>
      <x:c r="C383" s="21"/>
      <x:c r="D383" s="21"/>
      <x:c r="E383" s="39"/>
      <x:c r="F383" s="39"/>
      <x:c r="G383" s="39"/>
      <x:c r="H383" s="39"/>
      <x:c r="I383" s="21"/>
    </x:row>
    <x:row r="384">
      <x:c r="A384" s="21"/>
      <x:c r="B384" s="21"/>
      <x:c r="C384" s="21"/>
      <x:c r="D384" s="21"/>
      <x:c r="E384" s="39"/>
      <x:c r="F384" s="39"/>
      <x:c r="G384" s="39"/>
      <x:c r="H384" s="39"/>
      <x:c r="I384" s="21"/>
    </x:row>
    <x:row r="385">
      <x:c r="A385" s="21"/>
      <x:c r="B385" s="21"/>
      <x:c r="C385" s="21"/>
      <x:c r="D385" s="21"/>
      <x:c r="E385" s="39"/>
      <x:c r="F385" s="39"/>
      <x:c r="G385" s="39"/>
      <x:c r="H385" s="39"/>
      <x:c r="I385" s="21"/>
    </x:row>
    <x:row r="386">
      <x:c r="A386" s="21"/>
      <x:c r="B386" s="21"/>
      <x:c r="C386" s="21"/>
      <x:c r="D386" s="21"/>
      <x:c r="E386" s="39"/>
      <x:c r="F386" s="39"/>
      <x:c r="G386" s="39"/>
      <x:c r="H386" s="39"/>
      <x:c r="I386" s="21"/>
    </x:row>
    <x:row r="387">
      <x:c r="A387" s="21"/>
      <x:c r="B387" s="21"/>
      <x:c r="C387" s="21"/>
      <x:c r="D387" s="21"/>
      <x:c r="E387" s="39"/>
      <x:c r="F387" s="39"/>
      <x:c r="G387" s="39"/>
      <x:c r="H387" s="39"/>
      <x:c r="I387" s="21"/>
    </x:row>
    <x:row r="388">
      <x:c r="A388" s="21"/>
      <x:c r="B388" s="21"/>
      <x:c r="C388" s="21"/>
      <x:c r="D388" s="21"/>
      <x:c r="E388" s="39"/>
      <x:c r="F388" s="39"/>
      <x:c r="G388" s="39"/>
      <x:c r="H388" s="39"/>
      <x:c r="I388" s="21"/>
    </x:row>
    <x:row r="389">
      <x:c r="A389" s="21"/>
      <x:c r="B389" s="21"/>
      <x:c r="C389" s="21"/>
      <x:c r="D389" s="21"/>
      <x:c r="E389" s="39"/>
      <x:c r="F389" s="39"/>
      <x:c r="G389" s="39"/>
      <x:c r="H389" s="39"/>
      <x:c r="I389" s="21"/>
    </x:row>
    <x:row r="390">
      <x:c r="A390" s="21"/>
      <x:c r="B390" s="21"/>
      <x:c r="C390" s="21"/>
      <x:c r="D390" s="21"/>
      <x:c r="E390" s="39"/>
      <x:c r="F390" s="39"/>
      <x:c r="G390" s="39"/>
      <x:c r="H390" s="39"/>
      <x:c r="I390" s="21"/>
    </x:row>
    <x:row r="391">
      <x:c r="A391" s="21"/>
      <x:c r="B391" s="21"/>
      <x:c r="C391" s="21"/>
      <x:c r="D391" s="21"/>
      <x:c r="E391" s="39"/>
      <x:c r="F391" s="39"/>
      <x:c r="G391" s="39"/>
      <x:c r="H391" s="39"/>
      <x:c r="I391" s="21"/>
    </x:row>
    <x:row r="392">
      <x:c r="A392" s="21"/>
      <x:c r="B392" s="21"/>
      <x:c r="C392" s="21"/>
      <x:c r="D392" s="21"/>
      <x:c r="E392" s="39"/>
      <x:c r="F392" s="39"/>
      <x:c r="G392" s="39"/>
      <x:c r="H392" s="39"/>
      <x:c r="I392" s="21"/>
    </x:row>
    <x:row r="393">
      <x:c r="A393" s="21"/>
      <x:c r="B393" s="21"/>
      <x:c r="C393" s="21"/>
      <x:c r="D393" s="21"/>
      <x:c r="E393" s="39"/>
      <x:c r="F393" s="39"/>
      <x:c r="G393" s="39"/>
      <x:c r="H393" s="39"/>
      <x:c r="I393" s="21"/>
    </x:row>
    <x:row r="394">
      <x:c r="A394" s="21"/>
      <x:c r="B394" s="21"/>
      <x:c r="C394" s="21"/>
      <x:c r="D394" s="21"/>
      <x:c r="E394" s="39"/>
      <x:c r="F394" s="39"/>
      <x:c r="G394" s="39"/>
      <x:c r="H394" s="39"/>
      <x:c r="I394" s="21"/>
    </x:row>
    <x:row r="395">
      <x:c r="A395" s="21"/>
      <x:c r="B395" s="21"/>
      <x:c r="C395" s="21"/>
      <x:c r="D395" s="21"/>
      <x:c r="E395" s="39"/>
      <x:c r="F395" s="39"/>
      <x:c r="G395" s="39"/>
      <x:c r="H395" s="39"/>
      <x:c r="I395" s="21"/>
    </x:row>
    <x:row r="396">
      <x:c r="A396" s="21"/>
      <x:c r="B396" s="21"/>
      <x:c r="C396" s="21"/>
      <x:c r="D396" s="21"/>
      <x:c r="E396" s="39"/>
      <x:c r="F396" s="39"/>
      <x:c r="G396" s="39"/>
      <x:c r="H396" s="39"/>
      <x:c r="I396" s="21"/>
    </x:row>
    <x:row r="397">
      <x:c r="A397" s="21"/>
      <x:c r="B397" s="21"/>
      <x:c r="C397" s="21"/>
      <x:c r="D397" s="21"/>
      <x:c r="E397" s="39"/>
      <x:c r="F397" s="39"/>
      <x:c r="G397" s="39"/>
      <x:c r="H397" s="39"/>
      <x:c r="I397" s="21"/>
    </x:row>
    <x:row r="398">
      <x:c r="A398" s="21"/>
      <x:c r="B398" s="21"/>
      <x:c r="C398" s="21"/>
      <x:c r="D398" s="21"/>
      <x:c r="E398" s="39"/>
      <x:c r="F398" s="39"/>
      <x:c r="G398" s="39"/>
      <x:c r="H398" s="39"/>
      <x:c r="I398" s="21"/>
    </x:row>
    <x:row r="399">
      <x:c r="A399" s="21"/>
      <x:c r="B399" s="21"/>
      <x:c r="C399" s="21"/>
      <x:c r="D399" s="21"/>
      <x:c r="E399" s="39"/>
      <x:c r="F399" s="39"/>
      <x:c r="G399" s="39"/>
      <x:c r="H399" s="39"/>
      <x:c r="I399" s="21"/>
    </x:row>
    <x:row r="400">
      <x:c r="A400" s="21"/>
      <x:c r="B400" s="21"/>
      <x:c r="C400" s="21"/>
      <x:c r="D400" s="21"/>
      <x:c r="E400" s="39"/>
      <x:c r="F400" s="39"/>
      <x:c r="G400" s="39"/>
      <x:c r="H400" s="39"/>
      <x:c r="I400" s="21"/>
    </x:row>
    <x:row r="401">
      <x:c r="A401" s="21"/>
      <x:c r="B401" s="21"/>
      <x:c r="C401" s="21"/>
      <x:c r="D401" s="21"/>
      <x:c r="E401" s="39"/>
      <x:c r="F401" s="39"/>
      <x:c r="G401" s="39"/>
      <x:c r="H401" s="39"/>
      <x:c r="I401" s="21"/>
    </x:row>
    <x:row r="402">
      <x:c r="A402" s="21"/>
      <x:c r="B402" s="21"/>
      <x:c r="C402" s="21"/>
      <x:c r="D402" s="21"/>
      <x:c r="E402" s="39"/>
      <x:c r="F402" s="39"/>
      <x:c r="G402" s="39"/>
      <x:c r="H402" s="39"/>
      <x:c r="I402" s="21"/>
    </x:row>
    <x:row r="403">
      <x:c r="A403" s="21"/>
      <x:c r="B403" s="21"/>
      <x:c r="C403" s="21"/>
      <x:c r="D403" s="21"/>
      <x:c r="E403" s="39"/>
      <x:c r="F403" s="39"/>
      <x:c r="G403" s="39"/>
      <x:c r="H403" s="39"/>
      <x:c r="I403" s="21"/>
    </x:row>
    <x:row r="404">
      <x:c r="A404" s="21"/>
      <x:c r="B404" s="21"/>
      <x:c r="C404" s="21"/>
      <x:c r="D404" s="21"/>
      <x:c r="E404" s="39"/>
      <x:c r="F404" s="39"/>
      <x:c r="G404" s="39"/>
      <x:c r="H404" s="39"/>
      <x:c r="I404" s="21"/>
    </x:row>
    <x:row r="405">
      <x:c r="A405" s="21"/>
      <x:c r="B405" s="21"/>
      <x:c r="C405" s="21"/>
      <x:c r="D405" s="21"/>
      <x:c r="E405" s="39"/>
      <x:c r="F405" s="39"/>
      <x:c r="G405" s="39"/>
      <x:c r="H405" s="39"/>
      <x:c r="I405" s="21"/>
    </x:row>
    <x:row r="406">
      <x:c r="A406" s="21"/>
      <x:c r="B406" s="21"/>
      <x:c r="C406" s="21"/>
      <x:c r="D406" s="21"/>
      <x:c r="E406" s="39"/>
      <x:c r="F406" s="39"/>
      <x:c r="G406" s="39"/>
      <x:c r="H406" s="39"/>
      <x:c r="I406" s="21"/>
    </x:row>
    <x:row r="407">
      <x:c r="A407" s="21"/>
      <x:c r="B407" s="21"/>
      <x:c r="C407" s="21"/>
      <x:c r="D407" s="21"/>
      <x:c r="E407" s="39"/>
      <x:c r="F407" s="39"/>
      <x:c r="G407" s="39"/>
      <x:c r="H407" s="39"/>
      <x:c r="I407" s="21"/>
    </x:row>
    <x:row r="408">
      <x:c r="A408" s="21"/>
      <x:c r="B408" s="21"/>
      <x:c r="C408" s="21"/>
      <x:c r="D408" s="21"/>
      <x:c r="E408" s="39"/>
      <x:c r="F408" s="39"/>
      <x:c r="G408" s="39"/>
      <x:c r="H408" s="39"/>
      <x:c r="I408" s="21"/>
    </x:row>
    <x:row r="409">
      <x:c r="A409" s="21"/>
      <x:c r="B409" s="21"/>
      <x:c r="C409" s="21"/>
      <x:c r="D409" s="21"/>
      <x:c r="E409" s="39"/>
      <x:c r="F409" s="39"/>
      <x:c r="G409" s="39"/>
      <x:c r="H409" s="39"/>
      <x:c r="I409" s="21"/>
    </x:row>
    <x:row r="410">
      <x:c r="A410" s="21"/>
      <x:c r="B410" s="21"/>
      <x:c r="C410" s="21"/>
      <x:c r="D410" s="21"/>
      <x:c r="E410" s="39"/>
      <x:c r="F410" s="39"/>
      <x:c r="G410" s="39"/>
      <x:c r="H410" s="39"/>
      <x:c r="I410" s="21"/>
    </x:row>
    <x:row r="411">
      <x:c r="A411" s="21"/>
      <x:c r="B411" s="21"/>
      <x:c r="C411" s="21"/>
      <x:c r="D411" s="21"/>
      <x:c r="E411" s="39"/>
      <x:c r="F411" s="39"/>
      <x:c r="G411" s="39"/>
      <x:c r="H411" s="39"/>
      <x:c r="I411" s="21"/>
    </x:row>
    <x:row r="412">
      <x:c r="A412" s="21"/>
      <x:c r="B412" s="21"/>
      <x:c r="C412" s="21"/>
      <x:c r="D412" s="21"/>
      <x:c r="E412" s="39"/>
      <x:c r="F412" s="39"/>
      <x:c r="G412" s="39"/>
      <x:c r="H412" s="39"/>
      <x:c r="I412" s="21"/>
    </x:row>
    <x:row r="413">
      <x:c r="A413" s="21"/>
      <x:c r="B413" s="21"/>
      <x:c r="C413" s="21"/>
      <x:c r="D413" s="21"/>
      <x:c r="E413" s="39"/>
      <x:c r="F413" s="39"/>
      <x:c r="G413" s="39"/>
      <x:c r="H413" s="39"/>
      <x:c r="I413" s="21"/>
    </x:row>
    <x:row r="414">
      <x:c r="A414" s="21"/>
      <x:c r="B414" s="21"/>
      <x:c r="C414" s="21"/>
      <x:c r="D414" s="21"/>
      <x:c r="E414" s="39"/>
      <x:c r="F414" s="39"/>
      <x:c r="G414" s="39"/>
      <x:c r="H414" s="39"/>
      <x:c r="I414" s="21"/>
    </x:row>
    <x:row r="415">
      <x:c r="A415" s="21"/>
      <x:c r="B415" s="21"/>
      <x:c r="C415" s="21"/>
      <x:c r="D415" s="21"/>
      <x:c r="E415" s="39"/>
      <x:c r="F415" s="39"/>
      <x:c r="G415" s="39"/>
      <x:c r="H415" s="39"/>
      <x:c r="I415" s="21"/>
    </x:row>
    <x:row r="416">
      <x:c r="A416" s="21"/>
      <x:c r="B416" s="21"/>
      <x:c r="C416" s="21"/>
      <x:c r="D416" s="21"/>
      <x:c r="E416" s="39"/>
      <x:c r="F416" s="39"/>
      <x:c r="G416" s="39"/>
      <x:c r="H416" s="39"/>
      <x:c r="I416" s="21"/>
    </x:row>
    <x:row r="417">
      <x:c r="A417" s="21"/>
      <x:c r="B417" s="21"/>
      <x:c r="C417" s="21"/>
      <x:c r="D417" s="21"/>
      <x:c r="E417" s="39"/>
      <x:c r="F417" s="39"/>
      <x:c r="G417" s="39"/>
      <x:c r="H417" s="39"/>
      <x:c r="I417" s="21"/>
    </x:row>
    <x:row r="418">
      <x:c r="A418" s="21"/>
      <x:c r="B418" s="21"/>
      <x:c r="C418" s="21"/>
      <x:c r="D418" s="21"/>
      <x:c r="E418" s="39"/>
      <x:c r="F418" s="39"/>
      <x:c r="G418" s="39"/>
      <x:c r="H418" s="39"/>
      <x:c r="I418" s="21"/>
    </x:row>
    <x:row r="419">
      <x:c r="A419" s="21"/>
      <x:c r="B419" s="21"/>
      <x:c r="C419" s="21"/>
      <x:c r="D419" s="21"/>
      <x:c r="E419" s="39"/>
      <x:c r="F419" s="39"/>
      <x:c r="G419" s="39"/>
      <x:c r="H419" s="39"/>
      <x:c r="I419" s="21"/>
    </x:row>
    <x:row r="420">
      <x:c r="A420" s="21"/>
      <x:c r="B420" s="21"/>
      <x:c r="C420" s="21"/>
      <x:c r="D420" s="21"/>
      <x:c r="E420" s="39"/>
      <x:c r="F420" s="39"/>
      <x:c r="G420" s="39"/>
      <x:c r="H420" s="39"/>
      <x:c r="I420" s="21"/>
    </x:row>
    <x:row r="421">
      <x:c r="A421" s="21"/>
      <x:c r="B421" s="21"/>
      <x:c r="C421" s="21"/>
      <x:c r="D421" s="21"/>
      <x:c r="E421" s="39"/>
      <x:c r="F421" s="39"/>
      <x:c r="G421" s="39"/>
      <x:c r="H421" s="39"/>
      <x:c r="I421" s="21"/>
    </x:row>
    <x:row r="422">
      <x:c r="A422" s="21"/>
      <x:c r="B422" s="21"/>
      <x:c r="C422" s="21"/>
      <x:c r="D422" s="21"/>
      <x:c r="E422" s="39"/>
      <x:c r="F422" s="39"/>
      <x:c r="G422" s="39"/>
      <x:c r="H422" s="39"/>
      <x:c r="I422" s="21"/>
    </x:row>
    <x:row r="423">
      <x:c r="A423" s="21"/>
      <x:c r="B423" s="21"/>
      <x:c r="C423" s="21"/>
      <x:c r="D423" s="21"/>
      <x:c r="E423" s="39"/>
      <x:c r="F423" s="39"/>
      <x:c r="G423" s="39"/>
      <x:c r="H423" s="39"/>
      <x:c r="I423" s="21"/>
    </x:row>
    <x:row r="424">
      <x:c r="A424" s="21"/>
      <x:c r="B424" s="21"/>
      <x:c r="C424" s="21"/>
      <x:c r="D424" s="21"/>
      <x:c r="E424" s="39"/>
      <x:c r="F424" s="39"/>
      <x:c r="G424" s="39"/>
      <x:c r="H424" s="39"/>
      <x:c r="I424" s="21"/>
    </x:row>
    <x:row r="425">
      <x:c r="A425" s="21"/>
      <x:c r="B425" s="21"/>
      <x:c r="C425" s="21"/>
      <x:c r="D425" s="21"/>
      <x:c r="E425" s="39"/>
      <x:c r="F425" s="39"/>
      <x:c r="G425" s="39"/>
      <x:c r="H425" s="39"/>
      <x:c r="I425" s="21"/>
    </x:row>
    <x:row r="426">
      <x:c r="A426" s="21"/>
      <x:c r="B426" s="21"/>
      <x:c r="C426" s="21"/>
      <x:c r="D426" s="21"/>
      <x:c r="E426" s="39"/>
      <x:c r="F426" s="39"/>
      <x:c r="G426" s="39"/>
      <x:c r="H426" s="39"/>
      <x:c r="I426" s="21"/>
    </x:row>
    <x:row r="427">
      <x:c r="A427" s="21"/>
      <x:c r="B427" s="21"/>
      <x:c r="C427" s="21"/>
      <x:c r="D427" s="21"/>
      <x:c r="E427" s="39"/>
      <x:c r="F427" s="39"/>
      <x:c r="G427" s="39"/>
      <x:c r="H427" s="39"/>
      <x:c r="I427" s="21"/>
    </x:row>
    <x:row r="428">
      <x:c r="A428" s="21"/>
      <x:c r="B428" s="21"/>
      <x:c r="C428" s="21"/>
      <x:c r="D428" s="21"/>
      <x:c r="E428" s="39"/>
      <x:c r="F428" s="39"/>
      <x:c r="G428" s="39"/>
      <x:c r="H428" s="39"/>
      <x:c r="I428" s="21"/>
    </x:row>
    <x:row r="429">
      <x:c r="A429" s="21"/>
      <x:c r="B429" s="21"/>
      <x:c r="C429" s="21"/>
      <x:c r="D429" s="21"/>
      <x:c r="E429" s="39"/>
      <x:c r="F429" s="39"/>
      <x:c r="G429" s="39"/>
      <x:c r="H429" s="39"/>
      <x:c r="I429" s="21"/>
    </x:row>
    <x:row r="430">
      <x:c r="A430" s="21"/>
      <x:c r="B430" s="21"/>
      <x:c r="C430" s="21"/>
      <x:c r="D430" s="21"/>
      <x:c r="E430" s="39"/>
      <x:c r="F430" s="39"/>
      <x:c r="G430" s="39"/>
      <x:c r="H430" s="39"/>
      <x:c r="I430" s="21"/>
    </x:row>
    <x:row r="431">
      <x:c r="A431" s="21"/>
      <x:c r="B431" s="21"/>
      <x:c r="C431" s="21"/>
      <x:c r="D431" s="21"/>
      <x:c r="E431" s="39"/>
      <x:c r="F431" s="39"/>
      <x:c r="G431" s="39"/>
      <x:c r="H431" s="39"/>
      <x:c r="I431" s="21"/>
    </x:row>
    <x:row r="432">
      <x:c r="A432" s="21"/>
      <x:c r="B432" s="21"/>
      <x:c r="C432" s="21"/>
      <x:c r="D432" s="21"/>
      <x:c r="E432" s="39"/>
      <x:c r="F432" s="39"/>
      <x:c r="G432" s="39"/>
      <x:c r="H432" s="39"/>
      <x:c r="I432" s="21"/>
    </x:row>
    <x:row r="433">
      <x:c r="A433" s="21"/>
      <x:c r="B433" s="21"/>
      <x:c r="C433" s="21"/>
      <x:c r="D433" s="21"/>
      <x:c r="E433" s="39"/>
      <x:c r="F433" s="39"/>
      <x:c r="G433" s="39"/>
      <x:c r="H433" s="39"/>
      <x:c r="I433" s="21"/>
    </x:row>
    <x:row r="434">
      <x:c r="A434" s="21"/>
      <x:c r="B434" s="21"/>
      <x:c r="C434" s="21"/>
      <x:c r="D434" s="21"/>
      <x:c r="E434" s="39"/>
      <x:c r="F434" s="39"/>
      <x:c r="G434" s="39"/>
      <x:c r="H434" s="39"/>
      <x:c r="I434" s="21"/>
    </x:row>
    <x:row r="435">
      <x:c r="A435" s="21"/>
      <x:c r="B435" s="21"/>
      <x:c r="C435" s="21"/>
      <x:c r="D435" s="21"/>
      <x:c r="E435" s="39"/>
      <x:c r="F435" s="39"/>
      <x:c r="G435" s="39"/>
      <x:c r="H435" s="39"/>
      <x:c r="I435" s="21"/>
    </x:row>
    <x:row r="436">
      <x:c r="A436" s="21"/>
      <x:c r="B436" s="21"/>
      <x:c r="C436" s="21"/>
      <x:c r="D436" s="21"/>
      <x:c r="E436" s="39"/>
      <x:c r="F436" s="39"/>
      <x:c r="G436" s="39"/>
      <x:c r="H436" s="39"/>
      <x:c r="I436" s="21"/>
    </x:row>
    <x:row r="437">
      <x:c r="A437" s="21"/>
      <x:c r="B437" s="21"/>
      <x:c r="C437" s="21"/>
      <x:c r="D437" s="21"/>
      <x:c r="E437" s="39"/>
      <x:c r="F437" s="39"/>
      <x:c r="G437" s="39"/>
      <x:c r="H437" s="39"/>
      <x:c r="I437" s="21"/>
    </x:row>
    <x:row r="438">
      <x:c r="A438" s="21"/>
      <x:c r="B438" s="21"/>
      <x:c r="C438" s="21"/>
      <x:c r="D438" s="21"/>
      <x:c r="E438" s="39"/>
      <x:c r="F438" s="39"/>
      <x:c r="G438" s="39"/>
      <x:c r="H438" s="39"/>
      <x:c r="I438" s="21"/>
    </x:row>
    <x:row r="439">
      <x:c r="A439" s="21"/>
      <x:c r="B439" s="21"/>
      <x:c r="C439" s="21"/>
      <x:c r="D439" s="21"/>
      <x:c r="E439" s="39"/>
      <x:c r="F439" s="39"/>
      <x:c r="G439" s="39"/>
      <x:c r="H439" s="39"/>
      <x:c r="I439" s="21"/>
    </x:row>
    <x:row r="440">
      <x:c r="A440" s="21"/>
      <x:c r="B440" s="21"/>
      <x:c r="C440" s="21"/>
      <x:c r="D440" s="21"/>
      <x:c r="E440" s="39"/>
      <x:c r="F440" s="39"/>
      <x:c r="G440" s="39"/>
      <x:c r="H440" s="39"/>
      <x:c r="I440" s="21"/>
    </x:row>
    <x:row r="441">
      <x:c r="A441" s="21"/>
      <x:c r="B441" s="21"/>
      <x:c r="C441" s="21"/>
      <x:c r="D441" s="21"/>
      <x:c r="E441" s="39"/>
      <x:c r="F441" s="39"/>
      <x:c r="G441" s="39"/>
      <x:c r="H441" s="39"/>
      <x:c r="I441" s="21"/>
    </x:row>
    <x:row r="442">
      <x:c r="A442" s="21"/>
      <x:c r="B442" s="21"/>
      <x:c r="C442" s="21"/>
      <x:c r="D442" s="21"/>
      <x:c r="E442" s="39"/>
      <x:c r="F442" s="39"/>
      <x:c r="G442" s="39"/>
      <x:c r="H442" s="39"/>
      <x:c r="I442" s="21"/>
    </x:row>
    <x:row r="443">
      <x:c r="A443" s="21"/>
      <x:c r="B443" s="21"/>
      <x:c r="C443" s="21"/>
      <x:c r="D443" s="21"/>
      <x:c r="E443" s="39"/>
      <x:c r="F443" s="39"/>
      <x:c r="G443" s="39"/>
      <x:c r="H443" s="39"/>
      <x:c r="I443" s="21"/>
    </x:row>
    <x:row r="444">
      <x:c r="A444" s="21"/>
      <x:c r="B444" s="21"/>
      <x:c r="C444" s="21"/>
      <x:c r="D444" s="21"/>
      <x:c r="E444" s="39"/>
      <x:c r="F444" s="39"/>
      <x:c r="G444" s="39"/>
      <x:c r="H444" s="39"/>
      <x:c r="I444" s="21"/>
    </x:row>
    <x:row r="445">
      <x:c r="A445" s="21"/>
      <x:c r="B445" s="21"/>
      <x:c r="C445" s="21"/>
      <x:c r="D445" s="21"/>
      <x:c r="E445" s="39"/>
      <x:c r="F445" s="39"/>
      <x:c r="G445" s="39"/>
      <x:c r="H445" s="39"/>
      <x:c r="I445" s="21"/>
    </x:row>
    <x:row r="446">
      <x:c r="A446" s="21"/>
      <x:c r="B446" s="21"/>
      <x:c r="C446" s="21"/>
      <x:c r="D446" s="21"/>
      <x:c r="E446" s="39"/>
      <x:c r="F446" s="39"/>
      <x:c r="G446" s="39"/>
      <x:c r="H446" s="39"/>
      <x:c r="I446" s="21"/>
    </x:row>
    <x:row r="447">
      <x:c r="A447" s="21"/>
      <x:c r="B447" s="21"/>
      <x:c r="C447" s="21"/>
      <x:c r="D447" s="21"/>
      <x:c r="E447" s="39"/>
      <x:c r="F447" s="39"/>
      <x:c r="G447" s="39"/>
      <x:c r="H447" s="39"/>
      <x:c r="I447" s="21"/>
    </x:row>
    <x:row r="448">
      <x:c r="A448" s="21"/>
      <x:c r="B448" s="21"/>
      <x:c r="C448" s="21"/>
      <x:c r="D448" s="21"/>
      <x:c r="E448" s="39"/>
      <x:c r="F448" s="39"/>
      <x:c r="G448" s="39"/>
      <x:c r="H448" s="39"/>
      <x:c r="I448" s="21"/>
    </x:row>
    <x:row r="449">
      <x:c r="A449" s="21"/>
      <x:c r="B449" s="21"/>
      <x:c r="C449" s="21"/>
      <x:c r="D449" s="21"/>
      <x:c r="E449" s="39"/>
      <x:c r="F449" s="39"/>
      <x:c r="G449" s="39"/>
      <x:c r="H449" s="39"/>
      <x:c r="I449" s="21"/>
    </x:row>
    <x:row r="450">
      <x:c r="A450" s="21"/>
      <x:c r="B450" s="21"/>
      <x:c r="C450" s="21"/>
      <x:c r="D450" s="21"/>
      <x:c r="E450" s="39"/>
      <x:c r="F450" s="39"/>
      <x:c r="G450" s="39"/>
      <x:c r="H450" s="39"/>
      <x:c r="I450" s="21"/>
    </x:row>
    <x:row r="451">
      <x:c r="A451" s="21"/>
      <x:c r="B451" s="21"/>
      <x:c r="C451" s="21"/>
      <x:c r="D451" s="21"/>
      <x:c r="E451" s="39"/>
      <x:c r="F451" s="39"/>
      <x:c r="G451" s="39"/>
      <x:c r="H451" s="39"/>
      <x:c r="I451" s="21"/>
    </x:row>
    <x:row r="452">
      <x:c r="A452" s="21"/>
      <x:c r="B452" s="21"/>
      <x:c r="C452" s="21"/>
      <x:c r="D452" s="21"/>
      <x:c r="E452" s="39"/>
      <x:c r="F452" s="39"/>
      <x:c r="G452" s="39"/>
      <x:c r="H452" s="39"/>
      <x:c r="I452" s="21"/>
    </x:row>
    <x:row r="453">
      <x:c r="A453" s="21"/>
      <x:c r="B453" s="21"/>
      <x:c r="C453" s="21"/>
      <x:c r="D453" s="21"/>
      <x:c r="E453" s="39"/>
      <x:c r="F453" s="39"/>
      <x:c r="G453" s="39"/>
      <x:c r="H453" s="39"/>
      <x:c r="I453" s="21"/>
    </x:row>
    <x:row r="454">
      <x:c r="A454" s="21"/>
      <x:c r="B454" s="21"/>
      <x:c r="C454" s="21"/>
      <x:c r="D454" s="21"/>
      <x:c r="E454" s="39"/>
      <x:c r="F454" s="39"/>
      <x:c r="G454" s="39"/>
      <x:c r="H454" s="39"/>
      <x:c r="I454" s="21"/>
    </x:row>
    <x:row r="455">
      <x:c r="A455" s="21"/>
      <x:c r="B455" s="21"/>
      <x:c r="C455" s="21"/>
      <x:c r="D455" s="21"/>
      <x:c r="E455" s="39"/>
      <x:c r="F455" s="39"/>
      <x:c r="G455" s="39"/>
      <x:c r="H455" s="39"/>
      <x:c r="I455" s="21"/>
    </x:row>
    <x:row r="456">
      <x:c r="A456" s="21"/>
      <x:c r="B456" s="21"/>
      <x:c r="C456" s="21"/>
      <x:c r="D456" s="21"/>
      <x:c r="E456" s="39"/>
      <x:c r="F456" s="39"/>
      <x:c r="G456" s="39"/>
      <x:c r="H456" s="39"/>
      <x:c r="I456" s="21"/>
    </x:row>
    <x:row r="457">
      <x:c r="A457" s="21"/>
      <x:c r="B457" s="21"/>
      <x:c r="C457" s="21"/>
      <x:c r="D457" s="21"/>
      <x:c r="E457" s="39"/>
      <x:c r="F457" s="39"/>
      <x:c r="G457" s="39"/>
      <x:c r="H457" s="39"/>
      <x:c r="I457" s="21"/>
    </x:row>
    <x:row r="458">
      <x:c r="A458" s="21"/>
      <x:c r="B458" s="21"/>
      <x:c r="C458" s="21"/>
      <x:c r="D458" s="21"/>
      <x:c r="E458" s="39"/>
      <x:c r="F458" s="39"/>
      <x:c r="G458" s="39"/>
      <x:c r="H458" s="39"/>
      <x:c r="I458" s="21"/>
    </x:row>
    <x:row r="459">
      <x:c r="A459" s="21"/>
      <x:c r="B459" s="21"/>
      <x:c r="C459" s="21"/>
      <x:c r="D459" s="21"/>
      <x:c r="E459" s="39"/>
      <x:c r="F459" s="39"/>
      <x:c r="G459" s="39"/>
      <x:c r="H459" s="39"/>
      <x:c r="I459" s="21"/>
    </x:row>
    <x:row r="460">
      <x:c r="A460" s="21"/>
      <x:c r="B460" s="21"/>
      <x:c r="C460" s="21"/>
      <x:c r="D460" s="21"/>
      <x:c r="E460" s="39"/>
      <x:c r="F460" s="39"/>
      <x:c r="G460" s="39"/>
      <x:c r="H460" s="39"/>
      <x:c r="I460" s="21"/>
    </x:row>
    <x:row r="461">
      <x:c r="A461" s="21"/>
      <x:c r="B461" s="21"/>
      <x:c r="C461" s="21"/>
      <x:c r="D461" s="21"/>
      <x:c r="E461" s="39"/>
      <x:c r="F461" s="39"/>
      <x:c r="G461" s="39"/>
      <x:c r="H461" s="39"/>
      <x:c r="I461" s="21"/>
    </x:row>
    <x:row r="462">
      <x:c r="A462" s="21"/>
      <x:c r="B462" s="21"/>
      <x:c r="C462" s="21"/>
      <x:c r="D462" s="21"/>
      <x:c r="E462" s="39"/>
      <x:c r="F462" s="39"/>
      <x:c r="G462" s="39"/>
      <x:c r="H462" s="39"/>
      <x:c r="I462" s="21"/>
    </x:row>
    <x:row r="463">
      <x:c r="A463" s="21"/>
      <x:c r="B463" s="21"/>
      <x:c r="C463" s="21"/>
      <x:c r="D463" s="21"/>
      <x:c r="E463" s="39"/>
      <x:c r="F463" s="39"/>
      <x:c r="G463" s="39"/>
      <x:c r="H463" s="39"/>
      <x:c r="I463" s="21"/>
    </x:row>
    <x:row r="464">
      <x:c r="A464" s="21"/>
      <x:c r="B464" s="21"/>
      <x:c r="C464" s="21"/>
      <x:c r="D464" s="21"/>
      <x:c r="E464" s="39"/>
      <x:c r="F464" s="39"/>
      <x:c r="G464" s="39"/>
      <x:c r="H464" s="39"/>
      <x:c r="I464" s="21"/>
    </x:row>
    <x:row r="465">
      <x:c r="A465" s="21"/>
      <x:c r="B465" s="21"/>
      <x:c r="C465" s="21"/>
      <x:c r="D465" s="21"/>
      <x:c r="E465" s="39"/>
      <x:c r="F465" s="39"/>
      <x:c r="G465" s="39"/>
      <x:c r="H465" s="39"/>
      <x:c r="I465" s="21"/>
    </x:row>
    <x:row r="466">
      <x:c r="A466" s="21"/>
      <x:c r="B466" s="21"/>
      <x:c r="C466" s="21"/>
      <x:c r="D466" s="21"/>
      <x:c r="E466" s="39"/>
      <x:c r="F466" s="39"/>
      <x:c r="G466" s="39"/>
      <x:c r="H466" s="39"/>
      <x:c r="I466" s="21"/>
    </x:row>
    <x:row r="467">
      <x:c r="A467" s="21"/>
      <x:c r="B467" s="21"/>
      <x:c r="C467" s="21"/>
      <x:c r="D467" s="21"/>
      <x:c r="E467" s="39"/>
      <x:c r="F467" s="39"/>
      <x:c r="G467" s="39"/>
      <x:c r="H467" s="39"/>
      <x:c r="I467" s="21"/>
    </x:row>
    <x:row r="468">
      <x:c r="A468" s="21"/>
      <x:c r="B468" s="21"/>
      <x:c r="C468" s="21"/>
      <x:c r="D468" s="21"/>
      <x:c r="E468" s="39"/>
      <x:c r="F468" s="39"/>
      <x:c r="G468" s="39"/>
      <x:c r="H468" s="39"/>
      <x:c r="I468" s="21"/>
    </x:row>
    <x:row r="469">
      <x:c r="A469" s="21"/>
      <x:c r="B469" s="21"/>
      <x:c r="C469" s="21"/>
      <x:c r="D469" s="21"/>
      <x:c r="E469" s="39"/>
      <x:c r="F469" s="39"/>
      <x:c r="G469" s="39"/>
      <x:c r="H469" s="39"/>
      <x:c r="I469" s="21"/>
    </x:row>
    <x:row r="470">
      <x:c r="A470" s="21"/>
      <x:c r="B470" s="21"/>
      <x:c r="C470" s="21"/>
      <x:c r="D470" s="21"/>
      <x:c r="E470" s="39"/>
      <x:c r="F470" s="39"/>
      <x:c r="G470" s="39"/>
      <x:c r="H470" s="39"/>
      <x:c r="I470" s="21"/>
    </x:row>
    <x:row r="471">
      <x:c r="A471" s="21"/>
      <x:c r="B471" s="21"/>
      <x:c r="C471" s="21"/>
      <x:c r="D471" s="21"/>
      <x:c r="E471" s="39"/>
      <x:c r="F471" s="39"/>
      <x:c r="G471" s="39"/>
      <x:c r="H471" s="39"/>
      <x:c r="I471" s="21"/>
    </x:row>
    <x:row r="472">
      <x:c r="A472" s="21"/>
      <x:c r="B472" s="21"/>
      <x:c r="C472" s="21"/>
      <x:c r="D472" s="21"/>
      <x:c r="E472" s="39"/>
      <x:c r="F472" s="39"/>
      <x:c r="G472" s="39"/>
      <x:c r="H472" s="39"/>
      <x:c r="I472" s="21"/>
    </x:row>
    <x:row r="473">
      <x:c r="A473" s="21"/>
      <x:c r="B473" s="21"/>
      <x:c r="C473" s="21"/>
      <x:c r="D473" s="21"/>
      <x:c r="E473" s="39"/>
      <x:c r="F473" s="39"/>
      <x:c r="G473" s="39"/>
      <x:c r="H473" s="39"/>
      <x:c r="I473" s="21"/>
    </x:row>
    <x:row r="474">
      <x:c r="A474" s="21"/>
      <x:c r="B474" s="21"/>
      <x:c r="C474" s="21"/>
      <x:c r="D474" s="21"/>
      <x:c r="E474" s="39"/>
      <x:c r="F474" s="39"/>
      <x:c r="G474" s="39"/>
      <x:c r="H474" s="39"/>
      <x:c r="I474" s="21"/>
    </x:row>
    <x:row r="475">
      <x:c r="A475" s="21"/>
      <x:c r="B475" s="21"/>
      <x:c r="C475" s="21"/>
      <x:c r="D475" s="21"/>
      <x:c r="E475" s="39"/>
      <x:c r="F475" s="39"/>
      <x:c r="G475" s="39"/>
      <x:c r="H475" s="39"/>
      <x:c r="I475" s="21"/>
    </x:row>
    <x:row r="476">
      <x:c r="A476" s="21"/>
      <x:c r="B476" s="21"/>
      <x:c r="C476" s="21"/>
      <x:c r="D476" s="21"/>
      <x:c r="E476" s="39"/>
      <x:c r="F476" s="39"/>
      <x:c r="G476" s="39"/>
      <x:c r="H476" s="39"/>
      <x:c r="I476" s="21"/>
    </x:row>
    <x:row r="477">
      <x:c r="A477" s="21"/>
      <x:c r="B477" s="21"/>
      <x:c r="C477" s="21"/>
      <x:c r="D477" s="21"/>
      <x:c r="E477" s="39"/>
      <x:c r="F477" s="39"/>
      <x:c r="G477" s="39"/>
      <x:c r="H477" s="39"/>
      <x:c r="I477" s="21"/>
    </x:row>
    <x:row r="478">
      <x:c r="A478" s="21"/>
      <x:c r="B478" s="21"/>
      <x:c r="C478" s="21"/>
      <x:c r="D478" s="21"/>
      <x:c r="E478" s="39"/>
      <x:c r="F478" s="39"/>
      <x:c r="G478" s="39"/>
      <x:c r="H478" s="39"/>
      <x:c r="I478" s="21"/>
    </x:row>
    <x:row r="479">
      <x:c r="A479" s="21"/>
      <x:c r="B479" s="21"/>
      <x:c r="C479" s="21"/>
      <x:c r="D479" s="21"/>
      <x:c r="E479" s="39"/>
      <x:c r="F479" s="39"/>
      <x:c r="G479" s="39"/>
      <x:c r="H479" s="39"/>
      <x:c r="I479" s="21"/>
    </x:row>
    <x:row r="480">
      <x:c r="A480" s="21"/>
      <x:c r="B480" s="21"/>
      <x:c r="C480" s="21"/>
      <x:c r="D480" s="21"/>
      <x:c r="E480" s="39"/>
      <x:c r="F480" s="39"/>
      <x:c r="G480" s="39"/>
      <x:c r="H480" s="39"/>
      <x:c r="I480" s="21"/>
    </x:row>
    <x:row r="481">
      <x:c r="A481" s="21"/>
      <x:c r="B481" s="21"/>
      <x:c r="C481" s="21"/>
      <x:c r="D481" s="21"/>
      <x:c r="E481" s="39"/>
      <x:c r="F481" s="39"/>
      <x:c r="G481" s="39"/>
      <x:c r="H481" s="39"/>
      <x:c r="I481" s="21"/>
    </x:row>
    <x:row r="482">
      <x:c r="A482" s="21"/>
      <x:c r="B482" s="21"/>
      <x:c r="C482" s="21"/>
      <x:c r="D482" s="21"/>
      <x:c r="E482" s="39"/>
      <x:c r="F482" s="39"/>
      <x:c r="G482" s="39"/>
      <x:c r="H482" s="39"/>
      <x:c r="I482" s="21"/>
    </x:row>
    <x:row r="483">
      <x:c r="A483" s="21"/>
      <x:c r="B483" s="21"/>
      <x:c r="C483" s="21"/>
      <x:c r="D483" s="21"/>
      <x:c r="E483" s="39"/>
      <x:c r="F483" s="39"/>
      <x:c r="G483" s="39"/>
      <x:c r="H483" s="39"/>
      <x:c r="I483" s="21"/>
    </x:row>
    <x:row r="484">
      <x:c r="A484" s="21"/>
      <x:c r="B484" s="21"/>
      <x:c r="C484" s="21"/>
      <x:c r="D484" s="21"/>
      <x:c r="E484" s="39"/>
      <x:c r="F484" s="39"/>
      <x:c r="G484" s="39"/>
      <x:c r="H484" s="39"/>
      <x:c r="I484" s="21"/>
    </x:row>
    <x:row r="485">
      <x:c r="A485" s="21"/>
      <x:c r="B485" s="21"/>
      <x:c r="C485" s="21"/>
      <x:c r="D485" s="21"/>
      <x:c r="E485" s="39"/>
      <x:c r="F485" s="39"/>
      <x:c r="G485" s="39"/>
      <x:c r="H485" s="39"/>
      <x:c r="I485" s="21"/>
    </x:row>
    <x:row r="486">
      <x:c r="A486" s="21"/>
      <x:c r="B486" s="21"/>
      <x:c r="C486" s="21"/>
      <x:c r="D486" s="21"/>
      <x:c r="E486" s="39"/>
      <x:c r="F486" s="39"/>
      <x:c r="G486" s="39"/>
      <x:c r="H486" s="39"/>
      <x:c r="I486" s="21"/>
    </x:row>
    <x:row r="487">
      <x:c r="A487" s="21"/>
      <x:c r="B487" s="21"/>
      <x:c r="C487" s="21"/>
      <x:c r="D487" s="21"/>
      <x:c r="E487" s="39"/>
      <x:c r="F487" s="39"/>
      <x:c r="G487" s="39"/>
      <x:c r="H487" s="39"/>
      <x:c r="I487" s="21"/>
    </x:row>
    <x:row r="488">
      <x:c r="A488" s="21"/>
      <x:c r="B488" s="21"/>
      <x:c r="C488" s="21"/>
      <x:c r="D488" s="21"/>
      <x:c r="E488" s="39"/>
      <x:c r="F488" s="39"/>
      <x:c r="G488" s="39"/>
      <x:c r="H488" s="39"/>
      <x:c r="I488" s="21"/>
    </x:row>
    <x:row r="489">
      <x:c r="A489" s="21"/>
      <x:c r="B489" s="21"/>
      <x:c r="C489" s="21"/>
      <x:c r="D489" s="21"/>
      <x:c r="E489" s="39"/>
      <x:c r="F489" s="39"/>
      <x:c r="G489" s="39"/>
      <x:c r="H489" s="39"/>
      <x:c r="I489" s="21"/>
    </x:row>
    <x:row r="490">
      <x:c r="A490" s="21"/>
      <x:c r="B490" s="21"/>
      <x:c r="C490" s="21"/>
      <x:c r="D490" s="21"/>
      <x:c r="E490" s="39"/>
      <x:c r="F490" s="39"/>
      <x:c r="G490" s="39"/>
      <x:c r="H490" s="39"/>
      <x:c r="I490" s="21"/>
    </x:row>
    <x:row r="491">
      <x:c r="A491" s="21"/>
      <x:c r="B491" s="21"/>
      <x:c r="C491" s="21"/>
      <x:c r="D491" s="21"/>
      <x:c r="E491" s="39"/>
      <x:c r="F491" s="39"/>
      <x:c r="G491" s="39"/>
      <x:c r="H491" s="39"/>
      <x:c r="I491" s="21"/>
    </x:row>
    <x:row r="492">
      <x:c r="A492" s="21"/>
      <x:c r="B492" s="21"/>
      <x:c r="C492" s="21"/>
      <x:c r="D492" s="21"/>
      <x:c r="E492" s="39"/>
      <x:c r="F492" s="39"/>
      <x:c r="G492" s="39"/>
      <x:c r="H492" s="39"/>
      <x:c r="I492" s="21"/>
    </x:row>
    <x:row r="493">
      <x:c r="A493" s="21"/>
      <x:c r="B493" s="21"/>
      <x:c r="C493" s="21"/>
      <x:c r="D493" s="21"/>
      <x:c r="E493" s="39"/>
      <x:c r="F493" s="39"/>
      <x:c r="G493" s="39"/>
      <x:c r="H493" s="39"/>
      <x:c r="I493" s="21"/>
    </x:row>
    <x:row r="494">
      <x:c r="A494" s="21"/>
      <x:c r="B494" s="21"/>
      <x:c r="C494" s="21"/>
      <x:c r="D494" s="21"/>
      <x:c r="E494" s="39"/>
      <x:c r="F494" s="39"/>
      <x:c r="G494" s="39"/>
      <x:c r="H494" s="39"/>
      <x:c r="I494" s="21"/>
    </x:row>
    <x:row r="495">
      <x:c r="A495" s="21"/>
      <x:c r="B495" s="21"/>
      <x:c r="C495" s="21"/>
      <x:c r="D495" s="21"/>
      <x:c r="E495" s="39"/>
      <x:c r="F495" s="39"/>
      <x:c r="G495" s="39"/>
      <x:c r="H495" s="39"/>
      <x:c r="I495" s="21"/>
    </x:row>
    <x:row r="496">
      <x:c r="A496" s="21"/>
      <x:c r="B496" s="21"/>
      <x:c r="C496" s="21"/>
      <x:c r="D496" s="21"/>
      <x:c r="E496" s="39"/>
      <x:c r="F496" s="39"/>
      <x:c r="G496" s="39"/>
      <x:c r="H496" s="39"/>
      <x:c r="I496" s="21"/>
    </x:row>
    <x:row r="497">
      <x:c r="A497" s="21"/>
      <x:c r="B497" s="21"/>
      <x:c r="C497" s="21"/>
      <x:c r="D497" s="21"/>
      <x:c r="E497" s="39"/>
      <x:c r="F497" s="39"/>
      <x:c r="G497" s="39"/>
      <x:c r="H497" s="39"/>
      <x:c r="I497" s="21"/>
    </x:row>
    <x:row r="498">
      <x:c r="A498" s="21"/>
      <x:c r="B498" s="21"/>
      <x:c r="C498" s="21"/>
      <x:c r="D498" s="21"/>
      <x:c r="E498" s="39"/>
      <x:c r="F498" s="39"/>
      <x:c r="G498" s="39"/>
      <x:c r="H498" s="39"/>
      <x:c r="I498" s="21"/>
    </x:row>
    <x:row r="499">
      <x:c r="A499" s="21"/>
      <x:c r="B499" s="21"/>
      <x:c r="C499" s="21"/>
      <x:c r="D499" s="21"/>
      <x:c r="E499" s="39"/>
      <x:c r="F499" s="39"/>
      <x:c r="G499" s="39"/>
      <x:c r="H499" s="39"/>
      <x:c r="I499" s="21"/>
    </x:row>
    <x:row r="500">
      <x:c r="A500" s="21"/>
      <x:c r="B500" s="21"/>
      <x:c r="C500" s="21"/>
      <x:c r="D500" s="21"/>
      <x:c r="E500" s="39"/>
      <x:c r="F500" s="39"/>
      <x:c r="G500" s="39"/>
      <x:c r="H500" s="39"/>
      <x:c r="I500" s="21"/>
    </x:row>
    <x:row r="501">
      <x:c r="A501" s="21"/>
      <x:c r="B501" s="21"/>
      <x:c r="C501" s="21"/>
      <x:c r="D501" s="21"/>
      <x:c r="E501" s="39"/>
      <x:c r="F501" s="39"/>
      <x:c r="G501" s="39"/>
      <x:c r="H501" s="39"/>
      <x:c r="I501" s="21"/>
    </x:row>
  </x:sheetData>
  <x:dataValidations count="1">
    <x:dataValidation type="list" sqref="C2:C501">
      <x:formula1>"Falta (dias),HE 50% (horas),HE 100% (horas),Comissão,Bônus/Gratificação,Adicional,Desconto Extra,Crédito Extra"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e17dfc9a594f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14" hidden="0" customWidth="1"/>
    <x:col min="5" max="5" width="20" hidden="0" customWidth="1"/>
    <x:col min="7" max="7" width="28" hidden="0" customWidth="1"/>
    <x:col min="8" max="8" width="32" hidden="0" customWidth="1"/>
  </x:cols>
  <x:sheetData>
    <x:row r="1" ht="28" customHeight="1">
      <x:c r="A1" s="5" t="str">
        <x:v>CENTRAL DE CONFERÊNCIA DA FOLHA — PARÂMETROS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Parâmetro</x:v>
      </x:c>
      <x:c r="B3" s="14" t="str">
        <x:v>Valor</x:v>
      </x:c>
      <x:c r="G3" s="14" t="str">
        <x:v>IRRF / Outros parâmetros</x:v>
      </x:c>
      <x:c r="H3" s="14" t="str">
        <x:v>Valor</x:v>
      </x:c>
    </x:row>
    <x:row r="4">
      <x:c r="A4" s="20" t="str">
        <x:v>Competência</x:v>
      </x:c>
      <x:c r="B4" s="21" t="str">
        <x:v>09/2026</x:v>
      </x:c>
      <x:c r="G4" s="20" t="str">
        <x:v>Alíquota IRRF aplicável</x:v>
      </x:c>
      <x:c r="H4" s="27" t="n">
        <x:v>0</x:v>
      </x:c>
    </x:row>
    <x:row r="5">
      <x:c r="A5" s="20" t="str">
        <x:v>Dias úteis</x:v>
      </x:c>
      <x:c r="B5" s="21" t="n">
        <x:v>22</x:v>
      </x:c>
      <x:c r="G5" s="20" t="str">
        <x:v>Dedução IRRF</x:v>
      </x:c>
      <x:c r="H5" s="39" t="n">
        <x:v>0</x:v>
      </x:c>
    </x:row>
    <x:row r="6">
      <x:c r="A6" s="20" t="str">
        <x:v>Domingos/Feriados</x:v>
      </x:c>
      <x:c r="B6" s="21" t="n">
        <x:v>4</x:v>
      </x:c>
      <x:c r="G6" s="20" t="str">
        <x:v>Dedução por dependente</x:v>
      </x:c>
      <x:c r="H6" s="39" t="n">
        <x:v>189.59</x:v>
      </x:c>
    </x:row>
    <x:row r="7">
      <x:c r="A7" s="20" t="str">
        <x:v>Dias comerciais base</x:v>
      </x:c>
      <x:c r="B7" s="21" t="n">
        <x:v>30</x:v>
      </x:c>
      <x:c r="G7" s="20" t="str">
        <x:v>Desconto fixo padrão VA/VR</x:v>
      </x:c>
      <x:c r="H7" s="39" t="n">
        <x:v>0</x:v>
      </x:c>
    </x:row>
    <x:row r="8">
      <x:c r="A8" s="20" t="str">
        <x:v>Tolerância de divergência (R$)</x:v>
      </x:c>
      <x:c r="B8" s="27" t="n">
        <x:v>1</x:v>
      </x:c>
      <x:c r="G8" s="20" t="str">
        <x:v>Desconto fixo plano saúde</x:v>
      </x:c>
      <x:c r="H8" s="39" t="n">
        <x:v>0</x:v>
      </x:c>
    </x:row>
    <x:row r="9">
      <x:c r="A9" s="20" t="str">
        <x:v>Limite VT sobre salário</x:v>
      </x:c>
      <x:c r="B9" s="25" t="n">
        <x:v>0.06</x:v>
      </x:c>
      <x:c r="G9" s="20" t="str">
        <x:v>Observação</x:v>
      </x:c>
      <x:c r="H9" s="20" t="str">
        <x:v>Preencher/atualizar conforme a competência e política da empresa.</x:v>
      </x:c>
    </x:row>
    <x:row r="10">
      <x:c r="A10" s="20" t="str">
        <x:v>Multiplicador HE 50%</x:v>
      </x:c>
      <x:c r="B10" s="25" t="n">
        <x:v>1.5</x:v>
      </x:c>
    </x:row>
    <x:row r="11">
      <x:c r="A11" s="20" t="str">
        <x:v>Multiplicador HE 100%</x:v>
      </x:c>
      <x:c r="B11" s="21" t="n">
        <x:v>2</x:v>
      </x:c>
      <x:c r="G11" s="44" t="str">
        <x:v>IMPORTANTE: esta planilha é uma central de conferência e auditoria. As tabelas legais devem ser atualizadas pelo RH/contabilidade para cada competência antes do fechamento oficial da folha.</x:v>
      </x:c>
      <x:c r="H11" s="44"/>
    </x:row>
    <x:row r="12">
      <x:c r="A12" s="20" t="str">
        <x:v>Horas mensais padrão</x:v>
      </x:c>
      <x:c r="B12" s="21" t="n">
        <x:v>220</x:v>
      </x:c>
      <x:c r="G12" s="44"/>
      <x:c r="H12" s="44"/>
    </x:row>
    <x:row r="13">
      <x:c r="G13" s="44"/>
      <x:c r="H13" s="44"/>
    </x:row>
    <x:row r="14">
      <x:c r="A14" s="31" t="str">
        <x:v>INSS — referência do modelo fornecido</x:v>
      </x:c>
      <x:c r="B14" s="31" t="str"/>
      <x:c r="C14" s="31" t="str"/>
      <x:c r="D14" s="31" t="str"/>
      <x:c r="E14" s="31" t="str"/>
      <x:c r="G14" s="44"/>
      <x:c r="H14" s="44"/>
    </x:row>
    <x:row r="15">
      <x:c r="A15" s="14" t="str">
        <x:v>Faixa</x:v>
      </x:c>
      <x:c r="B15" s="14" t="str">
        <x:v>De (R$)</x:v>
      </x:c>
      <x:c r="C15" s="14" t="str">
        <x:v>Até (R$)</x:v>
      </x:c>
      <x:c r="D15" s="14" t="str">
        <x:v>Alíquota</x:v>
      </x:c>
      <x:c r="E15" s="14" t="str">
        <x:v>Parcela a Deduzir (R$)</x:v>
      </x:c>
      <x:c r="G15" s="44"/>
      <x:c r="H15" s="44"/>
    </x:row>
    <x:row r="16">
      <x:c r="A16" s="20" t="str">
        <x:v>1ª Faixa</x:v>
      </x:c>
      <x:c r="B16" s="35" t="n">
        <x:v>0</x:v>
      </x:c>
      <x:c r="C16" s="35" t="n">
        <x:v>1412</x:v>
      </x:c>
      <x:c r="D16" s="37" t="n">
        <x:v>0.075</x:v>
      </x:c>
      <x:c r="E16" s="35" t="n">
        <x:v>0</x:v>
      </x:c>
    </x:row>
    <x:row r="17">
      <x:c r="A17" s="20" t="str">
        <x:v>2ª Faixa</x:v>
      </x:c>
      <x:c r="B17" s="35" t="n">
        <x:v>1412.01</x:v>
      </x:c>
      <x:c r="C17" s="35" t="n">
        <x:v>2666.68</x:v>
      </x:c>
      <x:c r="D17" s="37" t="n">
        <x:v>0.09</x:v>
      </x:c>
      <x:c r="E17" s="35" t="n">
        <x:v>21.18</x:v>
      </x:c>
    </x:row>
    <x:row r="18">
      <x:c r="A18" s="20" t="str">
        <x:v>3ª Faixa</x:v>
      </x:c>
      <x:c r="B18" s="35" t="n">
        <x:v>2666.69</x:v>
      </x:c>
      <x:c r="C18" s="35" t="n">
        <x:v>4000.03</x:v>
      </x:c>
      <x:c r="D18" s="37" t="n">
        <x:v>0.12</x:v>
      </x:c>
      <x:c r="E18" s="35" t="n">
        <x:v>101.18</x:v>
      </x:c>
    </x:row>
    <x:row r="19">
      <x:c r="A19" s="20" t="str">
        <x:v>4ª Faixa</x:v>
      </x:c>
      <x:c r="B19" s="35" t="n">
        <x:v>4000.04</x:v>
      </x:c>
      <x:c r="C19" s="35" t="n">
        <x:v>7786.02</x:v>
      </x:c>
      <x:c r="D19" s="37" t="n">
        <x:v>0.14</x:v>
      </x:c>
      <x:c r="E19" s="35" t="n">
        <x:v>181.18</x:v>
      </x:c>
    </x:row>
  </x:sheetData>
  <x:mergeCells>
    <x:mergeCell ref="A1:H1"/>
    <x:mergeCell ref="A14:E14"/>
    <x:mergeCell ref="G11:H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8" hidden="0" customWidth="1"/>
    <x:col min="4" max="4" width="14" hidden="0" customWidth="1"/>
    <x:col min="5" max="5" width="11" hidden="0" customWidth="1"/>
    <x:col min="6" max="6" width="10" hidden="0" customWidth="1"/>
    <x:col min="7" max="7" width="1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3" hidden="0" customWidth="1"/>
    <x:col min="15" max="15" width="15" hidden="0" customWidth="1"/>
    <x:col min="16" max="16" width="13" hidden="0" customWidth="1"/>
    <x:col min="17" max="17" width="13" hidden="0" customWidth="1"/>
    <x:col min="18" max="18" width="13" hidden="0" customWidth="1"/>
    <x:col min="19" max="19" width="16" hidden="0" customWidth="1"/>
    <x:col min="20" max="20" width="16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3" hidden="0" customWidth="1"/>
    <x:col min="27" max="27" width="18" hidden="0" customWidth="1"/>
    <x:col min="28" max="28" width="17" hidden="0" customWidth="1"/>
    <x:col min="29" max="29" width="16" hidden="0" customWidth="1"/>
    <x:col min="30" max="30" width="18" hidden="0" customWidth="1"/>
    <x:col min="31" max="31" width="16" hidden="0" customWidth="1"/>
    <x:col min="32" max="32" width="13" hidden="0" customWidth="1"/>
    <x:col min="33" max="33" width="15" hidden="0" customWidth="1"/>
    <x:col min="34" max="34" width="13" hidden="0" customWidth="1"/>
    <x:col min="35" max="35" width="16" hidden="0" customWidth="1"/>
    <x:col min="36" max="36" width="32" hidden="0" customWidth="1"/>
  </x:cols>
  <x:sheetData>
    <x:row r="1" ht="48" customHeight="1">
      <x:c r="A1" s="14" t="str">
        <x:v>Matrícula</x:v>
      </x:c>
      <x:c r="B1" s="14" t="str">
        <x:v>Nome</x:v>
      </x:c>
      <x:c r="C1" s="14" t="str">
        <x:v>Departamento</x:v>
      </x:c>
      <x:c r="D1" s="14" t="str">
        <x:v>Salário Base</x:v>
      </x:c>
      <x:c r="E1" s="14" t="str">
        <x:v>Faltas (dias)</x:v>
      </x:c>
      <x:c r="F1" s="14" t="str">
        <x:v>HE 50%</x:v>
      </x:c>
      <x:c r="G1" s="14" t="str">
        <x:v>HE 100%</x:v>
      </x:c>
      <x:c r="H1" s="14" t="str">
        <x:v>Comissões</x:v>
      </x:c>
      <x:c r="I1" s="14" t="str">
        <x:v>Bônus/Grat.</x:v>
      </x:c>
      <x:c r="J1" s="14" t="str">
        <x:v>Adicionais</x:v>
      </x:c>
      <x:c r="K1" s="14" t="str">
        <x:v>Créditos Extras</x:v>
      </x:c>
      <x:c r="L1" s="14" t="str">
        <x:v>Descontos Extras</x:v>
      </x:c>
      <x:c r="M1" s="14" t="str">
        <x:v>Valor Hora</x:v>
      </x:c>
      <x:c r="N1" s="14" t="str">
        <x:v>Desc. Falta</x:v>
      </x:c>
      <x:c r="O1" s="14" t="str">
        <x:v>Desc. DSR Falta</x:v>
      </x:c>
      <x:c r="P1" s="14" t="str">
        <x:v>Valor HE 50%</x:v>
      </x:c>
      <x:c r="Q1" s="14" t="str">
        <x:v>Valor HE 100%</x:v>
      </x:c>
      <x:c r="R1" s="14" t="str">
        <x:v>DSR s/ HE</x:v>
      </x:c>
      <x:c r="S1" s="14" t="str">
        <x:v>DSR s/ Comissão</x:v>
      </x:c>
      <x:c r="T1" s="14" t="str">
        <x:v>Bruto Calculado</x:v>
      </x:c>
      <x:c r="U1" s="14" t="str">
        <x:v>VT</x:v>
      </x:c>
      <x:c r="V1" s="14" t="str">
        <x:v>INSS</x:v>
      </x:c>
      <x:c r="W1" s="14" t="str">
        <x:v>IRRF</x:v>
      </x:c>
      <x:c r="X1" s="14" t="str">
        <x:v>VA/VR</x:v>
      </x:c>
      <x:c r="Y1" s="14" t="str">
        <x:v>Plano Saúde</x:v>
      </x:c>
      <x:c r="Z1" s="14" t="str">
        <x:v>Outros Fixos</x:v>
      </x:c>
      <x:c r="AA1" s="14" t="str">
        <x:v>Total Descontos Calc.</x:v>
      </x:c>
      <x:c r="AB1" s="14" t="str">
        <x:v>Líquido Calculado</x:v>
      </x:c>
      <x:c r="AC1" s="14" t="str">
        <x:v>Bruto Sistema</x:v>
      </x:c>
      <x:c r="AD1" s="14" t="str">
        <x:v>Descontos Sistema</x:v>
      </x:c>
      <x:c r="AE1" s="14" t="str">
        <x:v>Líquido Sistema</x:v>
      </x:c>
      <x:c r="AF1" s="14" t="str">
        <x:v>Dif. Bruto</x:v>
      </x:c>
      <x:c r="AG1" s="14" t="str">
        <x:v>Dif. Descontos</x:v>
      </x:c>
      <x:c r="AH1" s="14" t="str">
        <x:v>Dif. Líquido</x:v>
      </x:c>
      <x:c r="AI1" s="14" t="str">
        <x:v>Status Conferência</x:v>
      </x:c>
      <x:c r="AJ1" s="14" t="str">
        <x:v>Alerta</x:v>
      </x:c>
    </x:row>
    <x:row r="2">
      <x:c r="A2" s="93" t="n">
        <x:f>IF(Cadastro!A2="","",Cadastro!A2)</x:f>
        <x:v>1001</x:v>
      </x:c>
      <x:c r="B2" s="93" t="str">
        <x:f>IF(Cadastro!B2="","",Cadastro!B2)</x:f>
        <x:v>Camila Silva</x:v>
      </x:c>
      <x:c r="C2" s="93" t="str">
        <x:f>IF(Cadastro!F2="","",Cadastro!F2)</x:f>
        <x:v>Comercial</x:v>
      </x:c>
      <x:c r="D2" s="94" t="n">
        <x:f>IF(Cadastro!I2="","",Cadastro!I2)</x:f>
        <x:v>4800</x:v>
      </x:c>
      <x:c r="E2" s="95" t="n">
        <x:f>IF($A2="","",SUMIFS('Movimentações'!$D$2:$D$501,'Movimentações'!$A$2:$A$501,'Parâmetros'!$B$4,'Movimentações'!$B$2:$B$501,$A2,'Movimentações'!$C$2:$C$501,"Falta (dias)"))</x:f>
        <x:v>0</x:v>
      </x:c>
      <x:c r="F2" s="95" t="n">
        <x:f>IF($A2="","",SUMIFS('Movimentações'!$D$2:$D$501,'Movimentações'!$A$2:$A$501,'Parâmetros'!$B$4,'Movimentações'!$B$2:$B$501,$A2,'Movimentações'!$C$2:$C$501,"HE 50% (horas)"))</x:f>
        <x:v>8</x:v>
      </x:c>
      <x:c r="G2" s="95" t="n">
        <x:f>IF($A2="","",SUMIFS('Movimentações'!$D$2:$D$501,'Movimentações'!$A$2:$A$501,'Parâmetros'!$B$4,'Movimentações'!$B$2:$B$501,$A2,'Movimentações'!$C$2:$C$501,"HE 100% (horas)"))</x:f>
        <x:v>0</x:v>
      </x:c>
      <x:c r="H2" s="94" t="n">
        <x:f>IF($A2="","",SUMIFS('Movimentações'!$E$2:$E$501,'Movimentações'!$A$2:$A$501,'Parâmetros'!$B$4,'Movimentações'!$B$2:$B$501,$A2,'Movimentações'!$C$2:$C$501,"Comissão"))</x:f>
        <x:v>4200</x:v>
      </x:c>
      <x:c r="I2" s="94" t="n">
        <x:f>IF($A2="","",SUMIFS('Movimentações'!$E$2:$E$501,'Movimentações'!$A$2:$A$501,'Parâmetros'!$B$4,'Movimentações'!$B$2:$B$501,$A2,'Movimentações'!$C$2:$C$501,"Bônus/Gratificação"))</x:f>
        <x:v>0</x:v>
      </x:c>
      <x:c r="J2" s="94" t="n">
        <x:f>IF($A2="","",SUMIFS('Movimentações'!$E$2:$E$501,'Movimentações'!$A$2:$A$501,'Parâmetros'!$B$4,'Movimentações'!$B$2:$B$501,$A2,'Movimentações'!$C$2:$C$501,"Adicional"))</x:f>
        <x:v>0</x:v>
      </x:c>
      <x:c r="K2" s="94" t="n">
        <x:f>IF($A2="","",SUMIFS('Movimentações'!$E$2:$E$501,'Movimentações'!$A$2:$A$501,'Parâmetros'!$B$4,'Movimentações'!$B$2:$B$501,$A2,'Movimentações'!$C$2:$C$501,"Crédito Extra"))</x:f>
        <x:v>0</x:v>
      </x:c>
      <x:c r="L2" s="94" t="n">
        <x:f>IF($A2="","",SUMIFS('Movimentações'!$E$2:$E$501,'Movimentações'!$A$2:$A$501,'Parâmetros'!$B$4,'Movimentações'!$B$2:$B$501,$A2,'Movimentações'!$C$2:$C$501,"Desconto Extra"))</x:f>
        <x:v>0</x:v>
      </x:c>
      <x:c r="M2" s="96" t="n">
        <x:f>IF($A2="","",D2/IF(Cadastro!J2=0,'Parâmetros'!$B$12,Cadastro!J2))</x:f>
        <x:v>21.818181818181817</x:v>
      </x:c>
      <x:c r="N2" s="96" t="n">
        <x:f>IF($A2="","",(D2/'Parâmetros'!$B$7)*E2)</x:f>
        <x:v>0</x:v>
      </x:c>
      <x:c r="O2" s="96" t="n">
        <x:f>IF($A2="","",IF(E2&gt;0,D2/'Parâmetros'!$B$7,0))</x:f>
        <x:v>0</x:v>
      </x:c>
      <x:c r="P2" s="96" t="n">
        <x:f>IF($A2="","",(M2*'Parâmetros'!$B$10)*F2)</x:f>
        <x:v>261.8181818181818</x:v>
      </x:c>
      <x:c r="Q2" s="96" t="n">
        <x:f>IF($A2="","",(M2*'Parâmetros'!$B$11)*G2)</x:f>
        <x:v>0</x:v>
      </x:c>
      <x:c r="R2" s="96" t="n">
        <x:f>IF($A2="","",((P2+Q2)/'Parâmetros'!$B$5)*'Parâmetros'!$B$6)</x:f>
        <x:v>47.603305785123965</x:v>
      </x:c>
      <x:c r="S2" s="96" t="n">
        <x:f>IF($A2="","",(H2/'Parâmetros'!$B$5)*'Parâmetros'!$B$6)</x:f>
        <x:v>763.6363636363636</x:v>
      </x:c>
      <x:c r="T2" s="96" t="n">
        <x:f>IF($A2="","",D2-N2-O2+H2+I2+J2+K2+P2+Q2+R2+S2)</x:f>
        <x:v>10073.05785123967</x:v>
      </x:c>
      <x:c r="U2" s="96" t="n">
        <x:f>IF($A2="","",MIN(D2*'Parâmetros'!$B$9,Cadastro!L2))</x:f>
        <x:v>280</x:v>
      </x:c>
      <x:c r="V2" s="96" t="n">
        <x:f>IF($A2="","",IF(T2&lt;='Parâmetros'!$C$16,T2*'Parâmetros'!$D$16,IF(T2&lt;='Parâmetros'!$C$17,T2*'Parâmetros'!$D$17-'Parâmetros'!$E$17,IF(T2&lt;='Parâmetros'!$C$18,T2*'Parâmetros'!$D$18-'Parâmetros'!$E$18,IF(T2&lt;='Parâmetros'!$C$19,T2*'Parâmetros'!$D$19-'Parâmetros'!$E$19,'Parâmetros'!$C$19*'Parâmetros'!$D$19-'Parâmetros'!$E$19)))))</x:f>
        <x:v>908.8628000000001</x:v>
      </x:c>
      <x:c r="W2" s="96" t="n">
        <x:f>IF($A2="","",MAX(0,((T2-V2-(Cadastro!K2*'Parâmetros'!$H$6))*'Parâmetros'!$H$4)-'Parâmetros'!$H$5))</x:f>
        <x:v>0</x:v>
      </x:c>
      <x:c r="X2" s="96" t="n">
        <x:f>IF($A2="","",Cadastro!M2)</x:f>
        <x:v>120</x:v>
      </x:c>
      <x:c r="Y2" s="96" t="n">
        <x:f>IF($A2="","",Cadastro!N2)</x:f>
        <x:v>180</x:v>
      </x:c>
      <x:c r="Z2" s="96" t="n">
        <x:f>IF($A2="","",Cadastro!O2)</x:f>
        <x:v>0</x:v>
      </x:c>
      <x:c r="AA2" s="96" t="n">
        <x:f>IF($A2="","",N2+O2+U2+V2+W2+X2+Y2+Z2+L2)</x:f>
        <x:v>1488.8628</x:v>
      </x:c>
      <x:c r="AB2" s="96" t="n">
        <x:f>IF($A2="","",T2-(U2+V2+W2+X2+Y2+Z2+L2))</x:f>
        <x:v>8584.195051239669</x:v>
      </x:c>
      <x:c r="AC2" s="88" t="n">
        <x:f>IF($A2="","",SUMIFS('Importação Contabilidade'!$T$7:$T$500,'Importação Contabilidade'!$A$7:$A$500,'Parâmetros'!$B$4,'Importação Contabilidade'!$B$7:$B$500,$A2))</x:f>
        <x:v>10073.06</x:v>
      </x:c>
      <x:c r="AD2" s="88" t="n">
        <x:f>IF($A2="","",SUMIFS('Importação Contabilidade'!$U$7:$U$500,'Importação Contabilidade'!$A$7:$A$500,'Parâmetros'!$B$4,'Importação Contabilidade'!$B$7:$B$500,$A2))</x:f>
        <x:v>1488.86</x:v>
      </x:c>
      <x:c r="AE2" s="88" t="n">
        <x:f>IF($A2="","",SUMIFS('Importação Contabilidade'!$V$7:$V$500,'Importação Contabilidade'!$A$7:$A$500,'Parâmetros'!$B$4,'Importação Contabilidade'!$B$7:$B$500,$A2))</x:f>
        <x:v>8584.2</x:v>
      </x:c>
      <x:c r="AF2" s="97" t="n">
        <x:f>IF($A2="","",T2-AC2)</x:f>
        <x:v>-0.0021487603298737668</x:v>
      </x:c>
      <x:c r="AG2" s="97" t="n">
        <x:f>IF($A2="","",AA2-AD2)</x:f>
        <x:v>0.002800000000206637</x:v>
      </x:c>
      <x:c r="AH2" s="97" t="n">
        <x:f>IF($A2="","",AB2-AE2)</x:f>
        <x:v>-0.004948760331899393</x:v>
      </x:c>
      <x:c r="AI2" s="98" t="str">
        <x:f>IF($A2="","",IF(COUNTIFS('Importação Contabilidade'!$A$7:$A$500,'Parâmetros'!$B$4,'Importação Contabilidade'!$B$7:$B$500,$A2)=0,"PENDENTE IMPORTAÇÃO",IF(AND(ABS(AF2)&lt;='Parâmetros'!$B$8,ABS(AG2)&lt;='Parâmetros'!$B$8,ABS(AH2)&lt;='Parâmetros'!$B$8),"OK","REVISAR")))</x:f>
        <x:v>OK</x:v>
      </x:c>
      <x:c r="AJ2" s="98" t="str">
        <x:f>IF($A2="","",IF(AI2="PENDENTE IMPORTAÇÃO","Funcionário/competência não encontrados na Importação Contabilidade",IF(AI2="OK","Sem divergência relevante",IF(ABS(AH2)&gt;=MAX(ABS(AF2),ABS(AG2)),"Revisar salário líquido",IF(ABS(AF2)&gt;=ABS(AG2),"Revisar bruto/proventos","Revisar descontos")))))</x:f>
        <x:v>Sem divergência relevante</x:v>
      </x:c>
    </x:row>
    <x:row r="3">
      <x:c r="A3" s="93" t="n">
        <x:f>IF(Cadastro!A3="","",Cadastro!A3)</x:f>
        <x:v>1002</x:v>
      </x:c>
      <x:c r="B3" s="93" t="str">
        <x:f>IF(Cadastro!B3="","",Cadastro!B3)</x:f>
        <x:v>João Santos</x:v>
      </x:c>
      <x:c r="C3" s="93" t="str">
        <x:f>IF(Cadastro!F3="","",Cadastro!F3)</x:f>
        <x:v>Comercial</x:v>
      </x:c>
      <x:c r="D3" s="94" t="n">
        <x:f>IF(Cadastro!I3="","",Cadastro!I3)</x:f>
        <x:v>5200</x:v>
      </x:c>
      <x:c r="E3" s="95" t="n">
        <x:f>IF($A3="","",SUMIFS('Movimentações'!$D$2:$D$501,'Movimentações'!$A$2:$A$501,'Parâmetros'!$B$4,'Movimentações'!$B$2:$B$501,$A3,'Movimentações'!$C$2:$C$501,"Falta (dias)"))</x:f>
        <x:v>0</x:v>
      </x:c>
      <x:c r="F3" s="95" t="n">
        <x:f>IF($A3="","",SUMIFS('Movimentações'!$D$2:$D$501,'Movimentações'!$A$2:$A$501,'Parâmetros'!$B$4,'Movimentações'!$B$2:$B$501,$A3,'Movimentações'!$C$2:$C$501,"HE 50% (horas)"))</x:f>
        <x:v>5</x:v>
      </x:c>
      <x:c r="G3" s="95" t="n">
        <x:f>IF($A3="","",SUMIFS('Movimentações'!$D$2:$D$501,'Movimentações'!$A$2:$A$501,'Parâmetros'!$B$4,'Movimentações'!$B$2:$B$501,$A3,'Movimentações'!$C$2:$C$501,"HE 100% (horas)"))</x:f>
        <x:v>0</x:v>
      </x:c>
      <x:c r="H3" s="94" t="n">
        <x:f>IF($A3="","",SUMIFS('Movimentações'!$E$2:$E$501,'Movimentações'!$A$2:$A$501,'Parâmetros'!$B$4,'Movimentações'!$B$2:$B$501,$A3,'Movimentações'!$C$2:$C$501,"Comissão"))</x:f>
        <x:v>5100</x:v>
      </x:c>
      <x:c r="I3" s="94" t="n">
        <x:f>IF($A3="","",SUMIFS('Movimentações'!$E$2:$E$501,'Movimentações'!$A$2:$A$501,'Parâmetros'!$B$4,'Movimentações'!$B$2:$B$501,$A3,'Movimentações'!$C$2:$C$501,"Bônus/Gratificação"))</x:f>
        <x:v>800</x:v>
      </x:c>
      <x:c r="J3" s="94" t="n">
        <x:f>IF($A3="","",SUMIFS('Movimentações'!$E$2:$E$501,'Movimentações'!$A$2:$A$501,'Parâmetros'!$B$4,'Movimentações'!$B$2:$B$501,$A3,'Movimentações'!$C$2:$C$501,"Adicional"))</x:f>
        <x:v>0</x:v>
      </x:c>
      <x:c r="K3" s="94" t="n">
        <x:f>IF($A3="","",SUMIFS('Movimentações'!$E$2:$E$501,'Movimentações'!$A$2:$A$501,'Parâmetros'!$B$4,'Movimentações'!$B$2:$B$501,$A3,'Movimentações'!$C$2:$C$501,"Crédito Extra"))</x:f>
        <x:v>0</x:v>
      </x:c>
      <x:c r="L3" s="94" t="n">
        <x:f>IF($A3="","",SUMIFS('Movimentações'!$E$2:$E$501,'Movimentações'!$A$2:$A$501,'Parâmetros'!$B$4,'Movimentações'!$B$2:$B$501,$A3,'Movimentações'!$C$2:$C$501,"Desconto Extra"))</x:f>
        <x:v>0</x:v>
      </x:c>
      <x:c r="M3" s="96" t="n">
        <x:f>IF($A3="","",D3/IF(Cadastro!J3=0,'Parâmetros'!$B$12,Cadastro!J3))</x:f>
        <x:v>23.636363636363637</x:v>
      </x:c>
      <x:c r="N3" s="96" t="n">
        <x:f>IF($A3="","",(D3/'Parâmetros'!$B$7)*E3)</x:f>
        <x:v>0</x:v>
      </x:c>
      <x:c r="O3" s="96" t="n">
        <x:f>IF($A3="","",IF(E3&gt;0,D3/'Parâmetros'!$B$7,0))</x:f>
        <x:v>0</x:v>
      </x:c>
      <x:c r="P3" s="96" t="n">
        <x:f>IF($A3="","",(M3*'Parâmetros'!$B$10)*F3)</x:f>
        <x:v>177.27272727272725</x:v>
      </x:c>
      <x:c r="Q3" s="96" t="n">
        <x:f>IF($A3="","",(M3*'Parâmetros'!$B$11)*G3)</x:f>
        <x:v>0</x:v>
      </x:c>
      <x:c r="R3" s="96" t="n">
        <x:f>IF($A3="","",((P3+Q3)/'Parâmetros'!$B$5)*'Parâmetros'!$B$6)</x:f>
        <x:v>32.23140495867768</x:v>
      </x:c>
      <x:c r="S3" s="96" t="n">
        <x:f>IF($A3="","",(H3/'Parâmetros'!$B$5)*'Parâmetros'!$B$6)</x:f>
        <x:v>927.2727272727273</x:v>
      </x:c>
      <x:c r="T3" s="96" t="n">
        <x:f>IF($A3="","",D3-N3-O3+H3+I3+J3+K3+P3+Q3+R3+S3)</x:f>
        <x:v>12236.776859504134</x:v>
      </x:c>
      <x:c r="U3" s="96" t="n">
        <x:f>IF($A3="","",MIN(D3*'Parâmetros'!$B$9,Cadastro!L3))</x:f>
        <x:v>312</x:v>
      </x:c>
      <x:c r="V3" s="96" t="n">
        <x:f>IF($A3="","",IF(T3&lt;='Parâmetros'!$C$16,T3*'Parâmetros'!$D$16,IF(T3&lt;='Parâmetros'!$C$17,T3*'Parâmetros'!$D$17-'Parâmetros'!$E$17,IF(T3&lt;='Parâmetros'!$C$18,T3*'Parâmetros'!$D$18-'Parâmetros'!$E$18,IF(T3&lt;='Parâmetros'!$C$19,T3*'Parâmetros'!$D$19-'Parâmetros'!$E$19,'Parâmetros'!$C$19*'Parâmetros'!$D$19-'Parâmetros'!$E$19)))))</x:f>
        <x:v>908.8628000000001</x:v>
      </x:c>
      <x:c r="W3" s="96" t="n">
        <x:f>IF($A3="","",MAX(0,((T3-V3-(Cadastro!K3*'Parâmetros'!$H$6))*'Parâmetros'!$H$4)-'Parâmetros'!$H$5))</x:f>
        <x:v>0</x:v>
      </x:c>
      <x:c r="X3" s="96" t="n">
        <x:f>IF($A3="","",Cadastro!M3)</x:f>
        <x:v>120</x:v>
      </x:c>
      <x:c r="Y3" s="96" t="n">
        <x:f>IF($A3="","",Cadastro!N3)</x:f>
        <x:v>220</x:v>
      </x:c>
      <x:c r="Z3" s="96" t="n">
        <x:f>IF($A3="","",Cadastro!O3)</x:f>
        <x:v>0</x:v>
      </x:c>
      <x:c r="AA3" s="96" t="n">
        <x:f>IF($A3="","",N3+O3+U3+V3+W3+X3+Y3+Z3+L3)</x:f>
        <x:v>1560.8628</x:v>
      </x:c>
      <x:c r="AB3" s="96" t="n">
        <x:f>IF($A3="","",T3-(U3+V3+W3+X3+Y3+Z3+L3))</x:f>
        <x:v>10675.914059504134</x:v>
      </x:c>
      <x:c r="AC3" s="88" t="n">
        <x:f>IF($A3="","",SUMIFS('Importação Contabilidade'!$T$7:$T$500,'Importação Contabilidade'!$A$7:$A$500,'Parâmetros'!$B$4,'Importação Contabilidade'!$B$7:$B$500,$A3))</x:f>
        <x:v>12236.78</x:v>
      </x:c>
      <x:c r="AD3" s="88" t="n">
        <x:f>IF($A3="","",SUMIFS('Importação Contabilidade'!$U$7:$U$500,'Importação Contabilidade'!$A$7:$A$500,'Parâmetros'!$B$4,'Importação Contabilidade'!$B$7:$B$500,$A3))</x:f>
        <x:v>1560.86</x:v>
      </x:c>
      <x:c r="AE3" s="88" t="n">
        <x:f>IF($A3="","",SUMIFS('Importação Contabilidade'!$V$7:$V$500,'Importação Contabilidade'!$A$7:$A$500,'Parâmetros'!$B$4,'Importação Contabilidade'!$B$7:$B$500,$A3))</x:f>
        <x:v>10675.91</x:v>
      </x:c>
      <x:c r="AF3" s="97" t="n">
        <x:f>IF($A3="","",T3-AC3)</x:f>
        <x:v>-0.0031404958663188154</x:v>
      </x:c>
      <x:c r="AG3" s="97" t="n">
        <x:f>IF($A3="","",AA3-AD3)</x:f>
        <x:v>0.002800000000206637</x:v>
      </x:c>
      <x:c r="AH3" s="97" t="n">
        <x:f>IF($A3="","",AB3-AE3)</x:f>
        <x:v>0.004059504133692826</x:v>
      </x:c>
      <x:c r="AI3" s="98" t="str">
        <x:f>IF($A3="","",IF(COUNTIFS('Importação Contabilidade'!$A$7:$A$500,'Parâmetros'!$B$4,'Importação Contabilidade'!$B$7:$B$500,$A3)=0,"PENDENTE IMPORTAÇÃO",IF(AND(ABS(AF3)&lt;='Parâmetros'!$B$8,ABS(AG3)&lt;='Parâmetros'!$B$8,ABS(AH3)&lt;='Parâmetros'!$B$8),"OK","REVISAR")))</x:f>
        <x:v>OK</x:v>
      </x:c>
      <x:c r="AJ3" s="98" t="str">
        <x:f>IF($A3="","",IF(AI3="PENDENTE IMPORTAÇÃO","Funcionário/competência não encontrados na Importação Contabilidade",IF(AI3="OK","Sem divergência relevante",IF(ABS(AH3)&gt;=MAX(ABS(AF3),ABS(AG3)),"Revisar salário líquido",IF(ABS(AF3)&gt;=ABS(AG3),"Revisar bruto/proventos","Revisar descontos")))))</x:f>
        <x:v>Sem divergência relevante</x:v>
      </x:c>
    </x:row>
    <x:row r="4">
      <x:c r="A4" s="93" t="n">
        <x:f>IF(Cadastro!A4="","",Cadastro!A4)</x:f>
        <x:v>1003</x:v>
      </x:c>
      <x:c r="B4" s="93" t="str">
        <x:f>IF(Cadastro!B4="","",Cadastro!B4)</x:f>
        <x:v>Maria Lima</x:v>
      </x:c>
      <x:c r="C4" s="93" t="str">
        <x:f>IF(Cadastro!F4="","",Cadastro!F4)</x:f>
        <x:v>Comercial</x:v>
      </x:c>
      <x:c r="D4" s="94" t="n">
        <x:f>IF(Cadastro!I4="","",Cadastro!I4)</x:f>
        <x:v>9800</x:v>
      </x:c>
      <x:c r="E4" s="95" t="n">
        <x:f>IF($A4="","",SUMIFS('Movimentações'!$D$2:$D$501,'Movimentações'!$A$2:$A$501,'Parâmetros'!$B$4,'Movimentações'!$B$2:$B$501,$A4,'Movimentações'!$C$2:$C$501,"Falta (dias)"))</x:f>
        <x:v>0</x:v>
      </x:c>
      <x:c r="F4" s="95" t="n">
        <x:f>IF($A4="","",SUMIFS('Movimentações'!$D$2:$D$501,'Movimentações'!$A$2:$A$501,'Parâmetros'!$B$4,'Movimentações'!$B$2:$B$501,$A4,'Movimentações'!$C$2:$C$501,"HE 50% (horas)"))</x:f>
        <x:v>0</x:v>
      </x:c>
      <x:c r="G4" s="95" t="n">
        <x:f>IF($A4="","",SUMIFS('Movimentações'!$D$2:$D$501,'Movimentações'!$A$2:$A$501,'Parâmetros'!$B$4,'Movimentações'!$B$2:$B$501,$A4,'Movimentações'!$C$2:$C$501,"HE 100% (horas)"))</x:f>
        <x:v>0</x:v>
      </x:c>
      <x:c r="H4" s="94" t="n">
        <x:f>IF($A4="","",SUMIFS('Movimentações'!$E$2:$E$501,'Movimentações'!$A$2:$A$501,'Parâmetros'!$B$4,'Movimentações'!$B$2:$B$501,$A4,'Movimentações'!$C$2:$C$501,"Comissão"))</x:f>
        <x:v>0</x:v>
      </x:c>
      <x:c r="I4" s="94" t="n">
        <x:f>IF($A4="","",SUMIFS('Movimentações'!$E$2:$E$501,'Movimentações'!$A$2:$A$501,'Parâmetros'!$B$4,'Movimentações'!$B$2:$B$501,$A4,'Movimentações'!$C$2:$C$501,"Bônus/Gratificação"))</x:f>
        <x:v>1500</x:v>
      </x:c>
      <x:c r="J4" s="94" t="n">
        <x:f>IF($A4="","",SUMIFS('Movimentações'!$E$2:$E$501,'Movimentações'!$A$2:$A$501,'Parâmetros'!$B$4,'Movimentações'!$B$2:$B$501,$A4,'Movimentações'!$C$2:$C$501,"Adicional"))</x:f>
        <x:v>0</x:v>
      </x:c>
      <x:c r="K4" s="94" t="n">
        <x:f>IF($A4="","",SUMIFS('Movimentações'!$E$2:$E$501,'Movimentações'!$A$2:$A$501,'Parâmetros'!$B$4,'Movimentações'!$B$2:$B$501,$A4,'Movimentações'!$C$2:$C$501,"Crédito Extra"))</x:f>
        <x:v>0</x:v>
      </x:c>
      <x:c r="L4" s="94" t="n">
        <x:f>IF($A4="","",SUMIFS('Movimentações'!$E$2:$E$501,'Movimentações'!$A$2:$A$501,'Parâmetros'!$B$4,'Movimentações'!$B$2:$B$501,$A4,'Movimentações'!$C$2:$C$501,"Desconto Extra"))</x:f>
        <x:v>0</x:v>
      </x:c>
      <x:c r="M4" s="96" t="n">
        <x:f>IF($A4="","",D4/IF(Cadastro!J4=0,'Parâmetros'!$B$12,Cadastro!J4))</x:f>
        <x:v>44.54545454545455</x:v>
      </x:c>
      <x:c r="N4" s="96" t="n">
        <x:f>IF($A4="","",(D4/'Parâmetros'!$B$7)*E4)</x:f>
        <x:v>0</x:v>
      </x:c>
      <x:c r="O4" s="96" t="n">
        <x:f>IF($A4="","",IF(E4&gt;0,D4/'Parâmetros'!$B$7,0))</x:f>
        <x:v>0</x:v>
      </x:c>
      <x:c r="P4" s="96" t="n">
        <x:f>IF($A4="","",(M4*'Parâmetros'!$B$10)*F4)</x:f>
        <x:v>0</x:v>
      </x:c>
      <x:c r="Q4" s="96" t="n">
        <x:f>IF($A4="","",(M4*'Parâmetros'!$B$11)*G4)</x:f>
        <x:v>0</x:v>
      </x:c>
      <x:c r="R4" s="96" t="n">
        <x:f>IF($A4="","",((P4+Q4)/'Parâmetros'!$B$5)*'Parâmetros'!$B$6)</x:f>
        <x:v>0</x:v>
      </x:c>
      <x:c r="S4" s="96" t="n">
        <x:f>IF($A4="","",(H4/'Parâmetros'!$B$5)*'Parâmetros'!$B$6)</x:f>
        <x:v>0</x:v>
      </x:c>
      <x:c r="T4" s="96" t="n">
        <x:f>IF($A4="","",D4-N4-O4+H4+I4+J4+K4+P4+Q4+R4+S4)</x:f>
        <x:v>11300</x:v>
      </x:c>
      <x:c r="U4" s="96" t="n">
        <x:f>IF($A4="","",MIN(D4*'Parâmetros'!$B$9,Cadastro!L4))</x:f>
        <x:v>0</x:v>
      </x:c>
      <x:c r="V4" s="96" t="n">
        <x:f>IF($A4="","",IF(T4&lt;='Parâmetros'!$C$16,T4*'Parâmetros'!$D$16,IF(T4&lt;='Parâmetros'!$C$17,T4*'Parâmetros'!$D$17-'Parâmetros'!$E$17,IF(T4&lt;='Parâmetros'!$C$18,T4*'Parâmetros'!$D$18-'Parâmetros'!$E$18,IF(T4&lt;='Parâmetros'!$C$19,T4*'Parâmetros'!$D$19-'Parâmetros'!$E$19,'Parâmetros'!$C$19*'Parâmetros'!$D$19-'Parâmetros'!$E$19)))))</x:f>
        <x:v>908.8628000000001</x:v>
      </x:c>
      <x:c r="W4" s="96" t="n">
        <x:f>IF($A4="","",MAX(0,((T4-V4-(Cadastro!K4*'Parâmetros'!$H$6))*'Parâmetros'!$H$4)-'Parâmetros'!$H$5))</x:f>
        <x:v>0</x:v>
      </x:c>
      <x:c r="X4" s="96" t="n">
        <x:f>IF($A4="","",Cadastro!M4)</x:f>
        <x:v>180</x:v>
      </x:c>
      <x:c r="Y4" s="96" t="n">
        <x:f>IF($A4="","",Cadastro!N4)</x:f>
        <x:v>250</x:v>
      </x:c>
      <x:c r="Z4" s="96" t="n">
        <x:f>IF($A4="","",Cadastro!O4)</x:f>
        <x:v>0</x:v>
      </x:c>
      <x:c r="AA4" s="96" t="n">
        <x:f>IF($A4="","",N4+O4+U4+V4+W4+X4+Y4+Z4+L4)</x:f>
        <x:v>1338.8628</x:v>
      </x:c>
      <x:c r="AB4" s="96" t="n">
        <x:f>IF($A4="","",T4-(U4+V4+W4+X4+Y4+Z4+L4))</x:f>
        <x:v>9961.1372</x:v>
      </x:c>
      <x:c r="AC4" s="88" t="n">
        <x:f>IF($A4="","",SUMIFS('Importação Contabilidade'!$T$7:$T$500,'Importação Contabilidade'!$A$7:$A$500,'Parâmetros'!$B$4,'Importação Contabilidade'!$B$7:$B$500,$A4))</x:f>
        <x:v>11300</x:v>
      </x:c>
      <x:c r="AD4" s="88" t="n">
        <x:f>IF($A4="","",SUMIFS('Importação Contabilidade'!$U$7:$U$500,'Importação Contabilidade'!$A$7:$A$500,'Parâmetros'!$B$4,'Importação Contabilidade'!$B$7:$B$500,$A4))</x:f>
        <x:v>1338.86</x:v>
      </x:c>
      <x:c r="AE4" s="88" t="n">
        <x:f>IF($A4="","",SUMIFS('Importação Contabilidade'!$V$7:$V$500,'Importação Contabilidade'!$A$7:$A$500,'Parâmetros'!$B$4,'Importação Contabilidade'!$B$7:$B$500,$A4))</x:f>
        <x:v>9961.14</x:v>
      </x:c>
      <x:c r="AF4" s="97" t="n">
        <x:f>IF($A4="","",T4-AC4)</x:f>
        <x:v>0</x:v>
      </x:c>
      <x:c r="AG4" s="97" t="n">
        <x:f>IF($A4="","",AA4-AD4)</x:f>
        <x:v>0.002800000000206637</x:v>
      </x:c>
      <x:c r="AH4" s="97" t="n">
        <x:f>IF($A4="","",AB4-AE4)</x:f>
        <x:v>-0.002800000000206637</x:v>
      </x:c>
      <x:c r="AI4" s="98" t="str">
        <x:f>IF($A4="","",IF(COUNTIFS('Importação Contabilidade'!$A$7:$A$500,'Parâmetros'!$B$4,'Importação Contabilidade'!$B$7:$B$500,$A4)=0,"PENDENTE IMPORTAÇÃO",IF(AND(ABS(AF4)&lt;='Parâmetros'!$B$8,ABS(AG4)&lt;='Parâmetros'!$B$8,ABS(AH4)&lt;='Parâmetros'!$B$8),"OK","REVISAR")))</x:f>
        <x:v>OK</x:v>
      </x:c>
      <x:c r="AJ4" s="98" t="str">
        <x:f>IF($A4="","",IF(AI4="PENDENTE IMPORTAÇÃO","Funcionário/competência não encontrados na Importação Contabilidade",IF(AI4="OK","Sem divergência relevante",IF(ABS(AH4)&gt;=MAX(ABS(AF4),ABS(AG4)),"Revisar salário líquido",IF(ABS(AF4)&gt;=ABS(AG4),"Revisar bruto/proventos","Revisar descontos")))))</x:f>
        <x:v>Sem divergência relevante</x:v>
      </x:c>
    </x:row>
    <x:row r="5">
      <x:c r="A5" s="93" t="n">
        <x:f>IF(Cadastro!A5="","",Cadastro!A5)</x:f>
        <x:v>1004</x:v>
      </x:c>
      <x:c r="B5" s="93" t="str">
        <x:f>IF(Cadastro!B5="","",Cadastro!B5)</x:f>
        <x:v>Rafael Oliveira</x:v>
      </x:c>
      <x:c r="C5" s="93" t="str">
        <x:f>IF(Cadastro!F5="","",Cadastro!F5)</x:f>
        <x:v>Comercial</x:v>
      </x:c>
      <x:c r="D5" s="94" t="n">
        <x:f>IF(Cadastro!I5="","",Cadastro!I5)</x:f>
        <x:v>4600</x:v>
      </x:c>
      <x:c r="E5" s="95" t="n">
        <x:f>IF($A5="","",SUMIFS('Movimentações'!$D$2:$D$501,'Movimentações'!$A$2:$A$501,'Parâmetros'!$B$4,'Movimentações'!$B$2:$B$501,$A5,'Movimentações'!$C$2:$C$501,"Falta (dias)"))</x:f>
        <x:v>1</x:v>
      </x:c>
      <x:c r="F5" s="95" t="n">
        <x:f>IF($A5="","",SUMIFS('Movimentações'!$D$2:$D$501,'Movimentações'!$A$2:$A$501,'Parâmetros'!$B$4,'Movimentações'!$B$2:$B$501,$A5,'Movimentações'!$C$2:$C$501,"HE 50% (horas)"))</x:f>
        <x:v>0</x:v>
      </x:c>
      <x:c r="G5" s="95" t="n">
        <x:f>IF($A5="","",SUMIFS('Movimentações'!$D$2:$D$501,'Movimentações'!$A$2:$A$501,'Parâmetros'!$B$4,'Movimentações'!$B$2:$B$501,$A5,'Movimentações'!$C$2:$C$501,"HE 100% (horas)"))</x:f>
        <x:v>0</x:v>
      </x:c>
      <x:c r="H5" s="94" t="n">
        <x:f>IF($A5="","",SUMIFS('Movimentações'!$E$2:$E$501,'Movimentações'!$A$2:$A$501,'Parâmetros'!$B$4,'Movimentações'!$B$2:$B$501,$A5,'Movimentações'!$C$2:$C$501,"Comissão"))</x:f>
        <x:v>3600</x:v>
      </x:c>
      <x:c r="I5" s="94" t="n">
        <x:f>IF($A5="","",SUMIFS('Movimentações'!$E$2:$E$501,'Movimentações'!$A$2:$A$501,'Parâmetros'!$B$4,'Movimentações'!$B$2:$B$501,$A5,'Movimentações'!$C$2:$C$501,"Bônus/Gratificação"))</x:f>
        <x:v>0</x:v>
      </x:c>
      <x:c r="J5" s="94" t="n">
        <x:f>IF($A5="","",SUMIFS('Movimentações'!$E$2:$E$501,'Movimentações'!$A$2:$A$501,'Parâmetros'!$B$4,'Movimentações'!$B$2:$B$501,$A5,'Movimentações'!$C$2:$C$501,"Adicional"))</x:f>
        <x:v>0</x:v>
      </x:c>
      <x:c r="K5" s="94" t="n">
        <x:f>IF($A5="","",SUMIFS('Movimentações'!$E$2:$E$501,'Movimentações'!$A$2:$A$501,'Parâmetros'!$B$4,'Movimentações'!$B$2:$B$501,$A5,'Movimentações'!$C$2:$C$501,"Crédito Extra"))</x:f>
        <x:v>0</x:v>
      </x:c>
      <x:c r="L5" s="94" t="n">
        <x:f>IF($A5="","",SUMIFS('Movimentações'!$E$2:$E$501,'Movimentações'!$A$2:$A$501,'Parâmetros'!$B$4,'Movimentações'!$B$2:$B$501,$A5,'Movimentações'!$C$2:$C$501,"Desconto Extra"))</x:f>
        <x:v>0</x:v>
      </x:c>
      <x:c r="M5" s="96" t="n">
        <x:f>IF($A5="","",D5/IF(Cadastro!J5=0,'Parâmetros'!$B$12,Cadastro!J5))</x:f>
        <x:v>20.90909090909091</x:v>
      </x:c>
      <x:c r="N5" s="96" t="n">
        <x:f>IF($A5="","",(D5/'Parâmetros'!$B$7)*E5)</x:f>
        <x:v>153.33333333333334</x:v>
      </x:c>
      <x:c r="O5" s="96" t="n">
        <x:f>IF($A5="","",IF(E5&gt;0,D5/'Parâmetros'!$B$7,0))</x:f>
        <x:v>153.33333333333334</x:v>
      </x:c>
      <x:c r="P5" s="96" t="n">
        <x:f>IF($A5="","",(M5*'Parâmetros'!$B$10)*F5)</x:f>
        <x:v>0</x:v>
      </x:c>
      <x:c r="Q5" s="96" t="n">
        <x:f>IF($A5="","",(M5*'Parâmetros'!$B$11)*G5)</x:f>
        <x:v>0</x:v>
      </x:c>
      <x:c r="R5" s="96" t="n">
        <x:f>IF($A5="","",((P5+Q5)/'Parâmetros'!$B$5)*'Parâmetros'!$B$6)</x:f>
        <x:v>0</x:v>
      </x:c>
      <x:c r="S5" s="96" t="n">
        <x:f>IF($A5="","",(H5/'Parâmetros'!$B$5)*'Parâmetros'!$B$6)</x:f>
        <x:v>654.5454545454545</x:v>
      </x:c>
      <x:c r="T5" s="96" t="n">
        <x:f>IF($A5="","",D5-N5-O5+H5+I5+J5+K5+P5+Q5+R5+S5)</x:f>
        <x:v>8547.878787878788</x:v>
      </x:c>
      <x:c r="U5" s="96" t="n">
        <x:f>IF($A5="","",MIN(D5*'Parâmetros'!$B$9,Cadastro!L5))</x:f>
        <x:v>276</x:v>
      </x:c>
      <x:c r="V5" s="96" t="n">
        <x:f>IF($A5="","",IF(T5&lt;='Parâmetros'!$C$16,T5*'Parâmetros'!$D$16,IF(T5&lt;='Parâmetros'!$C$17,T5*'Parâmetros'!$D$17-'Parâmetros'!$E$17,IF(T5&lt;='Parâmetros'!$C$18,T5*'Parâmetros'!$D$18-'Parâmetros'!$E$18,IF(T5&lt;='Parâmetros'!$C$19,T5*'Parâmetros'!$D$19-'Parâmetros'!$E$19,'Parâmetros'!$C$19*'Parâmetros'!$D$19-'Parâmetros'!$E$19)))))</x:f>
        <x:v>908.8628000000001</x:v>
      </x:c>
      <x:c r="W5" s="96" t="n">
        <x:f>IF($A5="","",MAX(0,((T5-V5-(Cadastro!K5*'Parâmetros'!$H$6))*'Parâmetros'!$H$4)-'Parâmetros'!$H$5))</x:f>
        <x:v>0</x:v>
      </x:c>
      <x:c r="X5" s="96" t="n">
        <x:f>IF($A5="","",Cadastro!M5)</x:f>
        <x:v>120</x:v>
      </x:c>
      <x:c r="Y5" s="96" t="n">
        <x:f>IF($A5="","",Cadastro!N5)</x:f>
        <x:v>180</x:v>
      </x:c>
      <x:c r="Z5" s="96" t="n">
        <x:f>IF($A5="","",Cadastro!O5)</x:f>
        <x:v>0</x:v>
      </x:c>
      <x:c r="AA5" s="96" t="n">
        <x:f>IF($A5="","",N5+O5+U5+V5+W5+X5+Y5+Z5+L5)</x:f>
        <x:v>1791.5294666666668</x:v>
      </x:c>
      <x:c r="AB5" s="96" t="n">
        <x:f>IF($A5="","",T5-(U5+V5+W5+X5+Y5+Z5+L5))</x:f>
        <x:v>7063.015987878788</x:v>
      </x:c>
      <x:c r="AC5" s="88" t="n">
        <x:f>IF($A5="","",SUMIFS('Importação Contabilidade'!$T$7:$T$500,'Importação Contabilidade'!$A$7:$A$500,'Parâmetros'!$B$4,'Importação Contabilidade'!$B$7:$B$500,$A5))</x:f>
        <x:v>8462.88</x:v>
      </x:c>
      <x:c r="AD5" s="88" t="n">
        <x:f>IF($A5="","",SUMIFS('Importação Contabilidade'!$U$7:$U$500,'Importação Contabilidade'!$A$7:$A$500,'Parâmetros'!$B$4,'Importação Contabilidade'!$B$7:$B$500,$A5))</x:f>
        <x:v>1833.53</x:v>
      </x:c>
      <x:c r="AE5" s="88" t="n">
        <x:f>IF($A5="","",SUMIFS('Importação Contabilidade'!$V$7:$V$500,'Importação Contabilidade'!$A$7:$A$500,'Parâmetros'!$B$4,'Importação Contabilidade'!$B$7:$B$500,$A5))</x:f>
        <x:v>6936.02</x:v>
      </x:c>
      <x:c r="AF5" s="97" t="n">
        <x:f>IF($A5="","",T5-AC5)</x:f>
        <x:v>84.99878787878879</x:v>
      </x:c>
      <x:c r="AG5" s="97" t="n">
        <x:f>IF($A5="","",AA5-AD5)</x:f>
        <x:v>-42.000533333333124</x:v>
      </x:c>
      <x:c r="AH5" s="97" t="n">
        <x:f>IF($A5="","",AB5-AE5)</x:f>
        <x:v>126.99598787878767</x:v>
      </x:c>
      <x:c r="AI5" s="98" t="str">
        <x:f>IF($A5="","",IF(COUNTIFS('Importação Contabilidade'!$A$7:$A$500,'Parâmetros'!$B$4,'Importação Contabilidade'!$B$7:$B$500,$A5)=0,"PENDENTE IMPORTAÇÃO",IF(AND(ABS(AF5)&lt;='Parâmetros'!$B$8,ABS(AG5)&lt;='Parâmetros'!$B$8,ABS(AH5)&lt;='Parâmetros'!$B$8),"OK","REVISAR")))</x:f>
        <x:v>REVISAR</x:v>
      </x:c>
      <x:c r="AJ5" s="98" t="str">
        <x:f>IF($A5="","",IF(AI5="PENDENTE IMPORTAÇÃO","Funcionário/competência não encontrados na Importação Contabilidade",IF(AI5="OK","Sem divergência relevante",IF(ABS(AH5)&gt;=MAX(ABS(AF5),ABS(AG5)),"Revisar salário líquido",IF(ABS(AF5)&gt;=ABS(AG5),"Revisar bruto/proventos","Revisar descontos")))))</x:f>
        <x:v>Revisar salário líquido</x:v>
      </x:c>
    </x:row>
    <x:row r="6">
      <x:c r="A6" s="93" t="n">
        <x:f>IF(Cadastro!A6="","",Cadastro!A6)</x:f>
        <x:v>1005</x:v>
      </x:c>
      <x:c r="B6" s="93" t="str">
        <x:f>IF(Cadastro!B6="","",Cadastro!B6)</x:f>
        <x:v>Fernanda Costa</x:v>
      </x:c>
      <x:c r="C6" s="93" t="str">
        <x:f>IF(Cadastro!F6="","",Cadastro!F6)</x:f>
        <x:v>Comercial</x:v>
      </x:c>
      <x:c r="D6" s="94" t="n">
        <x:f>IF(Cadastro!I6="","",Cadastro!I6)</x:f>
        <x:v>7200</x:v>
      </x:c>
      <x:c r="E6" s="95" t="n">
        <x:f>IF($A6="","",SUMIFS('Movimentações'!$D$2:$D$501,'Movimentações'!$A$2:$A$501,'Parâmetros'!$B$4,'Movimentações'!$B$2:$B$501,$A6,'Movimentações'!$C$2:$C$501,"Falta (dias)"))</x:f>
        <x:v>0</x:v>
      </x:c>
      <x:c r="F6" s="95" t="n">
        <x:f>IF($A6="","",SUMIFS('Movimentações'!$D$2:$D$501,'Movimentações'!$A$2:$A$501,'Parâmetros'!$B$4,'Movimentações'!$B$2:$B$501,$A6,'Movimentações'!$C$2:$C$501,"HE 50% (horas)"))</x:f>
        <x:v>6</x:v>
      </x:c>
      <x:c r="G6" s="95" t="n">
        <x:f>IF($A6="","",SUMIFS('Movimentações'!$D$2:$D$501,'Movimentações'!$A$2:$A$501,'Parâmetros'!$B$4,'Movimentações'!$B$2:$B$501,$A6,'Movimentações'!$C$2:$C$501,"HE 100% (horas)"))</x:f>
        <x:v>0</x:v>
      </x:c>
      <x:c r="H6" s="94" t="n">
        <x:f>IF($A6="","",SUMIFS('Movimentações'!$E$2:$E$501,'Movimentações'!$A$2:$A$501,'Parâmetros'!$B$4,'Movimentações'!$B$2:$B$501,$A6,'Movimentações'!$C$2:$C$501,"Comissão"))</x:f>
        <x:v>0</x:v>
      </x:c>
      <x:c r="I6" s="94" t="n">
        <x:f>IF($A6="","",SUMIFS('Movimentações'!$E$2:$E$501,'Movimentações'!$A$2:$A$501,'Parâmetros'!$B$4,'Movimentações'!$B$2:$B$501,$A6,'Movimentações'!$C$2:$C$501,"Bônus/Gratificação"))</x:f>
        <x:v>900</x:v>
      </x:c>
      <x:c r="J6" s="94" t="n">
        <x:f>IF($A6="","",SUMIFS('Movimentações'!$E$2:$E$501,'Movimentações'!$A$2:$A$501,'Parâmetros'!$B$4,'Movimentações'!$B$2:$B$501,$A6,'Movimentações'!$C$2:$C$501,"Adicional"))</x:f>
        <x:v>0</x:v>
      </x:c>
      <x:c r="K6" s="94" t="n">
        <x:f>IF($A6="","",SUMIFS('Movimentações'!$E$2:$E$501,'Movimentações'!$A$2:$A$501,'Parâmetros'!$B$4,'Movimentações'!$B$2:$B$501,$A6,'Movimentações'!$C$2:$C$501,"Crédito Extra"))</x:f>
        <x:v>0</x:v>
      </x:c>
      <x:c r="L6" s="94" t="n">
        <x:f>IF($A6="","",SUMIFS('Movimentações'!$E$2:$E$501,'Movimentações'!$A$2:$A$501,'Parâmetros'!$B$4,'Movimentações'!$B$2:$B$501,$A6,'Movimentações'!$C$2:$C$501,"Desconto Extra"))</x:f>
        <x:v>0</x:v>
      </x:c>
      <x:c r="M6" s="96" t="n">
        <x:f>IF($A6="","",D6/IF(Cadastro!J6=0,'Parâmetros'!$B$12,Cadastro!J6))</x:f>
        <x:v>32.72727272727273</x:v>
      </x:c>
      <x:c r="N6" s="96" t="n">
        <x:f>IF($A6="","",(D6/'Parâmetros'!$B$7)*E6)</x:f>
        <x:v>0</x:v>
      </x:c>
      <x:c r="O6" s="96" t="n">
        <x:f>IF($A6="","",IF(E6&gt;0,D6/'Parâmetros'!$B$7,0))</x:f>
        <x:v>0</x:v>
      </x:c>
      <x:c r="P6" s="96" t="n">
        <x:f>IF($A6="","",(M6*'Parâmetros'!$B$10)*F6)</x:f>
        <x:v>294.54545454545456</x:v>
      </x:c>
      <x:c r="Q6" s="96" t="n">
        <x:f>IF($A6="","",(M6*'Parâmetros'!$B$11)*G6)</x:f>
        <x:v>0</x:v>
      </x:c>
      <x:c r="R6" s="96" t="n">
        <x:f>IF($A6="","",((P6+Q6)/'Parâmetros'!$B$5)*'Parâmetros'!$B$6)</x:f>
        <x:v>53.553719008264466</x:v>
      </x:c>
      <x:c r="S6" s="96" t="n">
        <x:f>IF($A6="","",(H6/'Parâmetros'!$B$5)*'Parâmetros'!$B$6)</x:f>
        <x:v>0</x:v>
      </x:c>
      <x:c r="T6" s="96" t="n">
        <x:f>IF($A6="","",D6-N6-O6+H6+I6+J6+K6+P6+Q6+R6+S6)</x:f>
        <x:v>8448.099173553719</x:v>
      </x:c>
      <x:c r="U6" s="96" t="n">
        <x:f>IF($A6="","",MIN(D6*'Parâmetros'!$B$9,Cadastro!L6))</x:f>
        <x:v>0</x:v>
      </x:c>
      <x:c r="V6" s="96" t="n">
        <x:f>IF($A6="","",IF(T6&lt;='Parâmetros'!$C$16,T6*'Parâmetros'!$D$16,IF(T6&lt;='Parâmetros'!$C$17,T6*'Parâmetros'!$D$17-'Parâmetros'!$E$17,IF(T6&lt;='Parâmetros'!$C$18,T6*'Parâmetros'!$D$18-'Parâmetros'!$E$18,IF(T6&lt;='Parâmetros'!$C$19,T6*'Parâmetros'!$D$19-'Parâmetros'!$E$19,'Parâmetros'!$C$19*'Parâmetros'!$D$19-'Parâmetros'!$E$19)))))</x:f>
        <x:v>908.8628000000001</x:v>
      </x:c>
      <x:c r="W6" s="96" t="n">
        <x:f>IF($A6="","",MAX(0,((T6-V6-(Cadastro!K6*'Parâmetros'!$H$6))*'Parâmetros'!$H$4)-'Parâmetros'!$H$5))</x:f>
        <x:v>0</x:v>
      </x:c>
      <x:c r="X6" s="96" t="n">
        <x:f>IF($A6="","",Cadastro!M6)</x:f>
        <x:v>150</x:v>
      </x:c>
      <x:c r="Y6" s="96" t="n">
        <x:f>IF($A6="","",Cadastro!N6)</x:f>
        <x:v>220</x:v>
      </x:c>
      <x:c r="Z6" s="96" t="n">
        <x:f>IF($A6="","",Cadastro!O6)</x:f>
        <x:v>0</x:v>
      </x:c>
      <x:c r="AA6" s="96" t="n">
        <x:f>IF($A6="","",N6+O6+U6+V6+W6+X6+Y6+Z6+L6)</x:f>
        <x:v>1278.8628</x:v>
      </x:c>
      <x:c r="AB6" s="96" t="n">
        <x:f>IF($A6="","",T6-(U6+V6+W6+X6+Y6+Z6+L6))</x:f>
        <x:v>7169.236373553719</x:v>
      </x:c>
      <x:c r="AC6" s="88" t="n">
        <x:f>IF($A6="","",SUMIFS('Importação Contabilidade'!$T$7:$T$500,'Importação Contabilidade'!$A$7:$A$500,'Parâmetros'!$B$4,'Importação Contabilidade'!$B$7:$B$500,$A6))</x:f>
        <x:v>8448.1</x:v>
      </x:c>
      <x:c r="AD6" s="88" t="n">
        <x:f>IF($A6="","",SUMIFS('Importação Contabilidade'!$U$7:$U$500,'Importação Contabilidade'!$A$7:$A$500,'Parâmetros'!$B$4,'Importação Contabilidade'!$B$7:$B$500,$A6))</x:f>
        <x:v>1278.86</x:v>
      </x:c>
      <x:c r="AE6" s="88" t="n">
        <x:f>IF($A6="","",SUMIFS('Importação Contabilidade'!$V$7:$V$500,'Importação Contabilidade'!$A$7:$A$500,'Parâmetros'!$B$4,'Importação Contabilidade'!$B$7:$B$500,$A6))</x:f>
        <x:v>7169.24</x:v>
      </x:c>
      <x:c r="AF6" s="97" t="n">
        <x:f>IF($A6="","",T6-AC6)</x:f>
        <x:v>-0.0008264462812803686</x:v>
      </x:c>
      <x:c r="AG6" s="97" t="n">
        <x:f>IF($A6="","",AA6-AD6)</x:f>
        <x:v>0.002800000000206637</x:v>
      </x:c>
      <x:c r="AH6" s="97" t="n">
        <x:f>IF($A6="","",AB6-AE6)</x:f>
        <x:v>-0.003626446280577511</x:v>
      </x:c>
      <x:c r="AI6" s="98" t="str">
        <x:f>IF($A6="","",IF(COUNTIFS('Importação Contabilidade'!$A$7:$A$500,'Parâmetros'!$B$4,'Importação Contabilidade'!$B$7:$B$500,$A6)=0,"PENDENTE IMPORTAÇÃO",IF(AND(ABS(AF6)&lt;='Parâmetros'!$B$8,ABS(AG6)&lt;='Parâmetros'!$B$8,ABS(AH6)&lt;='Parâmetros'!$B$8),"OK","REVISAR")))</x:f>
        <x:v>OK</x:v>
      </x:c>
      <x:c r="AJ6" s="98" t="str">
        <x:f>IF($A6="","",IF(AI6="PENDENTE IMPORTAÇÃO","Funcionário/competência não encontrados na Importação Contabilidade",IF(AI6="OK","Sem divergência relevante",IF(ABS(AH6)&gt;=MAX(ABS(AF6),ABS(AG6)),"Revisar salário líquido",IF(ABS(AF6)&gt;=ABS(AG6),"Revisar bruto/proventos","Revisar descontos")))))</x:f>
        <x:v>Sem divergência relevante</x:v>
      </x:c>
    </x:row>
    <x:row r="7">
      <x:c r="A7" s="93" t="n">
        <x:f>IF(Cadastro!A7="","",Cadastro!A7)</x:f>
        <x:v>1006</x:v>
      </x:c>
      <x:c r="B7" s="93" t="str">
        <x:f>IF(Cadastro!B7="","",Cadastro!B7)</x:f>
        <x:v>Bruno Martins</x:v>
      </x:c>
      <x:c r="C7" s="93" t="str">
        <x:f>IF(Cadastro!F7="","",Cadastro!F7)</x:f>
        <x:v>Comercial</x:v>
      </x:c>
      <x:c r="D7" s="94" t="n">
        <x:f>IF(Cadastro!I7="","",Cadastro!I7)</x:f>
        <x:v>4400</x:v>
      </x:c>
      <x:c r="E7" s="95" t="n">
        <x:f>IF($A7="","",SUMIFS('Movimentações'!$D$2:$D$501,'Movimentações'!$A$2:$A$501,'Parâmetros'!$B$4,'Movimentações'!$B$2:$B$501,$A7,'Movimentações'!$C$2:$C$501,"Falta (dias)"))</x:f>
        <x:v>0</x:v>
      </x:c>
      <x:c r="F7" s="95" t="n">
        <x:f>IF($A7="","",SUMIFS('Movimentações'!$D$2:$D$501,'Movimentações'!$A$2:$A$501,'Parâmetros'!$B$4,'Movimentações'!$B$2:$B$501,$A7,'Movimentações'!$C$2:$C$501,"HE 50% (horas)"))</x:f>
        <x:v>4</x:v>
      </x:c>
      <x:c r="G7" s="95" t="n">
        <x:f>IF($A7="","",SUMIFS('Movimentações'!$D$2:$D$501,'Movimentações'!$A$2:$A$501,'Parâmetros'!$B$4,'Movimentações'!$B$2:$B$501,$A7,'Movimentações'!$C$2:$C$501,"HE 100% (horas)"))</x:f>
        <x:v>0</x:v>
      </x:c>
      <x:c r="H7" s="94" t="n">
        <x:f>IF($A7="","",SUMIFS('Movimentações'!$E$2:$E$501,'Movimentações'!$A$2:$A$501,'Parâmetros'!$B$4,'Movimentações'!$B$2:$B$501,$A7,'Movimentações'!$C$2:$C$501,"Comissão"))</x:f>
        <x:v>2800</x:v>
      </x:c>
      <x:c r="I7" s="94" t="n">
        <x:f>IF($A7="","",SUMIFS('Movimentações'!$E$2:$E$501,'Movimentações'!$A$2:$A$501,'Parâmetros'!$B$4,'Movimentações'!$B$2:$B$501,$A7,'Movimentações'!$C$2:$C$501,"Bônus/Gratificação"))</x:f>
        <x:v>0</x:v>
      </x:c>
      <x:c r="J7" s="94" t="n">
        <x:f>IF($A7="","",SUMIFS('Movimentações'!$E$2:$E$501,'Movimentações'!$A$2:$A$501,'Parâmetros'!$B$4,'Movimentações'!$B$2:$B$501,$A7,'Movimentações'!$C$2:$C$501,"Adicional"))</x:f>
        <x:v>0</x:v>
      </x:c>
      <x:c r="K7" s="94" t="n">
        <x:f>IF($A7="","",SUMIFS('Movimentações'!$E$2:$E$501,'Movimentações'!$A$2:$A$501,'Parâmetros'!$B$4,'Movimentações'!$B$2:$B$501,$A7,'Movimentações'!$C$2:$C$501,"Crédito Extra"))</x:f>
        <x:v>0</x:v>
      </x:c>
      <x:c r="L7" s="94" t="n">
        <x:f>IF($A7="","",SUMIFS('Movimentações'!$E$2:$E$501,'Movimentações'!$A$2:$A$501,'Parâmetros'!$B$4,'Movimentações'!$B$2:$B$501,$A7,'Movimentações'!$C$2:$C$501,"Desconto Extra"))</x:f>
        <x:v>0</x:v>
      </x:c>
      <x:c r="M7" s="96" t="n">
        <x:f>IF($A7="","",D7/IF(Cadastro!J7=0,'Parâmetros'!$B$12,Cadastro!J7))</x:f>
        <x:v>20</x:v>
      </x:c>
      <x:c r="N7" s="96" t="n">
        <x:f>IF($A7="","",(D7/'Parâmetros'!$B$7)*E7)</x:f>
        <x:v>0</x:v>
      </x:c>
      <x:c r="O7" s="96" t="n">
        <x:f>IF($A7="","",IF(E7&gt;0,D7/'Parâmetros'!$B$7,0))</x:f>
        <x:v>0</x:v>
      </x:c>
      <x:c r="P7" s="96" t="n">
        <x:f>IF($A7="","",(M7*'Parâmetros'!$B$10)*F7)</x:f>
        <x:v>120</x:v>
      </x:c>
      <x:c r="Q7" s="96" t="n">
        <x:f>IF($A7="","",(M7*'Parâmetros'!$B$11)*G7)</x:f>
        <x:v>0</x:v>
      </x:c>
      <x:c r="R7" s="96" t="n">
        <x:f>IF($A7="","",((P7+Q7)/'Parâmetros'!$B$5)*'Parâmetros'!$B$6)</x:f>
        <x:v>21.818181818181817</x:v>
      </x:c>
      <x:c r="S7" s="96" t="n">
        <x:f>IF($A7="","",(H7/'Parâmetros'!$B$5)*'Parâmetros'!$B$6)</x:f>
        <x:v>509.09090909090907</x:v>
      </x:c>
      <x:c r="T7" s="96" t="n">
        <x:f>IF($A7="","",D7-N7-O7+H7+I7+J7+K7+P7+Q7+R7+S7)</x:f>
        <x:v>7850.909090909091</x:v>
      </x:c>
      <x:c r="U7" s="96" t="n">
        <x:f>IF($A7="","",MIN(D7*'Parâmetros'!$B$9,Cadastro!L7))</x:f>
        <x:v>260</x:v>
      </x:c>
      <x:c r="V7" s="96" t="n">
        <x:f>IF($A7="","",IF(T7&lt;='Parâmetros'!$C$16,T7*'Parâmetros'!$D$16,IF(T7&lt;='Parâmetros'!$C$17,T7*'Parâmetros'!$D$17-'Parâmetros'!$E$17,IF(T7&lt;='Parâmetros'!$C$18,T7*'Parâmetros'!$D$18-'Parâmetros'!$E$18,IF(T7&lt;='Parâmetros'!$C$19,T7*'Parâmetros'!$D$19-'Parâmetros'!$E$19,'Parâmetros'!$C$19*'Parâmetros'!$D$19-'Parâmetros'!$E$19)))))</x:f>
        <x:v>908.8628000000001</x:v>
      </x:c>
      <x:c r="W7" s="96" t="n">
        <x:f>IF($A7="","",MAX(0,((T7-V7-(Cadastro!K7*'Parâmetros'!$H$6))*'Parâmetros'!$H$4)-'Parâmetros'!$H$5))</x:f>
        <x:v>0</x:v>
      </x:c>
      <x:c r="X7" s="96" t="n">
        <x:f>IF($A7="","",Cadastro!M7)</x:f>
        <x:v>120</x:v>
      </x:c>
      <x:c r="Y7" s="96" t="n">
        <x:f>IF($A7="","",Cadastro!N7)</x:f>
        <x:v>180</x:v>
      </x:c>
      <x:c r="Z7" s="96" t="n">
        <x:f>IF($A7="","",Cadastro!O7)</x:f>
        <x:v>0</x:v>
      </x:c>
      <x:c r="AA7" s="96" t="n">
        <x:f>IF($A7="","",N7+O7+U7+V7+W7+X7+Y7+Z7+L7)</x:f>
        <x:v>1468.8628</x:v>
      </x:c>
      <x:c r="AB7" s="96" t="n">
        <x:f>IF($A7="","",T7-(U7+V7+W7+X7+Y7+Z7+L7))</x:f>
        <x:v>6382.046290909091</x:v>
      </x:c>
      <x:c r="AC7" s="88" t="n">
        <x:f>IF($A7="","",SUMIFS('Importação Contabilidade'!$T$7:$T$500,'Importação Contabilidade'!$A$7:$A$500,'Parâmetros'!$B$4,'Importação Contabilidade'!$B$7:$B$500,$A7))</x:f>
        <x:v>7850.91</x:v>
      </x:c>
      <x:c r="AD7" s="88" t="n">
        <x:f>IF($A7="","",SUMIFS('Importação Contabilidade'!$U$7:$U$500,'Importação Contabilidade'!$A$7:$A$500,'Parâmetros'!$B$4,'Importação Contabilidade'!$B$7:$B$500,$A7))</x:f>
        <x:v>1468.86</x:v>
      </x:c>
      <x:c r="AE7" s="88" t="n">
        <x:f>IF($A7="","",SUMIFS('Importação Contabilidade'!$V$7:$V$500,'Importação Contabilidade'!$A$7:$A$500,'Parâmetros'!$B$4,'Importação Contabilidade'!$B$7:$B$500,$A7))</x:f>
        <x:v>6382.05</x:v>
      </x:c>
      <x:c r="AF7" s="97" t="n">
        <x:f>IF($A7="","",T7-AC7)</x:f>
        <x:v>-0.0009090909088627086</x:v>
      </x:c>
      <x:c r="AG7" s="97" t="n">
        <x:f>IF($A7="","",AA7-AD7)</x:f>
        <x:v>0.002800000000206637</x:v>
      </x:c>
      <x:c r="AH7" s="97" t="n">
        <x:f>IF($A7="","",AB7-AE7)</x:f>
        <x:v>-0.003709090909069346</x:v>
      </x:c>
      <x:c r="AI7" s="98" t="str">
        <x:f>IF($A7="","",IF(COUNTIFS('Importação Contabilidade'!$A$7:$A$500,'Parâmetros'!$B$4,'Importação Contabilidade'!$B$7:$B$500,$A7)=0,"PENDENTE IMPORTAÇÃO",IF(AND(ABS(AF7)&lt;='Parâmetros'!$B$8,ABS(AG7)&lt;='Parâmetros'!$B$8,ABS(AH7)&lt;='Parâmetros'!$B$8),"OK","REVISAR")))</x:f>
        <x:v>OK</x:v>
      </x:c>
      <x:c r="AJ7" s="98" t="str">
        <x:f>IF($A7="","",IF(AI7="PENDENTE IMPORTAÇÃO","Funcionário/competência não encontrados na Importação Contabilidade",IF(AI7="OK","Sem divergência relevante",IF(ABS(AH7)&gt;=MAX(ABS(AF7),ABS(AG7)),"Revisar salário líquido",IF(ABS(AF7)&gt;=ABS(AG7),"Revisar bruto/proventos","Revisar descontos")))))</x:f>
        <x:v>Sem divergência relevante</x:v>
      </x:c>
    </x:row>
    <x:row r="8">
      <x:c r="A8" s="93" t="n">
        <x:f>IF(Cadastro!A8="","",Cadastro!A8)</x:f>
        <x:v>1007</x:v>
      </x:c>
      <x:c r="B8" s="93" t="str">
        <x:f>IF(Cadastro!B8="","",Cadastro!B8)</x:f>
        <x:v>Juliana Rocha</x:v>
      </x:c>
      <x:c r="C8" s="93" t="str">
        <x:f>IF(Cadastro!F8="","",Cadastro!F8)</x:f>
        <x:v>Comercial</x:v>
      </x:c>
      <x:c r="D8" s="94" t="n">
        <x:f>IF(Cadastro!I8="","",Cadastro!I8)</x:f>
        <x:v>5100</x:v>
      </x:c>
      <x:c r="E8" s="95" t="n">
        <x:f>IF($A8="","",SUMIFS('Movimentações'!$D$2:$D$501,'Movimentações'!$A$2:$A$501,'Parâmetros'!$B$4,'Movimentações'!$B$2:$B$501,$A8,'Movimentações'!$C$2:$C$501,"Falta (dias)"))</x:f>
        <x:v>0</x:v>
      </x:c>
      <x:c r="F8" s="95" t="n">
        <x:f>IF($A8="","",SUMIFS('Movimentações'!$D$2:$D$501,'Movimentações'!$A$2:$A$501,'Parâmetros'!$B$4,'Movimentações'!$B$2:$B$501,$A8,'Movimentações'!$C$2:$C$501,"HE 50% (horas)"))</x:f>
        <x:v>3</x:v>
      </x:c>
      <x:c r="G8" s="95" t="n">
        <x:f>IF($A8="","",SUMIFS('Movimentações'!$D$2:$D$501,'Movimentações'!$A$2:$A$501,'Parâmetros'!$B$4,'Movimentações'!$B$2:$B$501,$A8,'Movimentações'!$C$2:$C$501,"HE 100% (horas)"))</x:f>
        <x:v>0</x:v>
      </x:c>
      <x:c r="H8" s="94" t="n">
        <x:f>IF($A8="","",SUMIFS('Movimentações'!$E$2:$E$501,'Movimentações'!$A$2:$A$501,'Parâmetros'!$B$4,'Movimentações'!$B$2:$B$501,$A8,'Movimentações'!$C$2:$C$501,"Comissão"))</x:f>
        <x:v>0</x:v>
      </x:c>
      <x:c r="I8" s="94" t="n">
        <x:f>IF($A8="","",SUMIFS('Movimentações'!$E$2:$E$501,'Movimentações'!$A$2:$A$501,'Parâmetros'!$B$4,'Movimentações'!$B$2:$B$501,$A8,'Movimentações'!$C$2:$C$501,"Bônus/Gratificação"))</x:f>
        <x:v>0</x:v>
      </x:c>
      <x:c r="J8" s="94" t="n">
        <x:f>IF($A8="","",SUMIFS('Movimentações'!$E$2:$E$501,'Movimentações'!$A$2:$A$501,'Parâmetros'!$B$4,'Movimentações'!$B$2:$B$501,$A8,'Movimentações'!$C$2:$C$501,"Adicional"))</x:f>
        <x:v>350</x:v>
      </x:c>
      <x:c r="K8" s="94" t="n">
        <x:f>IF($A8="","",SUMIFS('Movimentações'!$E$2:$E$501,'Movimentações'!$A$2:$A$501,'Parâmetros'!$B$4,'Movimentações'!$B$2:$B$501,$A8,'Movimentações'!$C$2:$C$501,"Crédito Extra"))</x:f>
        <x:v>0</x:v>
      </x:c>
      <x:c r="L8" s="94" t="n">
        <x:f>IF($A8="","",SUMIFS('Movimentações'!$E$2:$E$501,'Movimentações'!$A$2:$A$501,'Parâmetros'!$B$4,'Movimentações'!$B$2:$B$501,$A8,'Movimentações'!$C$2:$C$501,"Desconto Extra"))</x:f>
        <x:v>0</x:v>
      </x:c>
      <x:c r="M8" s="96" t="n">
        <x:f>IF($A8="","",D8/IF(Cadastro!J8=0,'Parâmetros'!$B$12,Cadastro!J8))</x:f>
        <x:v>23.181818181818183</x:v>
      </x:c>
      <x:c r="N8" s="96" t="n">
        <x:f>IF($A8="","",(D8/'Parâmetros'!$B$7)*E8)</x:f>
        <x:v>0</x:v>
      </x:c>
      <x:c r="O8" s="96" t="n">
        <x:f>IF($A8="","",IF(E8&gt;0,D8/'Parâmetros'!$B$7,0))</x:f>
        <x:v>0</x:v>
      </x:c>
      <x:c r="P8" s="96" t="n">
        <x:f>IF($A8="","",(M8*'Parâmetros'!$B$10)*F8)</x:f>
        <x:v>104.31818181818181</x:v>
      </x:c>
      <x:c r="Q8" s="96" t="n">
        <x:f>IF($A8="","",(M8*'Parâmetros'!$B$11)*G8)</x:f>
        <x:v>0</x:v>
      </x:c>
      <x:c r="R8" s="96" t="n">
        <x:f>IF($A8="","",((P8+Q8)/'Parâmetros'!$B$5)*'Parâmetros'!$B$6)</x:f>
        <x:v>18.966942148760328</x:v>
      </x:c>
      <x:c r="S8" s="96" t="n">
        <x:f>IF($A8="","",(H8/'Parâmetros'!$B$5)*'Parâmetros'!$B$6)</x:f>
        <x:v>0</x:v>
      </x:c>
      <x:c r="T8" s="96" t="n">
        <x:f>IF($A8="","",D8-N8-O8+H8+I8+J8+K8+P8+Q8+R8+S8)</x:f>
        <x:v>5573.285123966943</x:v>
      </x:c>
      <x:c r="U8" s="96" t="n">
        <x:f>IF($A8="","",MIN(D8*'Parâmetros'!$B$9,Cadastro!L8))</x:f>
        <x:v>220</x:v>
      </x:c>
      <x:c r="V8" s="96" t="n">
        <x:f>IF($A8="","",IF(T8&lt;='Parâmetros'!$C$16,T8*'Parâmetros'!$D$16,IF(T8&lt;='Parâmetros'!$C$17,T8*'Parâmetros'!$D$17-'Parâmetros'!$E$17,IF(T8&lt;='Parâmetros'!$C$18,T8*'Parâmetros'!$D$18-'Parâmetros'!$E$18,IF(T8&lt;='Parâmetros'!$C$19,T8*'Parâmetros'!$D$19-'Parâmetros'!$E$19,'Parâmetros'!$C$19*'Parâmetros'!$D$19-'Parâmetros'!$E$19)))))</x:f>
        <x:v>599.0799173553721</x:v>
      </x:c>
      <x:c r="W8" s="96" t="n">
        <x:f>IF($A8="","",MAX(0,((T8-V8-(Cadastro!K8*'Parâmetros'!$H$6))*'Parâmetros'!$H$4)-'Parâmetros'!$H$5))</x:f>
        <x:v>0</x:v>
      </x:c>
      <x:c r="X8" s="96" t="n">
        <x:f>IF($A8="","",Cadastro!M8)</x:f>
        <x:v>150</x:v>
      </x:c>
      <x:c r="Y8" s="96" t="n">
        <x:f>IF($A8="","",Cadastro!N8)</x:f>
        <x:v>200</x:v>
      </x:c>
      <x:c r="Z8" s="96" t="n">
        <x:f>IF($A8="","",Cadastro!O8)</x:f>
        <x:v>0</x:v>
      </x:c>
      <x:c r="AA8" s="96" t="n">
        <x:f>IF($A8="","",N8+O8+U8+V8+W8+X8+Y8+Z8+L8)</x:f>
        <x:v>1169.0799173553721</x:v>
      </x:c>
      <x:c r="AB8" s="96" t="n">
        <x:f>IF($A8="","",T8-(U8+V8+W8+X8+Y8+Z8+L8))</x:f>
        <x:v>4404.20520661157</x:v>
      </x:c>
      <x:c r="AC8" s="88" t="n">
        <x:f>IF($A8="","",SUMIFS('Importação Contabilidade'!$T$7:$T$500,'Importação Contabilidade'!$A$7:$A$500,'Parâmetros'!$B$4,'Importação Contabilidade'!$B$7:$B$500,$A8))</x:f>
        <x:v>5573.29</x:v>
      </x:c>
      <x:c r="AD8" s="88" t="n">
        <x:f>IF($A8="","",SUMIFS('Importação Contabilidade'!$U$7:$U$500,'Importação Contabilidade'!$A$7:$A$500,'Parâmetros'!$B$4,'Importação Contabilidade'!$B$7:$B$500,$A8))</x:f>
        <x:v>1234.08</x:v>
      </x:c>
      <x:c r="AE8" s="88" t="n">
        <x:f>IF($A8="","",SUMIFS('Importação Contabilidade'!$V$7:$V$500,'Importação Contabilidade'!$A$7:$A$500,'Parâmetros'!$B$4,'Importação Contabilidade'!$B$7:$B$500,$A8))</x:f>
        <x:v>4339.21</x:v>
      </x:c>
      <x:c r="AF8" s="97" t="n">
        <x:f>IF($A8="","",T8-AC8)</x:f>
        <x:v>-0.004876033057371387</x:v>
      </x:c>
      <x:c r="AG8" s="97" t="n">
        <x:f>IF($A8="","",AA8-AD8)</x:f>
        <x:v>-65.00008264462781</x:v>
      </x:c>
      <x:c r="AH8" s="97" t="n">
        <x:f>IF($A8="","",AB8-AE8)</x:f>
        <x:v>64.99520661157021</x:v>
      </x:c>
      <x:c r="AI8" s="98" t="str">
        <x:f>IF($A8="","",IF(COUNTIFS('Importação Contabilidade'!$A$7:$A$500,'Parâmetros'!$B$4,'Importação Contabilidade'!$B$7:$B$500,$A8)=0,"PENDENTE IMPORTAÇÃO",IF(AND(ABS(AF8)&lt;='Parâmetros'!$B$8,ABS(AG8)&lt;='Parâmetros'!$B$8,ABS(AH8)&lt;='Parâmetros'!$B$8),"OK","REVISAR")))</x:f>
        <x:v>REVISAR</x:v>
      </x:c>
      <x:c r="AJ8" s="98" t="str">
        <x:f>IF($A8="","",IF(AI8="PENDENTE IMPORTAÇÃO","Funcionário/competência não encontrados na Importação Contabilidade",IF(AI8="OK","Sem divergência relevante",IF(ABS(AH8)&gt;=MAX(ABS(AF8),ABS(AG8)),"Revisar salário líquido",IF(ABS(AF8)&gt;=ABS(AG8),"Revisar bruto/proventos","Revisar descontos")))))</x:f>
        <x:v>Revisar descontos</x:v>
      </x:c>
    </x:row>
    <x:row r="9">
      <x:c r="A9" s="93" t="n">
        <x:f>IF(Cadastro!A9="","",Cadastro!A9)</x:f>
        <x:v>1008</x:v>
      </x:c>
      <x:c r="B9" s="93" t="str">
        <x:f>IF(Cadastro!B9="","",Cadastro!B9)</x:f>
        <x:v>Lucas Almeida</x:v>
      </x:c>
      <x:c r="C9" s="93" t="str">
        <x:f>IF(Cadastro!F9="","",Cadastro!F9)</x:f>
        <x:v>Comercial</x:v>
      </x:c>
      <x:c r="D9" s="94" t="n">
        <x:f>IF(Cadastro!I9="","",Cadastro!I9)</x:f>
        <x:v>4300</x:v>
      </x:c>
      <x:c r="E9" s="95" t="n">
        <x:f>IF($A9="","",SUMIFS('Movimentações'!$D$2:$D$501,'Movimentações'!$A$2:$A$501,'Parâmetros'!$B$4,'Movimentações'!$B$2:$B$501,$A9,'Movimentações'!$C$2:$C$501,"Falta (dias)"))</x:f>
        <x:v>0</x:v>
      </x:c>
      <x:c r="F9" s="95" t="n">
        <x:f>IF($A9="","",SUMIFS('Movimentações'!$D$2:$D$501,'Movimentações'!$A$2:$A$501,'Parâmetros'!$B$4,'Movimentações'!$B$2:$B$501,$A9,'Movimentações'!$C$2:$C$501,"HE 50% (horas)"))</x:f>
        <x:v>0</x:v>
      </x:c>
      <x:c r="G9" s="95" t="n">
        <x:f>IF($A9="","",SUMIFS('Movimentações'!$D$2:$D$501,'Movimentações'!$A$2:$A$501,'Parâmetros'!$B$4,'Movimentações'!$B$2:$B$501,$A9,'Movimentações'!$C$2:$C$501,"HE 100% (horas)"))</x:f>
        <x:v>0</x:v>
      </x:c>
      <x:c r="H9" s="94" t="n">
        <x:f>IF($A9="","",SUMIFS('Movimentações'!$E$2:$E$501,'Movimentações'!$A$2:$A$501,'Parâmetros'!$B$4,'Movimentações'!$B$2:$B$501,$A9,'Movimentações'!$C$2:$C$501,"Comissão"))</x:f>
        <x:v>3100</x:v>
      </x:c>
      <x:c r="I9" s="94" t="n">
        <x:f>IF($A9="","",SUMIFS('Movimentações'!$E$2:$E$501,'Movimentações'!$A$2:$A$501,'Parâmetros'!$B$4,'Movimentações'!$B$2:$B$501,$A9,'Movimentações'!$C$2:$C$501,"Bônus/Gratificação"))</x:f>
        <x:v>0</x:v>
      </x:c>
      <x:c r="J9" s="94" t="n">
        <x:f>IF($A9="","",SUMIFS('Movimentações'!$E$2:$E$501,'Movimentações'!$A$2:$A$501,'Parâmetros'!$B$4,'Movimentações'!$B$2:$B$501,$A9,'Movimentações'!$C$2:$C$501,"Adicional"))</x:f>
        <x:v>0</x:v>
      </x:c>
      <x:c r="K9" s="94" t="n">
        <x:f>IF($A9="","",SUMIFS('Movimentações'!$E$2:$E$501,'Movimentações'!$A$2:$A$501,'Parâmetros'!$B$4,'Movimentações'!$B$2:$B$501,$A9,'Movimentações'!$C$2:$C$501,"Crédito Extra"))</x:f>
        <x:v>0</x:v>
      </x:c>
      <x:c r="L9" s="94" t="n">
        <x:f>IF($A9="","",SUMIFS('Movimentações'!$E$2:$E$501,'Movimentações'!$A$2:$A$501,'Parâmetros'!$B$4,'Movimentações'!$B$2:$B$501,$A9,'Movimentações'!$C$2:$C$501,"Desconto Extra"))</x:f>
        <x:v>0</x:v>
      </x:c>
      <x:c r="M9" s="96" t="n">
        <x:f>IF($A9="","",D9/IF(Cadastro!J9=0,'Parâmetros'!$B$12,Cadastro!J9))</x:f>
        <x:v>19.545454545454547</x:v>
      </x:c>
      <x:c r="N9" s="96" t="n">
        <x:f>IF($A9="","",(D9/'Parâmetros'!$B$7)*E9)</x:f>
        <x:v>0</x:v>
      </x:c>
      <x:c r="O9" s="96" t="n">
        <x:f>IF($A9="","",IF(E9&gt;0,D9/'Parâmetros'!$B$7,0))</x:f>
        <x:v>0</x:v>
      </x:c>
      <x:c r="P9" s="96" t="n">
        <x:f>IF($A9="","",(M9*'Parâmetros'!$B$10)*F9)</x:f>
        <x:v>0</x:v>
      </x:c>
      <x:c r="Q9" s="96" t="n">
        <x:f>IF($A9="","",(M9*'Parâmetros'!$B$11)*G9)</x:f>
        <x:v>0</x:v>
      </x:c>
      <x:c r="R9" s="96" t="n">
        <x:f>IF($A9="","",((P9+Q9)/'Parâmetros'!$B$5)*'Parâmetros'!$B$6)</x:f>
        <x:v>0</x:v>
      </x:c>
      <x:c r="S9" s="96" t="n">
        <x:f>IF($A9="","",(H9/'Parâmetros'!$B$5)*'Parâmetros'!$B$6)</x:f>
        <x:v>563.6363636363636</x:v>
      </x:c>
      <x:c r="T9" s="96" t="n">
        <x:f>IF($A9="","",D9-N9-O9+H9+I9+J9+K9+P9+Q9+R9+S9)</x:f>
        <x:v>7963.636363636364</x:v>
      </x:c>
      <x:c r="U9" s="96" t="n">
        <x:f>IF($A9="","",MIN(D9*'Parâmetros'!$B$9,Cadastro!L9))</x:f>
        <x:v>258</x:v>
      </x:c>
      <x:c r="V9" s="96" t="n">
        <x:f>IF($A9="","",IF(T9&lt;='Parâmetros'!$C$16,T9*'Parâmetros'!$D$16,IF(T9&lt;='Parâmetros'!$C$17,T9*'Parâmetros'!$D$17-'Parâmetros'!$E$17,IF(T9&lt;='Parâmetros'!$C$18,T9*'Parâmetros'!$D$18-'Parâmetros'!$E$18,IF(T9&lt;='Parâmetros'!$C$19,T9*'Parâmetros'!$D$19-'Parâmetros'!$E$19,'Parâmetros'!$C$19*'Parâmetros'!$D$19-'Parâmetros'!$E$19)))))</x:f>
        <x:v>908.8628000000001</x:v>
      </x:c>
      <x:c r="W9" s="96" t="n">
        <x:f>IF($A9="","",MAX(0,((T9-V9-(Cadastro!K9*'Parâmetros'!$H$6))*'Parâmetros'!$H$4)-'Parâmetros'!$H$5))</x:f>
        <x:v>0</x:v>
      </x:c>
      <x:c r="X9" s="96" t="n">
        <x:f>IF($A9="","",Cadastro!M9)</x:f>
        <x:v>120</x:v>
      </x:c>
      <x:c r="Y9" s="96" t="n">
        <x:f>IF($A9="","",Cadastro!N9)</x:f>
        <x:v>180</x:v>
      </x:c>
      <x:c r="Z9" s="96" t="n">
        <x:f>IF($A9="","",Cadastro!O9)</x:f>
        <x:v>0</x:v>
      </x:c>
      <x:c r="AA9" s="96" t="n">
        <x:f>IF($A9="","",N9+O9+U9+V9+W9+X9+Y9+Z9+L9)</x:f>
        <x:v>1466.8628</x:v>
      </x:c>
      <x:c r="AB9" s="96" t="n">
        <x:f>IF($A9="","",T9-(U9+V9+W9+X9+Y9+Z9+L9))</x:f>
        <x:v>6496.773563636364</x:v>
      </x:c>
      <x:c r="AC9" s="88" t="n">
        <x:f>IF($A9="","",SUMIFS('Importação Contabilidade'!$T$7:$T$500,'Importação Contabilidade'!$A$7:$A$500,'Parâmetros'!$B$4,'Importação Contabilidade'!$B$7:$B$500,$A9))</x:f>
        <x:v>7963.64</x:v>
      </x:c>
      <x:c r="AD9" s="88" t="n">
        <x:f>IF($A9="","",SUMIFS('Importação Contabilidade'!$U$7:$U$500,'Importação Contabilidade'!$A$7:$A$500,'Parâmetros'!$B$4,'Importação Contabilidade'!$B$7:$B$500,$A9))</x:f>
        <x:v>1466.86</x:v>
      </x:c>
      <x:c r="AE9" s="88" t="n">
        <x:f>IF($A9="","",SUMIFS('Importação Contabilidade'!$V$7:$V$500,'Importação Contabilidade'!$A$7:$A$500,'Parâmetros'!$B$4,'Importação Contabilidade'!$B$7:$B$500,$A9))</x:f>
        <x:v>6496.77</x:v>
      </x:c>
      <x:c r="AF9" s="97" t="n">
        <x:f>IF($A9="","",T9-AC9)</x:f>
        <x:v>-0.003636363636360329</x:v>
      </x:c>
      <x:c r="AG9" s="97" t="n">
        <x:f>IF($A9="","",AA9-AD9)</x:f>
        <x:v>0.002800000000206637</x:v>
      </x:c>
      <x:c r="AH9" s="97" t="n">
        <x:f>IF($A9="","",AB9-AE9)</x:f>
        <x:v>0.0035636363636513124</x:v>
      </x:c>
      <x:c r="AI9" s="98" t="str">
        <x:f>IF($A9="","",IF(COUNTIFS('Importação Contabilidade'!$A$7:$A$500,'Parâmetros'!$B$4,'Importação Contabilidade'!$B$7:$B$500,$A9)=0,"PENDENTE IMPORTAÇÃO",IF(AND(ABS(AF9)&lt;='Parâmetros'!$B$8,ABS(AG9)&lt;='Parâmetros'!$B$8,ABS(AH9)&lt;='Parâmetros'!$B$8),"OK","REVISAR")))</x:f>
        <x:v>OK</x:v>
      </x:c>
      <x:c r="AJ9" s="98" t="str">
        <x:f>IF($A9="","",IF(AI9="PENDENTE IMPORTAÇÃO","Funcionário/competência não encontrados na Importação Contabilidade",IF(AI9="OK","Sem divergência relevante",IF(ABS(AH9)&gt;=MAX(ABS(AF9),ABS(AG9)),"Revisar salário líquido",IF(ABS(AF9)&gt;=ABS(AG9),"Revisar bruto/proventos","Revisar descontos")))))</x:f>
        <x:v>Sem divergência relevante</x:v>
      </x:c>
    </x:row>
    <x:row r="10">
      <x:c r="A10" s="93" t="n">
        <x:f>IF(Cadastro!A10="","",Cadastro!A10)</x:f>
        <x:v>1009</x:v>
      </x:c>
      <x:c r="B10" s="93" t="str">
        <x:f>IF(Cadastro!B10="","",Cadastro!B10)</x:f>
        <x:v>Patricia Gomes</x:v>
      </x:c>
      <x:c r="C10" s="93" t="str">
        <x:f>IF(Cadastro!F10="","",Cadastro!F10)</x:f>
        <x:v>Marketing</x:v>
      </x:c>
      <x:c r="D10" s="94" t="n">
        <x:f>IF(Cadastro!I10="","",Cadastro!I10)</x:f>
        <x:v>5600</x:v>
      </x:c>
      <x:c r="E10" s="95" t="n">
        <x:f>IF($A10="","",SUMIFS('Movimentações'!$D$2:$D$501,'Movimentações'!$A$2:$A$501,'Parâmetros'!$B$4,'Movimentações'!$B$2:$B$501,$A10,'Movimentações'!$C$2:$C$501,"Falta (dias)"))</x:f>
        <x:v>0</x:v>
      </x:c>
      <x:c r="F10" s="95" t="n">
        <x:f>IF($A10="","",SUMIFS('Movimentações'!$D$2:$D$501,'Movimentações'!$A$2:$A$501,'Parâmetros'!$B$4,'Movimentações'!$B$2:$B$501,$A10,'Movimentações'!$C$2:$C$501,"HE 50% (horas)"))</x:f>
        <x:v>7</x:v>
      </x:c>
      <x:c r="G10" s="95" t="n">
        <x:f>IF($A10="","",SUMIFS('Movimentações'!$D$2:$D$501,'Movimentações'!$A$2:$A$501,'Parâmetros'!$B$4,'Movimentações'!$B$2:$B$501,$A10,'Movimentações'!$C$2:$C$501,"HE 100% (horas)"))</x:f>
        <x:v>0</x:v>
      </x:c>
      <x:c r="H10" s="94" t="n">
        <x:f>IF($A10="","",SUMIFS('Movimentações'!$E$2:$E$501,'Movimentações'!$A$2:$A$501,'Parâmetros'!$B$4,'Movimentações'!$B$2:$B$501,$A10,'Movimentações'!$C$2:$C$501,"Comissão"))</x:f>
        <x:v>0</x:v>
      </x:c>
      <x:c r="I10" s="94" t="n">
        <x:f>IF($A10="","",SUMIFS('Movimentações'!$E$2:$E$501,'Movimentações'!$A$2:$A$501,'Parâmetros'!$B$4,'Movimentações'!$B$2:$B$501,$A10,'Movimentações'!$C$2:$C$501,"Bônus/Gratificação"))</x:f>
        <x:v>500</x:v>
      </x:c>
      <x:c r="J10" s="94" t="n">
        <x:f>IF($A10="","",SUMIFS('Movimentações'!$E$2:$E$501,'Movimentações'!$A$2:$A$501,'Parâmetros'!$B$4,'Movimentações'!$B$2:$B$501,$A10,'Movimentações'!$C$2:$C$501,"Adicional"))</x:f>
        <x:v>0</x:v>
      </x:c>
      <x:c r="K10" s="94" t="n">
        <x:f>IF($A10="","",SUMIFS('Movimentações'!$E$2:$E$501,'Movimentações'!$A$2:$A$501,'Parâmetros'!$B$4,'Movimentações'!$B$2:$B$501,$A10,'Movimentações'!$C$2:$C$501,"Crédito Extra"))</x:f>
        <x:v>0</x:v>
      </x:c>
      <x:c r="L10" s="94" t="n">
        <x:f>IF($A10="","",SUMIFS('Movimentações'!$E$2:$E$501,'Movimentações'!$A$2:$A$501,'Parâmetros'!$B$4,'Movimentações'!$B$2:$B$501,$A10,'Movimentações'!$C$2:$C$501,"Desconto Extra"))</x:f>
        <x:v>0</x:v>
      </x:c>
      <x:c r="M10" s="96" t="n">
        <x:f>IF($A10="","",D10/IF(Cadastro!J10=0,'Parâmetros'!$B$12,Cadastro!J10))</x:f>
        <x:v>25.454545454545453</x:v>
      </x:c>
      <x:c r="N10" s="96" t="n">
        <x:f>IF($A10="","",(D10/'Parâmetros'!$B$7)*E10)</x:f>
        <x:v>0</x:v>
      </x:c>
      <x:c r="O10" s="96" t="n">
        <x:f>IF($A10="","",IF(E10&gt;0,D10/'Parâmetros'!$B$7,0))</x:f>
        <x:v>0</x:v>
      </x:c>
      <x:c r="P10" s="96" t="n">
        <x:f>IF($A10="","",(M10*'Parâmetros'!$B$10)*F10)</x:f>
        <x:v>267.27272727272725</x:v>
      </x:c>
      <x:c r="Q10" s="96" t="n">
        <x:f>IF($A10="","",(M10*'Parâmetros'!$B$11)*G10)</x:f>
        <x:v>0</x:v>
      </x:c>
      <x:c r="R10" s="96" t="n">
        <x:f>IF($A10="","",((P10+Q10)/'Parâmetros'!$B$5)*'Parâmetros'!$B$6)</x:f>
        <x:v>48.595041322314046</x:v>
      </x:c>
      <x:c r="S10" s="96" t="n">
        <x:f>IF($A10="","",(H10/'Parâmetros'!$B$5)*'Parâmetros'!$B$6)</x:f>
        <x:v>0</x:v>
      </x:c>
      <x:c r="T10" s="96" t="n">
        <x:f>IF($A10="","",D10-N10-O10+H10+I10+J10+K10+P10+Q10+R10+S10)</x:f>
        <x:v>6415.867768595041</x:v>
      </x:c>
      <x:c r="U10" s="96" t="n">
        <x:f>IF($A10="","",MIN(D10*'Parâmetros'!$B$9,Cadastro!L10))</x:f>
        <x:v>200</x:v>
      </x:c>
      <x:c r="V10" s="96" t="n">
        <x:f>IF($A10="","",IF(T10&lt;='Parâmetros'!$C$16,T10*'Parâmetros'!$D$16,IF(T10&lt;='Parâmetros'!$C$17,T10*'Parâmetros'!$D$17-'Parâmetros'!$E$17,IF(T10&lt;='Parâmetros'!$C$18,T10*'Parâmetros'!$D$18-'Parâmetros'!$E$18,IF(T10&lt;='Parâmetros'!$C$19,T10*'Parâmetros'!$D$19-'Parâmetros'!$E$19,'Parâmetros'!$C$19*'Parâmetros'!$D$19-'Parâmetros'!$E$19)))))</x:f>
        <x:v>717.0414876033058</x:v>
      </x:c>
      <x:c r="W10" s="96" t="n">
        <x:f>IF($A10="","",MAX(0,((T10-V10-(Cadastro!K10*'Parâmetros'!$H$6))*'Parâmetros'!$H$4)-'Parâmetros'!$H$5))</x:f>
        <x:v>0</x:v>
      </x:c>
      <x:c r="X10" s="96" t="n">
        <x:f>IF($A10="","",Cadastro!M10)</x:f>
        <x:v>150</x:v>
      </x:c>
      <x:c r="Y10" s="96" t="n">
        <x:f>IF($A10="","",Cadastro!N10)</x:f>
        <x:v>220</x:v>
      </x:c>
      <x:c r="Z10" s="96" t="n">
        <x:f>IF($A10="","",Cadastro!O10)</x:f>
        <x:v>0</x:v>
      </x:c>
      <x:c r="AA10" s="96" t="n">
        <x:f>IF($A10="","",N10+O10+U10+V10+W10+X10+Y10+Z10+L10)</x:f>
        <x:v>1287.0414876033058</x:v>
      </x:c>
      <x:c r="AB10" s="96" t="n">
        <x:f>IF($A10="","",T10-(U10+V10+W10+X10+Y10+Z10+L10))</x:f>
        <x:v>5128.826280991735</x:v>
      </x:c>
      <x:c r="AC10" s="88" t="n">
        <x:f>IF($A10="","",SUMIFS('Importação Contabilidade'!$T$7:$T$500,'Importação Contabilidade'!$A$7:$A$500,'Parâmetros'!$B$4,'Importação Contabilidade'!$B$7:$B$500,$A10))</x:f>
        <x:v>6415.87</x:v>
      </x:c>
      <x:c r="AD10" s="88" t="n">
        <x:f>IF($A10="","",SUMIFS('Importação Contabilidade'!$U$7:$U$500,'Importação Contabilidade'!$A$7:$A$500,'Parâmetros'!$B$4,'Importação Contabilidade'!$B$7:$B$500,$A10))</x:f>
        <x:v>1287.04</x:v>
      </x:c>
      <x:c r="AE10" s="88" t="n">
        <x:f>IF($A10="","",SUMIFS('Importação Contabilidade'!$V$7:$V$500,'Importação Contabilidade'!$A$7:$A$500,'Parâmetros'!$B$4,'Importação Contabilidade'!$B$7:$B$500,$A10))</x:f>
        <x:v>5128.83</x:v>
      </x:c>
      <x:c r="AF10" s="97" t="n">
        <x:f>IF($A10="","",T10-AC10)</x:f>
        <x:v>-0.002231404959275096</x:v>
      </x:c>
      <x:c r="AG10" s="97" t="n">
        <x:f>IF($A10="","",AA10-AD10)</x:f>
        <x:v>0.0014876033058044413</x:v>
      </x:c>
      <x:c r="AH10" s="97" t="n">
        <x:f>IF($A10="","",AB10-AE10)</x:f>
        <x:v>-0.003719008264852164</x:v>
      </x:c>
      <x:c r="AI10" s="98" t="str">
        <x:f>IF($A10="","",IF(COUNTIFS('Importação Contabilidade'!$A$7:$A$500,'Parâmetros'!$B$4,'Importação Contabilidade'!$B$7:$B$500,$A10)=0,"PENDENTE IMPORTAÇÃO",IF(AND(ABS(AF10)&lt;='Parâmetros'!$B$8,ABS(AG10)&lt;='Parâmetros'!$B$8,ABS(AH10)&lt;='Parâmetros'!$B$8),"OK","REVISAR")))</x:f>
        <x:v>OK</x:v>
      </x:c>
      <x:c r="AJ10" s="98" t="str">
        <x:f>IF($A10="","",IF(AI10="PENDENTE IMPORTAÇÃO","Funcionário/competência não encontrados na Importação Contabilidade",IF(AI10="OK","Sem divergência relevante",IF(ABS(AH10)&gt;=MAX(ABS(AF10),ABS(AG10)),"Revisar salário líquido",IF(ABS(AF10)&gt;=ABS(AG10),"Revisar bruto/proventos","Revisar descontos")))))</x:f>
        <x:v>Sem divergência relevante</x:v>
      </x:c>
    </x:row>
    <x:row r="11">
      <x:c r="A11" s="93" t="n">
        <x:f>IF(Cadastro!A11="","",Cadastro!A11)</x:f>
        <x:v>1010</x:v>
      </x:c>
      <x:c r="B11" s="93" t="str">
        <x:f>IF(Cadastro!B11="","",Cadastro!B11)</x:f>
        <x:v>Diego Ferreira</x:v>
      </x:c>
      <x:c r="C11" s="93" t="str">
        <x:f>IF(Cadastro!F11="","",Cadastro!F11)</x:f>
        <x:v>Comercial</x:v>
      </x:c>
      <x:c r="D11" s="94" t="n">
        <x:f>IF(Cadastro!I11="","",Cadastro!I11)</x:f>
        <x:v>4200</x:v>
      </x:c>
      <x:c r="E11" s="95" t="n">
        <x:f>IF($A11="","",SUMIFS('Movimentações'!$D$2:$D$501,'Movimentações'!$A$2:$A$501,'Parâmetros'!$B$4,'Movimentações'!$B$2:$B$501,$A11,'Movimentações'!$C$2:$C$501,"Falta (dias)"))</x:f>
        <x:v>2</x:v>
      </x:c>
      <x:c r="F11" s="95" t="n">
        <x:f>IF($A11="","",SUMIFS('Movimentações'!$D$2:$D$501,'Movimentações'!$A$2:$A$501,'Parâmetros'!$B$4,'Movimentações'!$B$2:$B$501,$A11,'Movimentações'!$C$2:$C$501,"HE 50% (horas)"))</x:f>
        <x:v>0</x:v>
      </x:c>
      <x:c r="G11" s="95" t="n">
        <x:f>IF($A11="","",SUMIFS('Movimentações'!$D$2:$D$501,'Movimentações'!$A$2:$A$501,'Parâmetros'!$B$4,'Movimentações'!$B$2:$B$501,$A11,'Movimentações'!$C$2:$C$501,"HE 100% (horas)"))</x:f>
        <x:v>0</x:v>
      </x:c>
      <x:c r="H11" s="94" t="n">
        <x:f>IF($A11="","",SUMIFS('Movimentações'!$E$2:$E$501,'Movimentações'!$A$2:$A$501,'Parâmetros'!$B$4,'Movimentações'!$B$2:$B$501,$A11,'Movimentações'!$C$2:$C$501,"Comissão"))</x:f>
        <x:v>2500</x:v>
      </x:c>
      <x:c r="I11" s="94" t="n">
        <x:f>IF($A11="","",SUMIFS('Movimentações'!$E$2:$E$501,'Movimentações'!$A$2:$A$501,'Parâmetros'!$B$4,'Movimentações'!$B$2:$B$501,$A11,'Movimentações'!$C$2:$C$501,"Bônus/Gratificação"))</x:f>
        <x:v>0</x:v>
      </x:c>
      <x:c r="J11" s="94" t="n">
        <x:f>IF($A11="","",SUMIFS('Movimentações'!$E$2:$E$501,'Movimentações'!$A$2:$A$501,'Parâmetros'!$B$4,'Movimentações'!$B$2:$B$501,$A11,'Movimentações'!$C$2:$C$501,"Adicional"))</x:f>
        <x:v>0</x:v>
      </x:c>
      <x:c r="K11" s="94" t="n">
        <x:f>IF($A11="","",SUMIFS('Movimentações'!$E$2:$E$501,'Movimentações'!$A$2:$A$501,'Parâmetros'!$B$4,'Movimentações'!$B$2:$B$501,$A11,'Movimentações'!$C$2:$C$501,"Crédito Extra"))</x:f>
        <x:v>0</x:v>
      </x:c>
      <x:c r="L11" s="94" t="n">
        <x:f>IF($A11="","",SUMIFS('Movimentações'!$E$2:$E$501,'Movimentações'!$A$2:$A$501,'Parâmetros'!$B$4,'Movimentações'!$B$2:$B$501,$A11,'Movimentações'!$C$2:$C$501,"Desconto Extra"))</x:f>
        <x:v>0</x:v>
      </x:c>
      <x:c r="M11" s="96" t="n">
        <x:f>IF($A11="","",D11/IF(Cadastro!J11=0,'Parâmetros'!$B$12,Cadastro!J11))</x:f>
        <x:v>19.09090909090909</x:v>
      </x:c>
      <x:c r="N11" s="96" t="n">
        <x:f>IF($A11="","",(D11/'Parâmetros'!$B$7)*E11)</x:f>
        <x:v>280</x:v>
      </x:c>
      <x:c r="O11" s="96" t="n">
        <x:f>IF($A11="","",IF(E11&gt;0,D11/'Parâmetros'!$B$7,0))</x:f>
        <x:v>140</x:v>
      </x:c>
      <x:c r="P11" s="96" t="n">
        <x:f>IF($A11="","",(M11*'Parâmetros'!$B$10)*F11)</x:f>
        <x:v>0</x:v>
      </x:c>
      <x:c r="Q11" s="96" t="n">
        <x:f>IF($A11="","",(M11*'Parâmetros'!$B$11)*G11)</x:f>
        <x:v>0</x:v>
      </x:c>
      <x:c r="R11" s="96" t="n">
        <x:f>IF($A11="","",((P11+Q11)/'Parâmetros'!$B$5)*'Parâmetros'!$B$6)</x:f>
        <x:v>0</x:v>
      </x:c>
      <x:c r="S11" s="96" t="n">
        <x:f>IF($A11="","",(H11/'Parâmetros'!$B$5)*'Parâmetros'!$B$6)</x:f>
        <x:v>454.54545454545456</x:v>
      </x:c>
      <x:c r="T11" s="96" t="n">
        <x:f>IF($A11="","",D11-N11-O11+H11+I11+J11+K11+P11+Q11+R11+S11)</x:f>
        <x:v>6734.545454545455</x:v>
      </x:c>
      <x:c r="U11" s="96" t="n">
        <x:f>IF($A11="","",MIN(D11*'Parâmetros'!$B$9,Cadastro!L11))</x:f>
        <x:v>252</x:v>
      </x:c>
      <x:c r="V11" s="96" t="n">
        <x:f>IF($A11="","",IF(T11&lt;='Parâmetros'!$C$16,T11*'Parâmetros'!$D$16,IF(T11&lt;='Parâmetros'!$C$17,T11*'Parâmetros'!$D$17-'Parâmetros'!$E$17,IF(T11&lt;='Parâmetros'!$C$18,T11*'Parâmetros'!$D$18-'Parâmetros'!$E$18,IF(T11&lt;='Parâmetros'!$C$19,T11*'Parâmetros'!$D$19-'Parâmetros'!$E$19,'Parâmetros'!$C$19*'Parâmetros'!$D$19-'Parâmetros'!$E$19)))))</x:f>
        <x:v>761.6563636363637</x:v>
      </x:c>
      <x:c r="W11" s="96" t="n">
        <x:f>IF($A11="","",MAX(0,((T11-V11-(Cadastro!K11*'Parâmetros'!$H$6))*'Parâmetros'!$H$4)-'Parâmetros'!$H$5))</x:f>
        <x:v>0</x:v>
      </x:c>
      <x:c r="X11" s="96" t="n">
        <x:f>IF($A11="","",Cadastro!M11)</x:f>
        <x:v>120</x:v>
      </x:c>
      <x:c r="Y11" s="96" t="n">
        <x:f>IF($A11="","",Cadastro!N11)</x:f>
        <x:v>180</x:v>
      </x:c>
      <x:c r="Z11" s="96" t="n">
        <x:f>IF($A11="","",Cadastro!O11)</x:f>
        <x:v>0</x:v>
      </x:c>
      <x:c r="AA11" s="96" t="n">
        <x:f>IF($A11="","",N11+O11+U11+V11+W11+X11+Y11+Z11+L11)</x:f>
        <x:v>1733.6563636363637</x:v>
      </x:c>
      <x:c r="AB11" s="96" t="n">
        <x:f>IF($A11="","",T11-(U11+V11+W11+X11+Y11+Z11+L11))</x:f>
        <x:v>5420.8890909090915</x:v>
      </x:c>
      <x:c r="AC11" s="88" t="n">
        <x:f>IF($A11="","",SUMIFS('Importação Contabilidade'!$T$7:$T$500,'Importação Contabilidade'!$A$7:$A$500,'Parâmetros'!$B$4,'Importação Contabilidade'!$B$7:$B$500,$A11))</x:f>
        <x:v>6854.55</x:v>
      </x:c>
      <x:c r="AD11" s="88" t="n">
        <x:f>IF($A11="","",SUMIFS('Importação Contabilidade'!$U$7:$U$500,'Importação Contabilidade'!$A$7:$A$500,'Parâmetros'!$B$4,'Importação Contabilidade'!$B$7:$B$500,$A11))</x:f>
        <x:v>1733.66</x:v>
      </x:c>
      <x:c r="AE11" s="88" t="n">
        <x:f>IF($A11="","",SUMIFS('Importação Contabilidade'!$V$7:$V$500,'Importação Contabilidade'!$A$7:$A$500,'Parâmetros'!$B$4,'Importação Contabilidade'!$B$7:$B$500,$A11))</x:f>
        <x:v>5540.89</x:v>
      </x:c>
      <x:c r="AF11" s="97" t="n">
        <x:f>IF($A11="","",T11-AC11)</x:f>
        <x:v>-120.00454545454522</x:v>
      </x:c>
      <x:c r="AG11" s="97" t="n">
        <x:f>IF($A11="","",AA11-AD11)</x:f>
        <x:v>-0.003636363636360329</x:v>
      </x:c>
      <x:c r="AH11" s="97" t="n">
        <x:f>IF($A11="","",AB11-AE11)</x:f>
        <x:v>-120.00090909090886</x:v>
      </x:c>
      <x:c r="AI11" s="98" t="str">
        <x:f>IF($A11="","",IF(COUNTIFS('Importação Contabilidade'!$A$7:$A$500,'Parâmetros'!$B$4,'Importação Contabilidade'!$B$7:$B$500,$A11)=0,"PENDENTE IMPORTAÇÃO",IF(AND(ABS(AF11)&lt;='Parâmetros'!$B$8,ABS(AG11)&lt;='Parâmetros'!$B$8,ABS(AH11)&lt;='Parâmetros'!$B$8),"OK","REVISAR")))</x:f>
        <x:v>REVISAR</x:v>
      </x:c>
      <x:c r="AJ11" s="98" t="str">
        <x:f>IF($A11="","",IF(AI11="PENDENTE IMPORTAÇÃO","Funcionário/competência não encontrados na Importação Contabilidade",IF(AI11="OK","Sem divergência relevante",IF(ABS(AH11)&gt;=MAX(ABS(AF11),ABS(AG11)),"Revisar salário líquido",IF(ABS(AF11)&gt;=ABS(AG11),"Revisar bruto/proventos","Revisar descontos")))))</x:f>
        <x:v>Revisar bruto/proventos</x:v>
      </x:c>
    </x:row>
    <x:row r="12">
      <x:c r="A12" s="93" t="n">
        <x:f>IF(Cadastro!A12="","",Cadastro!A12)</x:f>
        <x:v>1011</x:v>
      </x:c>
      <x:c r="B12" s="93" t="str">
        <x:f>IF(Cadastro!B12="","",Cadastro!B12)</x:f>
        <x:v>Renata Barros</x:v>
      </x:c>
      <x:c r="C12" s="93" t="str">
        <x:f>IF(Cadastro!F12="","",Cadastro!F12)</x:f>
        <x:v>Financeiro</x:v>
      </x:c>
      <x:c r="D12" s="94" t="n">
        <x:f>IF(Cadastro!I12="","",Cadastro!I12)</x:f>
        <x:v>5900</x:v>
      </x:c>
      <x:c r="E12" s="95" t="n">
        <x:f>IF($A12="","",SUMIFS('Movimentações'!$D$2:$D$501,'Movimentações'!$A$2:$A$501,'Parâmetros'!$B$4,'Movimentações'!$B$2:$B$501,$A12,'Movimentações'!$C$2:$C$501,"Falta (dias)"))</x:f>
        <x:v>0</x:v>
      </x:c>
      <x:c r="F12" s="95" t="n">
        <x:f>IF($A12="","",SUMIFS('Movimentações'!$D$2:$D$501,'Movimentações'!$A$2:$A$501,'Parâmetros'!$B$4,'Movimentações'!$B$2:$B$501,$A12,'Movimentações'!$C$2:$C$501,"HE 50% (horas)"))</x:f>
        <x:v>4</x:v>
      </x:c>
      <x:c r="G12" s="95" t="n">
        <x:f>IF($A12="","",SUMIFS('Movimentações'!$D$2:$D$501,'Movimentações'!$A$2:$A$501,'Parâmetros'!$B$4,'Movimentações'!$B$2:$B$501,$A12,'Movimentações'!$C$2:$C$501,"HE 100% (horas)"))</x:f>
        <x:v>0</x:v>
      </x:c>
      <x:c r="H12" s="94" t="n">
        <x:f>IF($A12="","",SUMIFS('Movimentações'!$E$2:$E$501,'Movimentações'!$A$2:$A$501,'Parâmetros'!$B$4,'Movimentações'!$B$2:$B$501,$A12,'Movimentações'!$C$2:$C$501,"Comissão"))</x:f>
        <x:v>0</x:v>
      </x:c>
      <x:c r="I12" s="94" t="n">
        <x:f>IF($A12="","",SUMIFS('Movimentações'!$E$2:$E$501,'Movimentações'!$A$2:$A$501,'Parâmetros'!$B$4,'Movimentações'!$B$2:$B$501,$A12,'Movimentações'!$C$2:$C$501,"Bônus/Gratificação"))</x:f>
        <x:v>0</x:v>
      </x:c>
      <x:c r="J12" s="94" t="n">
        <x:f>IF($A12="","",SUMIFS('Movimentações'!$E$2:$E$501,'Movimentações'!$A$2:$A$501,'Parâmetros'!$B$4,'Movimentações'!$B$2:$B$501,$A12,'Movimentações'!$C$2:$C$501,"Adicional"))</x:f>
        <x:v>300</x:v>
      </x:c>
      <x:c r="K12" s="94" t="n">
        <x:f>IF($A12="","",SUMIFS('Movimentações'!$E$2:$E$501,'Movimentações'!$A$2:$A$501,'Parâmetros'!$B$4,'Movimentações'!$B$2:$B$501,$A12,'Movimentações'!$C$2:$C$501,"Crédito Extra"))</x:f>
        <x:v>0</x:v>
      </x:c>
      <x:c r="L12" s="94" t="n">
        <x:f>IF($A12="","",SUMIFS('Movimentações'!$E$2:$E$501,'Movimentações'!$A$2:$A$501,'Parâmetros'!$B$4,'Movimentações'!$B$2:$B$501,$A12,'Movimentações'!$C$2:$C$501,"Desconto Extra"))</x:f>
        <x:v>0</x:v>
      </x:c>
      <x:c r="M12" s="96" t="n">
        <x:f>IF($A12="","",D12/IF(Cadastro!J12=0,'Parâmetros'!$B$12,Cadastro!J12))</x:f>
        <x:v>26.818181818181817</x:v>
      </x:c>
      <x:c r="N12" s="96" t="n">
        <x:f>IF($A12="","",(D12/'Parâmetros'!$B$7)*E12)</x:f>
        <x:v>0</x:v>
      </x:c>
      <x:c r="O12" s="96" t="n">
        <x:f>IF($A12="","",IF(E12&gt;0,D12/'Parâmetros'!$B$7,0))</x:f>
        <x:v>0</x:v>
      </x:c>
      <x:c r="P12" s="96" t="n">
        <x:f>IF($A12="","",(M12*'Parâmetros'!$B$10)*F12)</x:f>
        <x:v>160.9090909090909</x:v>
      </x:c>
      <x:c r="Q12" s="96" t="n">
        <x:f>IF($A12="","",(M12*'Parâmetros'!$B$11)*G12)</x:f>
        <x:v>0</x:v>
      </x:c>
      <x:c r="R12" s="96" t="n">
        <x:f>IF($A12="","",((P12+Q12)/'Parâmetros'!$B$5)*'Parâmetros'!$B$6)</x:f>
        <x:v>29.25619834710744</x:v>
      </x:c>
      <x:c r="S12" s="96" t="n">
        <x:f>IF($A12="","",(H12/'Parâmetros'!$B$5)*'Parâmetros'!$B$6)</x:f>
        <x:v>0</x:v>
      </x:c>
      <x:c r="T12" s="96" t="n">
        <x:f>IF($A12="","",D12-N12-O12+H12+I12+J12+K12+P12+Q12+R12+S12)</x:f>
        <x:v>6390.165289256199</x:v>
      </x:c>
      <x:c r="U12" s="96" t="n">
        <x:f>IF($A12="","",MIN(D12*'Parâmetros'!$B$9,Cadastro!L12))</x:f>
        <x:v>180</x:v>
      </x:c>
      <x:c r="V12" s="96" t="n">
        <x:f>IF($A12="","",IF(T12&lt;='Parâmetros'!$C$16,T12*'Parâmetros'!$D$16,IF(T12&lt;='Parâmetros'!$C$17,T12*'Parâmetros'!$D$17-'Parâmetros'!$E$17,IF(T12&lt;='Parâmetros'!$C$18,T12*'Parâmetros'!$D$18-'Parâmetros'!$E$18,IF(T12&lt;='Parâmetros'!$C$19,T12*'Parâmetros'!$D$19-'Parâmetros'!$E$19,'Parâmetros'!$C$19*'Parâmetros'!$D$19-'Parâmetros'!$E$19)))))</x:f>
        <x:v>713.443140495868</x:v>
      </x:c>
      <x:c r="W12" s="96" t="n">
        <x:f>IF($A12="","",MAX(0,((T12-V12-(Cadastro!K12*'Parâmetros'!$H$6))*'Parâmetros'!$H$4)-'Parâmetros'!$H$5))</x:f>
        <x:v>0</x:v>
      </x:c>
      <x:c r="X12" s="96" t="n">
        <x:f>IF($A12="","",Cadastro!M12)</x:f>
        <x:v>150</x:v>
      </x:c>
      <x:c r="Y12" s="96" t="n">
        <x:f>IF($A12="","",Cadastro!N12)</x:f>
        <x:v>230</x:v>
      </x:c>
      <x:c r="Z12" s="96" t="n">
        <x:f>IF($A12="","",Cadastro!O12)</x:f>
        <x:v>0</x:v>
      </x:c>
      <x:c r="AA12" s="96" t="n">
        <x:f>IF($A12="","",N12+O12+U12+V12+W12+X12+Y12+Z12+L12)</x:f>
        <x:v>1273.443140495868</x:v>
      </x:c>
      <x:c r="AB12" s="96" t="n">
        <x:f>IF($A12="","",T12-(U12+V12+W12+X12+Y12+Z12+L12))</x:f>
        <x:v>5116.722148760331</x:v>
      </x:c>
      <x:c r="AC12" s="88" t="n">
        <x:f>IF($A12="","",SUMIFS('Importação Contabilidade'!$T$7:$T$500,'Importação Contabilidade'!$A$7:$A$500,'Parâmetros'!$B$4,'Importação Contabilidade'!$B$7:$B$500,$A12))</x:f>
        <x:v>6390.17</x:v>
      </x:c>
      <x:c r="AD12" s="88" t="n">
        <x:f>IF($A12="","",SUMIFS('Importação Contabilidade'!$U$7:$U$500,'Importação Contabilidade'!$A$7:$A$500,'Parâmetros'!$B$4,'Importação Contabilidade'!$B$7:$B$500,$A12))</x:f>
        <x:v>1273.44</x:v>
      </x:c>
      <x:c r="AE12" s="88" t="n">
        <x:f>IF($A12="","",SUMIFS('Importação Contabilidade'!$V$7:$V$500,'Importação Contabilidade'!$A$7:$A$500,'Parâmetros'!$B$4,'Importação Contabilidade'!$B$7:$B$500,$A12))</x:f>
        <x:v>5116.72</x:v>
      </x:c>
      <x:c r="AF12" s="97" t="n">
        <x:f>IF($A12="","",T12-AC12)</x:f>
        <x:v>-0.0047107438012972125</x:v>
      </x:c>
      <x:c r="AG12" s="97" t="n">
        <x:f>IF($A12="","",AA12-AD12)</x:f>
        <x:v>0.003140495867910431</x:v>
      </x:c>
      <x:c r="AH12" s="97" t="n">
        <x:f>IF($A12="","",AB12-AE12)</x:f>
        <x:v>0.0021487603307832615</x:v>
      </x:c>
      <x:c r="AI12" s="98" t="str">
        <x:f>IF($A12="","",IF(COUNTIFS('Importação Contabilidade'!$A$7:$A$500,'Parâmetros'!$B$4,'Importação Contabilidade'!$B$7:$B$500,$A12)=0,"PENDENTE IMPORTAÇÃO",IF(AND(ABS(AF12)&lt;='Parâmetros'!$B$8,ABS(AG12)&lt;='Parâmetros'!$B$8,ABS(AH12)&lt;='Parâmetros'!$B$8),"OK","REVISAR")))</x:f>
        <x:v>OK</x:v>
      </x:c>
      <x:c r="AJ12" s="98" t="str">
        <x:f>IF($A12="","",IF(AI12="PENDENTE IMPORTAÇÃO","Funcionário/competência não encontrados na Importação Contabilidade",IF(AI12="OK","Sem divergência relevante",IF(ABS(AH12)&gt;=MAX(ABS(AF12),ABS(AG12)),"Revisar salário líquido",IF(ABS(AF12)&gt;=ABS(AG12),"Revisar bruto/proventos","Revisar descontos")))))</x:f>
        <x:v>Sem divergência relevante</x:v>
      </x:c>
    </x:row>
    <x:row r="13">
      <x:c r="A13" s="93" t="n">
        <x:f>IF(Cadastro!A13="","",Cadastro!A13)</x:f>
        <x:v>1012</x:v>
      </x:c>
      <x:c r="B13" s="93" t="str">
        <x:f>IF(Cadastro!B13="","",Cadastro!B13)</x:f>
        <x:v>Gustavo Nunes</x:v>
      </x:c>
      <x:c r="C13" s="93" t="str">
        <x:f>IF(Cadastro!F13="","",Cadastro!F13)</x:f>
        <x:v>Comercial</x:v>
      </x:c>
      <x:c r="D13" s="94" t="n">
        <x:f>IF(Cadastro!I13="","",Cadastro!I13)</x:f>
        <x:v>3400</x:v>
      </x:c>
      <x:c r="E13" s="95" t="n">
        <x:f>IF($A13="","",SUMIFS('Movimentações'!$D$2:$D$501,'Movimentações'!$A$2:$A$501,'Parâmetros'!$B$4,'Movimentações'!$B$2:$B$501,$A13,'Movimentações'!$C$2:$C$501,"Falta (dias)"))</x:f>
        <x:v>0</x:v>
      </x:c>
      <x:c r="F13" s="95" t="n">
        <x:f>IF($A13="","",SUMIFS('Movimentações'!$D$2:$D$501,'Movimentações'!$A$2:$A$501,'Parâmetros'!$B$4,'Movimentações'!$B$2:$B$501,$A13,'Movimentações'!$C$2:$C$501,"HE 50% (horas)"))</x:f>
        <x:v>10</x:v>
      </x:c>
      <x:c r="G13" s="95" t="n">
        <x:f>IF($A13="","",SUMIFS('Movimentações'!$D$2:$D$501,'Movimentações'!$A$2:$A$501,'Parâmetros'!$B$4,'Movimentações'!$B$2:$B$501,$A13,'Movimentações'!$C$2:$C$501,"HE 100% (horas)"))</x:f>
        <x:v>0</x:v>
      </x:c>
      <x:c r="H13" s="94" t="n">
        <x:f>IF($A13="","",SUMIFS('Movimentações'!$E$2:$E$501,'Movimentações'!$A$2:$A$501,'Parâmetros'!$B$4,'Movimentações'!$B$2:$B$501,$A13,'Movimentações'!$C$2:$C$501,"Comissão"))</x:f>
        <x:v>0</x:v>
      </x:c>
      <x:c r="I13" s="94" t="n">
        <x:f>IF($A13="","",SUMIFS('Movimentações'!$E$2:$E$501,'Movimentações'!$A$2:$A$501,'Parâmetros'!$B$4,'Movimentações'!$B$2:$B$501,$A13,'Movimentações'!$C$2:$C$501,"Bônus/Gratificação"))</x:f>
        <x:v>0</x:v>
      </x:c>
      <x:c r="J13" s="94" t="n">
        <x:f>IF($A13="","",SUMIFS('Movimentações'!$E$2:$E$501,'Movimentações'!$A$2:$A$501,'Parâmetros'!$B$4,'Movimentações'!$B$2:$B$501,$A13,'Movimentações'!$C$2:$C$501,"Adicional"))</x:f>
        <x:v>0</x:v>
      </x:c>
      <x:c r="K13" s="94" t="n">
        <x:f>IF($A13="","",SUMIFS('Movimentações'!$E$2:$E$501,'Movimentações'!$A$2:$A$501,'Parâmetros'!$B$4,'Movimentações'!$B$2:$B$501,$A13,'Movimentações'!$C$2:$C$501,"Crédito Extra"))</x:f>
        <x:v>180</x:v>
      </x:c>
      <x:c r="L13" s="94" t="n">
        <x:f>IF($A13="","",SUMIFS('Movimentações'!$E$2:$E$501,'Movimentações'!$A$2:$A$501,'Parâmetros'!$B$4,'Movimentações'!$B$2:$B$501,$A13,'Movimentações'!$C$2:$C$501,"Desconto Extra"))</x:f>
        <x:v>0</x:v>
      </x:c>
      <x:c r="M13" s="96" t="n">
        <x:f>IF($A13="","",D13/IF(Cadastro!J13=0,'Parâmetros'!$B$12,Cadastro!J13))</x:f>
        <x:v>15.454545454545455</x:v>
      </x:c>
      <x:c r="N13" s="96" t="n">
        <x:f>IF($A13="","",(D13/'Parâmetros'!$B$7)*E13)</x:f>
        <x:v>0</x:v>
      </x:c>
      <x:c r="O13" s="96" t="n">
        <x:f>IF($A13="","",IF(E13&gt;0,D13/'Parâmetros'!$B$7,0))</x:f>
        <x:v>0</x:v>
      </x:c>
      <x:c r="P13" s="96" t="n">
        <x:f>IF($A13="","",(M13*'Parâmetros'!$B$10)*F13)</x:f>
        <x:v>231.81818181818184</x:v>
      </x:c>
      <x:c r="Q13" s="96" t="n">
        <x:f>IF($A13="","",(M13*'Parâmetros'!$B$11)*G13)</x:f>
        <x:v>0</x:v>
      </x:c>
      <x:c r="R13" s="96" t="n">
        <x:f>IF($A13="","",((P13+Q13)/'Parâmetros'!$B$5)*'Parâmetros'!$B$6)</x:f>
        <x:v>42.14876033057852</x:v>
      </x:c>
      <x:c r="S13" s="96" t="n">
        <x:f>IF($A13="","",(H13/'Parâmetros'!$B$5)*'Parâmetros'!$B$6)</x:f>
        <x:v>0</x:v>
      </x:c>
      <x:c r="T13" s="96" t="n">
        <x:f>IF($A13="","",D13-N13-O13+H13+I13+J13+K13+P13+Q13+R13+S13)</x:f>
        <x:v>3853.9669421487606</x:v>
      </x:c>
      <x:c r="U13" s="96" t="n">
        <x:f>IF($A13="","",MIN(D13*'Parâmetros'!$B$9,Cadastro!L13))</x:f>
        <x:v>204</x:v>
      </x:c>
      <x:c r="V13" s="96" t="n">
        <x:f>IF($A13="","",IF(T13&lt;='Parâmetros'!$C$16,T13*'Parâmetros'!$D$16,IF(T13&lt;='Parâmetros'!$C$17,T13*'Parâmetros'!$D$17-'Parâmetros'!$E$17,IF(T13&lt;='Parâmetros'!$C$18,T13*'Parâmetros'!$D$18-'Parâmetros'!$E$18,IF(T13&lt;='Parâmetros'!$C$19,T13*'Parâmetros'!$D$19-'Parâmetros'!$E$19,'Parâmetros'!$C$19*'Parâmetros'!$D$19-'Parâmetros'!$E$19)))))</x:f>
        <x:v>361.2960330578513</x:v>
      </x:c>
      <x:c r="W13" s="96" t="n">
        <x:f>IF($A13="","",MAX(0,((T13-V13-(Cadastro!K13*'Parâmetros'!$H$6))*'Parâmetros'!$H$4)-'Parâmetros'!$H$5))</x:f>
        <x:v>0</x:v>
      </x:c>
      <x:c r="X13" s="96" t="n">
        <x:f>IF($A13="","",Cadastro!M13)</x:f>
        <x:v>100</x:v>
      </x:c>
      <x:c r="Y13" s="96" t="n">
        <x:f>IF($A13="","",Cadastro!N13)</x:f>
        <x:v>150</x:v>
      </x:c>
      <x:c r="Z13" s="96" t="n">
        <x:f>IF($A13="","",Cadastro!O13)</x:f>
        <x:v>0</x:v>
      </x:c>
      <x:c r="AA13" s="96" t="n">
        <x:f>IF($A13="","",N13+O13+U13+V13+W13+X13+Y13+Z13+L13)</x:f>
        <x:v>815.2960330578512</x:v>
      </x:c>
      <x:c r="AB13" s="96" t="n">
        <x:f>IF($A13="","",T13-(U13+V13+W13+X13+Y13+Z13+L13))</x:f>
        <x:v>3038.6709090909094</x:v>
      </x:c>
      <x:c r="AC13" s="88" t="n">
        <x:f>IF($A13="","",SUMIFS('Importação Contabilidade'!$T$7:$T$500,'Importação Contabilidade'!$A$7:$A$500,'Parâmetros'!$B$4,'Importação Contabilidade'!$B$7:$B$500,$A13))</x:f>
        <x:v>3853.97</x:v>
      </x:c>
      <x:c r="AD13" s="88" t="n">
        <x:f>IF($A13="","",SUMIFS('Importação Contabilidade'!$U$7:$U$500,'Importação Contabilidade'!$A$7:$A$500,'Parâmetros'!$B$4,'Importação Contabilidade'!$B$7:$B$500,$A13))</x:f>
        <x:v>815.3</x:v>
      </x:c>
      <x:c r="AE13" s="88" t="n">
        <x:f>IF($A13="","",SUMIFS('Importação Contabilidade'!$V$7:$V$500,'Importação Contabilidade'!$A$7:$A$500,'Parâmetros'!$B$4,'Importação Contabilidade'!$B$7:$B$500,$A13))</x:f>
        <x:v>3038.67</x:v>
      </x:c>
      <x:c r="AF13" s="97" t="n">
        <x:f>IF($A13="","",T13-AC13)</x:f>
        <x:v>-0.0030578512391912227</x:v>
      </x:c>
      <x:c r="AG13" s="97" t="n">
        <x:f>IF($A13="","",AA13-AD13)</x:f>
        <x:v>-0.003966942148736052</x:v>
      </x:c>
      <x:c r="AH13" s="97" t="n">
        <x:f>IF($A13="","",AB13-AE13)</x:f>
        <x:v>0.000909090909317456</x:v>
      </x:c>
      <x:c r="AI13" s="98" t="str">
        <x:f>IF($A13="","",IF(COUNTIFS('Importação Contabilidade'!$A$7:$A$500,'Parâmetros'!$B$4,'Importação Contabilidade'!$B$7:$B$500,$A13)=0,"PENDENTE IMPORTAÇÃO",IF(AND(ABS(AF13)&lt;='Parâmetros'!$B$8,ABS(AG13)&lt;='Parâmetros'!$B$8,ABS(AH13)&lt;='Parâmetros'!$B$8),"OK","REVISAR")))</x:f>
        <x:v>OK</x:v>
      </x:c>
      <x:c r="AJ13" s="98" t="str">
        <x:f>IF($A13="","",IF(AI13="PENDENTE IMPORTAÇÃO","Funcionário/competência não encontrados na Importação Contabilidade",IF(AI13="OK","Sem divergência relevante",IF(ABS(AH13)&gt;=MAX(ABS(AF13),ABS(AG13)),"Revisar salário líquido",IF(ABS(AF13)&gt;=ABS(AG13),"Revisar bruto/proventos","Revisar descontos")))))</x:f>
        <x:v>Sem divergência relevante</x:v>
      </x:c>
    </x:row>
    <x:row r="14">
      <x:c r="A14" s="93" t="n">
        <x:f>IF(Cadastro!A14="","",Cadastro!A14)</x:f>
        <x:v>1013</x:v>
      </x:c>
      <x:c r="B14" s="93" t="str">
        <x:f>IF(Cadastro!B14="","",Cadastro!B14)</x:f>
        <x:v>Aline Ribeiro</x:v>
      </x:c>
      <x:c r="C14" s="93" t="str">
        <x:f>IF(Cadastro!F14="","",Cadastro!F14)</x:f>
        <x:v>RH</x:v>
      </x:c>
      <x:c r="D14" s="94" t="n">
        <x:f>IF(Cadastro!I14="","",Cadastro!I14)</x:f>
        <x:v>5400</x:v>
      </x:c>
      <x:c r="E14" s="95" t="n">
        <x:f>IF($A14="","",SUMIFS('Movimentações'!$D$2:$D$501,'Movimentações'!$A$2:$A$501,'Parâmetros'!$B$4,'Movimentações'!$B$2:$B$501,$A14,'Movimentações'!$C$2:$C$501,"Falta (dias)"))</x:f>
        <x:v>0</x:v>
      </x:c>
      <x:c r="F14" s="95" t="n">
        <x:f>IF($A14="","",SUMIFS('Movimentações'!$D$2:$D$501,'Movimentações'!$A$2:$A$501,'Parâmetros'!$B$4,'Movimentações'!$B$2:$B$501,$A14,'Movimentações'!$C$2:$C$501,"HE 50% (horas)"))</x:f>
        <x:v>5</x:v>
      </x:c>
      <x:c r="G14" s="95" t="n">
        <x:f>IF($A14="","",SUMIFS('Movimentações'!$D$2:$D$501,'Movimentações'!$A$2:$A$501,'Parâmetros'!$B$4,'Movimentações'!$B$2:$B$501,$A14,'Movimentações'!$C$2:$C$501,"HE 100% (horas)"))</x:f>
        <x:v>0</x:v>
      </x:c>
      <x:c r="H14" s="94" t="n">
        <x:f>IF($A14="","",SUMIFS('Movimentações'!$E$2:$E$501,'Movimentações'!$A$2:$A$501,'Parâmetros'!$B$4,'Movimentações'!$B$2:$B$501,$A14,'Movimentações'!$C$2:$C$501,"Comissão"))</x:f>
        <x:v>0</x:v>
      </x:c>
      <x:c r="I14" s="94" t="n">
        <x:f>IF($A14="","",SUMIFS('Movimentações'!$E$2:$E$501,'Movimentações'!$A$2:$A$501,'Parâmetros'!$B$4,'Movimentações'!$B$2:$B$501,$A14,'Movimentações'!$C$2:$C$501,"Bônus/Gratificação"))</x:f>
        <x:v>0</x:v>
      </x:c>
      <x:c r="J14" s="94" t="n">
        <x:f>IF($A14="","",SUMIFS('Movimentações'!$E$2:$E$501,'Movimentações'!$A$2:$A$501,'Parâmetros'!$B$4,'Movimentações'!$B$2:$B$501,$A14,'Movimentações'!$C$2:$C$501,"Adicional"))</x:f>
        <x:v>250</x:v>
      </x:c>
      <x:c r="K14" s="94" t="n">
        <x:f>IF($A14="","",SUMIFS('Movimentações'!$E$2:$E$501,'Movimentações'!$A$2:$A$501,'Parâmetros'!$B$4,'Movimentações'!$B$2:$B$501,$A14,'Movimentações'!$C$2:$C$501,"Crédito Extra"))</x:f>
        <x:v>0</x:v>
      </x:c>
      <x:c r="L14" s="94" t="n">
        <x:f>IF($A14="","",SUMIFS('Movimentações'!$E$2:$E$501,'Movimentações'!$A$2:$A$501,'Parâmetros'!$B$4,'Movimentações'!$B$2:$B$501,$A14,'Movimentações'!$C$2:$C$501,"Desconto Extra"))</x:f>
        <x:v>0</x:v>
      </x:c>
      <x:c r="M14" s="96" t="n">
        <x:f>IF($A14="","",D14/IF(Cadastro!J14=0,'Parâmetros'!$B$12,Cadastro!J14))</x:f>
        <x:v>24.545454545454547</x:v>
      </x:c>
      <x:c r="N14" s="96" t="n">
        <x:f>IF($A14="","",(D14/'Parâmetros'!$B$7)*E14)</x:f>
        <x:v>0</x:v>
      </x:c>
      <x:c r="O14" s="96" t="n">
        <x:f>IF($A14="","",IF(E14&gt;0,D14/'Parâmetros'!$B$7,0))</x:f>
        <x:v>0</x:v>
      </x:c>
      <x:c r="P14" s="96" t="n">
        <x:f>IF($A14="","",(M14*'Parâmetros'!$B$10)*F14)</x:f>
        <x:v>184.0909090909091</x:v>
      </x:c>
      <x:c r="Q14" s="96" t="n">
        <x:f>IF($A14="","",(M14*'Parâmetros'!$B$11)*G14)</x:f>
        <x:v>0</x:v>
      </x:c>
      <x:c r="R14" s="96" t="n">
        <x:f>IF($A14="","",((P14+Q14)/'Parâmetros'!$B$5)*'Parâmetros'!$B$6)</x:f>
        <x:v>33.47107438016529</x:v>
      </x:c>
      <x:c r="S14" s="96" t="n">
        <x:f>IF($A14="","",(H14/'Parâmetros'!$B$5)*'Parâmetros'!$B$6)</x:f>
        <x:v>0</x:v>
      </x:c>
      <x:c r="T14" s="96" t="n">
        <x:f>IF($A14="","",D14-N14-O14+H14+I14+J14+K14+P14+Q14+R14+S14)</x:f>
        <x:v>5867.561983471074</x:v>
      </x:c>
      <x:c r="U14" s="96" t="n">
        <x:f>IF($A14="","",MIN(D14*'Parâmetros'!$B$9,Cadastro!L14))</x:f>
        <x:v>180</x:v>
      </x:c>
      <x:c r="V14" s="96" t="n">
        <x:f>IF($A14="","",IF(T14&lt;='Parâmetros'!$C$16,T14*'Parâmetros'!$D$16,IF(T14&lt;='Parâmetros'!$C$17,T14*'Parâmetros'!$D$17-'Parâmetros'!$E$17,IF(T14&lt;='Parâmetros'!$C$18,T14*'Parâmetros'!$D$18-'Parâmetros'!$E$18,IF(T14&lt;='Parâmetros'!$C$19,T14*'Parâmetros'!$D$19-'Parâmetros'!$E$19,'Parâmetros'!$C$19*'Parâmetros'!$D$19-'Parâmetros'!$E$19)))))</x:f>
        <x:v>640.2786776859505</x:v>
      </x:c>
      <x:c r="W14" s="96" t="n">
        <x:f>IF($A14="","",MAX(0,((T14-V14-(Cadastro!K14*'Parâmetros'!$H$6))*'Parâmetros'!$H$4)-'Parâmetros'!$H$5))</x:f>
        <x:v>0</x:v>
      </x:c>
      <x:c r="X14" s="96" t="n">
        <x:f>IF($A14="","",Cadastro!M14)</x:f>
        <x:v>120</x:v>
      </x:c>
      <x:c r="Y14" s="96" t="n">
        <x:f>IF($A14="","",Cadastro!N14)</x:f>
        <x:v>200</x:v>
      </x:c>
      <x:c r="Z14" s="96" t="n">
        <x:f>IF($A14="","",Cadastro!O14)</x:f>
        <x:v>0</x:v>
      </x:c>
      <x:c r="AA14" s="96" t="n">
        <x:f>IF($A14="","",N14+O14+U14+V14+W14+X14+Y14+Z14+L14)</x:f>
        <x:v>1140.2786776859505</x:v>
      </x:c>
      <x:c r="AB14" s="96" t="n">
        <x:f>IF($A14="","",T14-(U14+V14+W14+X14+Y14+Z14+L14))</x:f>
        <x:v>4727.283305785124</x:v>
      </x:c>
      <x:c r="AC14" s="88" t="n">
        <x:f>IF($A14="","",SUMIFS('Importação Contabilidade'!$T$7:$T$500,'Importação Contabilidade'!$A$7:$A$500,'Parâmetros'!$B$4,'Importação Contabilidade'!$B$7:$B$500,$A14))</x:f>
        <x:v>5867.56</x:v>
      </x:c>
      <x:c r="AD14" s="88" t="n">
        <x:f>IF($A14="","",SUMIFS('Importação Contabilidade'!$U$7:$U$500,'Importação Contabilidade'!$A$7:$A$500,'Parâmetros'!$B$4,'Importação Contabilidade'!$B$7:$B$500,$A14))</x:f>
        <x:v>1140.28</x:v>
      </x:c>
      <x:c r="AE14" s="88" t="n">
        <x:f>IF($A14="","",SUMIFS('Importação Contabilidade'!$V$7:$V$500,'Importação Contabilidade'!$A$7:$A$500,'Parâmetros'!$B$4,'Importação Contabilidade'!$B$7:$B$500,$A14))</x:f>
        <x:v>4727.28</x:v>
      </x:c>
      <x:c r="AF14" s="97" t="n">
        <x:f>IF($A14="","",T14-AC14)</x:f>
        <x:v>0.001983471073799592</x:v>
      </x:c>
      <x:c r="AG14" s="97" t="n">
        <x:f>IF($A14="","",AA14-AD14)</x:f>
        <x:v>-0.0013223140495028929</x:v>
      </x:c>
      <x:c r="AH14" s="97" t="n">
        <x:f>IF($A14="","",AB14-AE14)</x:f>
        <x:v>0.0033057851242119796</x:v>
      </x:c>
      <x:c r="AI14" s="98" t="str">
        <x:f>IF($A14="","",IF(COUNTIFS('Importação Contabilidade'!$A$7:$A$500,'Parâmetros'!$B$4,'Importação Contabilidade'!$B$7:$B$500,$A14)=0,"PENDENTE IMPORTAÇÃO",IF(AND(ABS(AF14)&lt;='Parâmetros'!$B$8,ABS(AG14)&lt;='Parâmetros'!$B$8,ABS(AH14)&lt;='Parâmetros'!$B$8),"OK","REVISAR")))</x:f>
        <x:v>OK</x:v>
      </x:c>
      <x:c r="AJ14" s="98" t="str">
        <x:f>IF($A14="","",IF(AI14="PENDENTE IMPORTAÇÃO","Funcionário/competência não encontrados na Importação Contabilidade",IF(AI14="OK","Sem divergência relevante",IF(ABS(AH14)&gt;=MAX(ABS(AF14),ABS(AG14)),"Revisar salário líquido",IF(ABS(AF14)&gt;=ABS(AG14),"Revisar bruto/proventos","Revisar descontos")))))</x:f>
        <x:v>Sem divergência relevante</x:v>
      </x:c>
    </x:row>
    <x:row r="15">
      <x:c r="A15" s="93" t="n">
        <x:f>IF(Cadastro!A15="","",Cadastro!A15)</x:f>
        <x:v>1014</x:v>
      </x:c>
      <x:c r="B15" s="93" t="str">
        <x:f>IF(Cadastro!B15="","",Cadastro!B15)</x:f>
        <x:v>Marcos Vieira</x:v>
      </x:c>
      <x:c r="C15" s="93" t="str">
        <x:f>IF(Cadastro!F15="","",Cadastro!F15)</x:f>
        <x:v>Comercial</x:v>
      </x:c>
      <x:c r="D15" s="94" t="n">
        <x:f>IF(Cadastro!I15="","",Cadastro!I15)</x:f>
        <x:v>4100</x:v>
      </x:c>
      <x:c r="E15" s="95" t="n">
        <x:f>IF($A15="","",SUMIFS('Movimentações'!$D$2:$D$501,'Movimentações'!$A$2:$A$501,'Parâmetros'!$B$4,'Movimentações'!$B$2:$B$501,$A15,'Movimentações'!$C$2:$C$501,"Falta (dias)"))</x:f>
        <x:v>0</x:v>
      </x:c>
      <x:c r="F15" s="95" t="n">
        <x:f>IF($A15="","",SUMIFS('Movimentações'!$D$2:$D$501,'Movimentações'!$A$2:$A$501,'Parâmetros'!$B$4,'Movimentações'!$B$2:$B$501,$A15,'Movimentações'!$C$2:$C$501,"HE 50% (horas)"))</x:f>
        <x:v>0</x:v>
      </x:c>
      <x:c r="G15" s="95" t="n">
        <x:f>IF($A15="","",SUMIFS('Movimentações'!$D$2:$D$501,'Movimentações'!$A$2:$A$501,'Parâmetros'!$B$4,'Movimentações'!$B$2:$B$501,$A15,'Movimentações'!$C$2:$C$501,"HE 100% (horas)"))</x:f>
        <x:v>4</x:v>
      </x:c>
      <x:c r="H15" s="94" t="n">
        <x:f>IF($A15="","",SUMIFS('Movimentações'!$E$2:$E$501,'Movimentações'!$A$2:$A$501,'Parâmetros'!$B$4,'Movimentações'!$B$2:$B$501,$A15,'Movimentações'!$C$2:$C$501,"Comissão"))</x:f>
        <x:v>2300</x:v>
      </x:c>
      <x:c r="I15" s="94" t="n">
        <x:f>IF($A15="","",SUMIFS('Movimentações'!$E$2:$E$501,'Movimentações'!$A$2:$A$501,'Parâmetros'!$B$4,'Movimentações'!$B$2:$B$501,$A15,'Movimentações'!$C$2:$C$501,"Bônus/Gratificação"))</x:f>
        <x:v>0</x:v>
      </x:c>
      <x:c r="J15" s="94" t="n">
        <x:f>IF($A15="","",SUMIFS('Movimentações'!$E$2:$E$501,'Movimentações'!$A$2:$A$501,'Parâmetros'!$B$4,'Movimentações'!$B$2:$B$501,$A15,'Movimentações'!$C$2:$C$501,"Adicional"))</x:f>
        <x:v>0</x:v>
      </x:c>
      <x:c r="K15" s="94" t="n">
        <x:f>IF($A15="","",SUMIFS('Movimentações'!$E$2:$E$501,'Movimentações'!$A$2:$A$501,'Parâmetros'!$B$4,'Movimentações'!$B$2:$B$501,$A15,'Movimentações'!$C$2:$C$501,"Crédito Extra"))</x:f>
        <x:v>0</x:v>
      </x:c>
      <x:c r="L15" s="94" t="n">
        <x:f>IF($A15="","",SUMIFS('Movimentações'!$E$2:$E$501,'Movimentações'!$A$2:$A$501,'Parâmetros'!$B$4,'Movimentações'!$B$2:$B$501,$A15,'Movimentações'!$C$2:$C$501,"Desconto Extra"))</x:f>
        <x:v>0</x:v>
      </x:c>
      <x:c r="M15" s="96" t="n">
        <x:f>IF($A15="","",D15/IF(Cadastro!J15=0,'Parâmetros'!$B$12,Cadastro!J15))</x:f>
        <x:v>18.636363636363637</x:v>
      </x:c>
      <x:c r="N15" s="96" t="n">
        <x:f>IF($A15="","",(D15/'Parâmetros'!$B$7)*E15)</x:f>
        <x:v>0</x:v>
      </x:c>
      <x:c r="O15" s="96" t="n">
        <x:f>IF($A15="","",IF(E15&gt;0,D15/'Parâmetros'!$B$7,0))</x:f>
        <x:v>0</x:v>
      </x:c>
      <x:c r="P15" s="96" t="n">
        <x:f>IF($A15="","",(M15*'Parâmetros'!$B$10)*F15)</x:f>
        <x:v>0</x:v>
      </x:c>
      <x:c r="Q15" s="96" t="n">
        <x:f>IF($A15="","",(M15*'Parâmetros'!$B$11)*G15)</x:f>
        <x:v>149.0909090909091</x:v>
      </x:c>
      <x:c r="R15" s="96" t="n">
        <x:f>IF($A15="","",((P15+Q15)/'Parâmetros'!$B$5)*'Parâmetros'!$B$6)</x:f>
        <x:v>27.107438016528928</x:v>
      </x:c>
      <x:c r="S15" s="96" t="n">
        <x:f>IF($A15="","",(H15/'Parâmetros'!$B$5)*'Parâmetros'!$B$6)</x:f>
        <x:v>418.1818181818182</x:v>
      </x:c>
      <x:c r="T15" s="96" t="n">
        <x:f>IF($A15="","",D15-N15-O15+H15+I15+J15+K15+P15+Q15+R15+S15)</x:f>
        <x:v>6994.380165289256</x:v>
      </x:c>
      <x:c r="U15" s="96" t="n">
        <x:f>IF($A15="","",MIN(D15*'Parâmetros'!$B$9,Cadastro!L15))</x:f>
        <x:v>246</x:v>
      </x:c>
      <x:c r="V15" s="96" t="n">
        <x:f>IF($A15="","",IF(T15&lt;='Parâmetros'!$C$16,T15*'Parâmetros'!$D$16,IF(T15&lt;='Parâmetros'!$C$17,T15*'Parâmetros'!$D$17-'Parâmetros'!$E$17,IF(T15&lt;='Parâmetros'!$C$18,T15*'Parâmetros'!$D$18-'Parâmetros'!$E$18,IF(T15&lt;='Parâmetros'!$C$19,T15*'Parâmetros'!$D$19-'Parâmetros'!$E$19,'Parâmetros'!$C$19*'Parâmetros'!$D$19-'Parâmetros'!$E$19)))))</x:f>
        <x:v>798.0332231404959</x:v>
      </x:c>
      <x:c r="W15" s="96" t="n">
        <x:f>IF($A15="","",MAX(0,((T15-V15-(Cadastro!K15*'Parâmetros'!$H$6))*'Parâmetros'!$H$4)-'Parâmetros'!$H$5))</x:f>
        <x:v>0</x:v>
      </x:c>
      <x:c r="X15" s="96" t="n">
        <x:f>IF($A15="","",Cadastro!M15)</x:f>
        <x:v>120</x:v>
      </x:c>
      <x:c r="Y15" s="96" t="n">
        <x:f>IF($A15="","",Cadastro!N15)</x:f>
        <x:v>180</x:v>
      </x:c>
      <x:c r="Z15" s="96" t="n">
        <x:f>IF($A15="","",Cadastro!O15)</x:f>
        <x:v>0</x:v>
      </x:c>
      <x:c r="AA15" s="96" t="n">
        <x:f>IF($A15="","",N15+O15+U15+V15+W15+X15+Y15+Z15+L15)</x:f>
        <x:v>1344.033223140496</x:v>
      </x:c>
      <x:c r="AB15" s="96" t="n">
        <x:f>IF($A15="","",T15-(U15+V15+W15+X15+Y15+Z15+L15))</x:f>
        <x:v>5650.346942148761</x:v>
      </x:c>
      <x:c r="AC15" s="88" t="n">
        <x:f>IF($A15="","",SUMIFS('Importação Contabilidade'!$T$7:$T$500,'Importação Contabilidade'!$A$7:$A$500,'Parâmetros'!$B$4,'Importação Contabilidade'!$B$7:$B$500,$A15))</x:f>
        <x:v>6994.38</x:v>
      </x:c>
      <x:c r="AD15" s="88" t="n">
        <x:f>IF($A15="","",SUMIFS('Importação Contabilidade'!$U$7:$U$500,'Importação Contabilidade'!$A$7:$A$500,'Parâmetros'!$B$4,'Importação Contabilidade'!$B$7:$B$500,$A15))</x:f>
        <x:v>1269.03</x:v>
      </x:c>
      <x:c r="AE15" s="88" t="n">
        <x:f>IF($A15="","",SUMIFS('Importação Contabilidade'!$V$7:$V$500,'Importação Contabilidade'!$A$7:$A$500,'Parâmetros'!$B$4,'Importação Contabilidade'!$B$7:$B$500,$A15))</x:f>
        <x:v>5725.35</x:v>
      </x:c>
      <x:c r="AF15" s="97" t="n">
        <x:f>IF($A15="","",T15-AC15)</x:f>
        <x:v>0.00016528925607417477</x:v>
      </x:c>
      <x:c r="AG15" s="97" t="n">
        <x:f>IF($A15="","",AA15-AD15)</x:f>
        <x:v>75.00322314049595</x:v>
      </x:c>
      <x:c r="AH15" s="97" t="n">
        <x:f>IF($A15="","",AB15-AE15)</x:f>
        <x:v>-75.00305785123965</x:v>
      </x:c>
      <x:c r="AI15" s="98" t="str">
        <x:f>IF($A15="","",IF(COUNTIFS('Importação Contabilidade'!$A$7:$A$500,'Parâmetros'!$B$4,'Importação Contabilidade'!$B$7:$B$500,$A15)=0,"PENDENTE IMPORTAÇÃO",IF(AND(ABS(AF15)&lt;='Parâmetros'!$B$8,ABS(AG15)&lt;='Parâmetros'!$B$8,ABS(AH15)&lt;='Parâmetros'!$B$8),"OK","REVISAR")))</x:f>
        <x:v>REVISAR</x:v>
      </x:c>
      <x:c r="AJ15" s="98" t="str">
        <x:f>IF($A15="","",IF(AI15="PENDENTE IMPORTAÇÃO","Funcionário/competência não encontrados na Importação Contabilidade",IF(AI15="OK","Sem divergência relevante",IF(ABS(AH15)&gt;=MAX(ABS(AF15),ABS(AG15)),"Revisar salário líquido",IF(ABS(AF15)&gt;=ABS(AG15),"Revisar bruto/proventos","Revisar descontos")))))</x:f>
        <x:v>Revisar descontos</x:v>
      </x:c>
    </x:row>
    <x:row r="16">
      <x:c r="A16" s="93" t="n">
        <x:f>IF(Cadastro!A16="","",Cadastro!A16)</x:f>
        <x:v>1015</x:v>
      </x:c>
      <x:c r="B16" s="93" t="str">
        <x:f>IF(Cadastro!B16="","",Cadastro!B16)</x:f>
        <x:v>Beatriz Souza</x:v>
      </x:c>
      <x:c r="C16" s="93" t="str">
        <x:f>IF(Cadastro!F16="","",Cadastro!F16)</x:f>
        <x:v>Pós-venda</x:v>
      </x:c>
      <x:c r="D16" s="94" t="n">
        <x:f>IF(Cadastro!I16="","",Cadastro!I16)</x:f>
        <x:v>4500</x:v>
      </x:c>
      <x:c r="E16" s="95" t="n">
        <x:f>IF($A16="","",SUMIFS('Movimentações'!$D$2:$D$501,'Movimentações'!$A$2:$A$501,'Parâmetros'!$B$4,'Movimentações'!$B$2:$B$501,$A16,'Movimentações'!$C$2:$C$501,"Falta (dias)"))</x:f>
        <x:v>0</x:v>
      </x:c>
      <x:c r="F16" s="95" t="n">
        <x:f>IF($A16="","",SUMIFS('Movimentações'!$D$2:$D$501,'Movimentações'!$A$2:$A$501,'Parâmetros'!$B$4,'Movimentações'!$B$2:$B$501,$A16,'Movimentações'!$C$2:$C$501,"HE 50% (horas)"))</x:f>
        <x:v>4</x:v>
      </x:c>
      <x:c r="G16" s="95" t="n">
        <x:f>IF($A16="","",SUMIFS('Movimentações'!$D$2:$D$501,'Movimentações'!$A$2:$A$501,'Parâmetros'!$B$4,'Movimentações'!$B$2:$B$501,$A16,'Movimentações'!$C$2:$C$501,"HE 100% (horas)"))</x:f>
        <x:v>0</x:v>
      </x:c>
      <x:c r="H16" s="94" t="n">
        <x:f>IF($A16="","",SUMIFS('Movimentações'!$E$2:$E$501,'Movimentações'!$A$2:$A$501,'Parâmetros'!$B$4,'Movimentações'!$B$2:$B$501,$A16,'Movimentações'!$C$2:$C$501,"Comissão"))</x:f>
        <x:v>0</x:v>
      </x:c>
      <x:c r="I16" s="94" t="n">
        <x:f>IF($A16="","",SUMIFS('Movimentações'!$E$2:$E$501,'Movimentações'!$A$2:$A$501,'Parâmetros'!$B$4,'Movimentações'!$B$2:$B$501,$A16,'Movimentações'!$C$2:$C$501,"Bônus/Gratificação"))</x:f>
        <x:v>0</x:v>
      </x:c>
      <x:c r="J16" s="94" t="n">
        <x:f>IF($A16="","",SUMIFS('Movimentações'!$E$2:$E$501,'Movimentações'!$A$2:$A$501,'Parâmetros'!$B$4,'Movimentações'!$B$2:$B$501,$A16,'Movimentações'!$C$2:$C$501,"Adicional"))</x:f>
        <x:v>0</x:v>
      </x:c>
      <x:c r="K16" s="94" t="n">
        <x:f>IF($A16="","",SUMIFS('Movimentações'!$E$2:$E$501,'Movimentações'!$A$2:$A$501,'Parâmetros'!$B$4,'Movimentações'!$B$2:$B$501,$A16,'Movimentações'!$C$2:$C$501,"Crédito Extra"))</x:f>
        <x:v>0</x:v>
      </x:c>
      <x:c r="L16" s="94" t="n">
        <x:f>IF($A16="","",SUMIFS('Movimentações'!$E$2:$E$501,'Movimentações'!$A$2:$A$501,'Parâmetros'!$B$4,'Movimentações'!$B$2:$B$501,$A16,'Movimentações'!$C$2:$C$501,"Desconto Extra"))</x:f>
        <x:v>0</x:v>
      </x:c>
      <x:c r="M16" s="96" t="n">
        <x:f>IF($A16="","",D16/IF(Cadastro!J16=0,'Parâmetros'!$B$12,Cadastro!J16))</x:f>
        <x:v>20.454545454545453</x:v>
      </x:c>
      <x:c r="N16" s="96" t="n">
        <x:f>IF($A16="","",(D16/'Parâmetros'!$B$7)*E16)</x:f>
        <x:v>0</x:v>
      </x:c>
      <x:c r="O16" s="96" t="n">
        <x:f>IF($A16="","",IF(E16&gt;0,D16/'Parâmetros'!$B$7,0))</x:f>
        <x:v>0</x:v>
      </x:c>
      <x:c r="P16" s="96" t="n">
        <x:f>IF($A16="","",(M16*'Parâmetros'!$B$10)*F16)</x:f>
        <x:v>122.72727272727272</x:v>
      </x:c>
      <x:c r="Q16" s="96" t="n">
        <x:f>IF($A16="","",(M16*'Parâmetros'!$B$11)*G16)</x:f>
        <x:v>0</x:v>
      </x:c>
      <x:c r="R16" s="96" t="n">
        <x:f>IF($A16="","",((P16+Q16)/'Parâmetros'!$B$5)*'Parâmetros'!$B$6)</x:f>
        <x:v>22.314049586776857</x:v>
      </x:c>
      <x:c r="S16" s="96" t="n">
        <x:f>IF($A16="","",(H16/'Parâmetros'!$B$5)*'Parâmetros'!$B$6)</x:f>
        <x:v>0</x:v>
      </x:c>
      <x:c r="T16" s="96" t="n">
        <x:f>IF($A16="","",D16-N16-O16+H16+I16+J16+K16+P16+Q16+R16+S16)</x:f>
        <x:v>4645.0413223140495</x:v>
      </x:c>
      <x:c r="U16" s="96" t="n">
        <x:f>IF($A16="","",MIN(D16*'Parâmetros'!$B$9,Cadastro!L16))</x:f>
        <x:v>220</x:v>
      </x:c>
      <x:c r="V16" s="96" t="n">
        <x:f>IF($A16="","",IF(T16&lt;='Parâmetros'!$C$16,T16*'Parâmetros'!$D$16,IF(T16&lt;='Parâmetros'!$C$17,T16*'Parâmetros'!$D$17-'Parâmetros'!$E$17,IF(T16&lt;='Parâmetros'!$C$18,T16*'Parâmetros'!$D$18-'Parâmetros'!$E$18,IF(T16&lt;='Parâmetros'!$C$19,T16*'Parâmetros'!$D$19-'Parâmetros'!$E$19,'Parâmetros'!$C$19*'Parâmetros'!$D$19-'Parâmetros'!$E$19)))))</x:f>
        <x:v>469.125785123967</x:v>
      </x:c>
      <x:c r="W16" s="96" t="n">
        <x:f>IF($A16="","",MAX(0,((T16-V16-(Cadastro!K16*'Parâmetros'!$H$6))*'Parâmetros'!$H$4)-'Parâmetros'!$H$5))</x:f>
        <x:v>0</x:v>
      </x:c>
      <x:c r="X16" s="96" t="n">
        <x:f>IF($A16="","",Cadastro!M16)</x:f>
        <x:v>120</x:v>
      </x:c>
      <x:c r="Y16" s="96" t="n">
        <x:f>IF($A16="","",Cadastro!N16)</x:f>
        <x:v>180</x:v>
      </x:c>
      <x:c r="Z16" s="96" t="n">
        <x:f>IF($A16="","",Cadastro!O16)</x:f>
        <x:v>0</x:v>
      </x:c>
      <x:c r="AA16" s="96" t="n">
        <x:f>IF($A16="","",N16+O16+U16+V16+W16+X16+Y16+Z16+L16)</x:f>
        <x:v>989.125785123967</x:v>
      </x:c>
      <x:c r="AB16" s="96" t="n">
        <x:f>IF($A16="","",T16-(U16+V16+W16+X16+Y16+Z16+L16))</x:f>
        <x:v>3655.9155371900824</x:v>
      </x:c>
      <x:c r="AC16" s="88" t="n">
        <x:f>IF($A16="","",SUMIFS('Importação Contabilidade'!$T$7:$T$500,'Importação Contabilidade'!$A$7:$A$500,'Parâmetros'!$B$4,'Importação Contabilidade'!$B$7:$B$500,$A16))</x:f>
        <x:v>4645.04</x:v>
      </x:c>
      <x:c r="AD16" s="88" t="n">
        <x:f>IF($A16="","",SUMIFS('Importação Contabilidade'!$U$7:$U$500,'Importação Contabilidade'!$A$7:$A$500,'Parâmetros'!$B$4,'Importação Contabilidade'!$B$7:$B$500,$A16))</x:f>
        <x:v>989.13</x:v>
      </x:c>
      <x:c r="AE16" s="88" t="n">
        <x:f>IF($A16="","",SUMIFS('Importação Contabilidade'!$V$7:$V$500,'Importação Contabilidade'!$A$7:$A$500,'Parâmetros'!$B$4,'Importação Contabilidade'!$B$7:$B$500,$A16))</x:f>
        <x:v>3655.92</x:v>
      </x:c>
      <x:c r="AF16" s="97" t="n">
        <x:f>IF($A16="","",T16-AC16)</x:f>
        <x:v>0.0013223140495028929</x:v>
      </x:c>
      <x:c r="AG16" s="97" t="n">
        <x:f>IF($A16="","",AA16-AD16)</x:f>
        <x:v>-0.004214876032961001</x:v>
      </x:c>
      <x:c r="AH16" s="97" t="n">
        <x:f>IF($A16="","",AB16-AE16)</x:f>
        <x:v>-0.004462809917640698</x:v>
      </x:c>
      <x:c r="AI16" s="98" t="str">
        <x:f>IF($A16="","",IF(COUNTIFS('Importação Contabilidade'!$A$7:$A$500,'Parâmetros'!$B$4,'Importação Contabilidade'!$B$7:$B$500,$A16)=0,"PENDENTE IMPORTAÇÃO",IF(AND(ABS(AF16)&lt;='Parâmetros'!$B$8,ABS(AG16)&lt;='Parâmetros'!$B$8,ABS(AH16)&lt;='Parâmetros'!$B$8),"OK","REVISAR")))</x:f>
        <x:v>OK</x:v>
      </x:c>
      <x:c r="AJ16" s="98" t="str">
        <x:f>IF($A16="","",IF(AI16="PENDENTE IMPORTAÇÃO","Funcionário/competência não encontrados na Importação Contabilidade",IF(AI16="OK","Sem divergência relevante",IF(ABS(AH16)&gt;=MAX(ABS(AF16),ABS(AG16)),"Revisar salário líquido",IF(ABS(AF16)&gt;=ABS(AG16),"Revisar bruto/proventos","Revisar descontos")))))</x:f>
        <x:v>Sem divergência relevante</x:v>
      </x:c>
    </x:row>
    <x:row r="17">
      <x:c r="A17" s="93" t="n">
        <x:f>IF(Cadastro!A17="","",Cadastro!A17)</x:f>
        <x:v>1016</x:v>
      </x:c>
      <x:c r="B17" s="93" t="str">
        <x:f>IF(Cadastro!B17="","",Cadastro!B17)</x:f>
        <x:v>Eduardo Melo</x:v>
      </x:c>
      <x:c r="C17" s="93" t="str">
        <x:f>IF(Cadastro!F17="","",Cadastro!F17)</x:f>
        <x:v>Comercial</x:v>
      </x:c>
      <x:c r="D17" s="94" t="n">
        <x:f>IF(Cadastro!I17="","",Cadastro!I17)</x:f>
        <x:v>6200</x:v>
      </x:c>
      <x:c r="E17" s="95" t="n">
        <x:f>IF($A17="","",SUMIFS('Movimentações'!$D$2:$D$501,'Movimentações'!$A$2:$A$501,'Parâmetros'!$B$4,'Movimentações'!$B$2:$B$501,$A17,'Movimentações'!$C$2:$C$501,"Falta (dias)"))</x:f>
        <x:v>0</x:v>
      </x:c>
      <x:c r="F17" s="95" t="n">
        <x:f>IF($A17="","",SUMIFS('Movimentações'!$D$2:$D$501,'Movimentações'!$A$2:$A$501,'Parâmetros'!$B$4,'Movimentações'!$B$2:$B$501,$A17,'Movimentações'!$C$2:$C$501,"HE 50% (horas)"))</x:f>
        <x:v>12</x:v>
      </x:c>
      <x:c r="G17" s="95" t="n">
        <x:f>IF($A17="","",SUMIFS('Movimentações'!$D$2:$D$501,'Movimentações'!$A$2:$A$501,'Parâmetros'!$B$4,'Movimentações'!$B$2:$B$501,$A17,'Movimentações'!$C$2:$C$501,"HE 100% (horas)"))</x:f>
        <x:v>0</x:v>
      </x:c>
      <x:c r="H17" s="94" t="n">
        <x:f>IF($A17="","",SUMIFS('Movimentações'!$E$2:$E$501,'Movimentações'!$A$2:$A$501,'Parâmetros'!$B$4,'Movimentações'!$B$2:$B$501,$A17,'Movimentações'!$C$2:$C$501,"Comissão"))</x:f>
        <x:v>0</x:v>
      </x:c>
      <x:c r="I17" s="94" t="n">
        <x:f>IF($A17="","",SUMIFS('Movimentações'!$E$2:$E$501,'Movimentações'!$A$2:$A$501,'Parâmetros'!$B$4,'Movimentações'!$B$2:$B$501,$A17,'Movimentações'!$C$2:$C$501,"Bônus/Gratificação"))</x:f>
        <x:v>600</x:v>
      </x:c>
      <x:c r="J17" s="94" t="n">
        <x:f>IF($A17="","",SUMIFS('Movimentações'!$E$2:$E$501,'Movimentações'!$A$2:$A$501,'Parâmetros'!$B$4,'Movimentações'!$B$2:$B$501,$A17,'Movimentações'!$C$2:$C$501,"Adicional"))</x:f>
        <x:v>0</x:v>
      </x:c>
      <x:c r="K17" s="94" t="n">
        <x:f>IF($A17="","",SUMIFS('Movimentações'!$E$2:$E$501,'Movimentações'!$A$2:$A$501,'Parâmetros'!$B$4,'Movimentações'!$B$2:$B$501,$A17,'Movimentações'!$C$2:$C$501,"Crédito Extra"))</x:f>
        <x:v>0</x:v>
      </x:c>
      <x:c r="L17" s="94" t="n">
        <x:f>IF($A17="","",SUMIFS('Movimentações'!$E$2:$E$501,'Movimentações'!$A$2:$A$501,'Parâmetros'!$B$4,'Movimentações'!$B$2:$B$501,$A17,'Movimentações'!$C$2:$C$501,"Desconto Extra"))</x:f>
        <x:v>0</x:v>
      </x:c>
      <x:c r="M17" s="96" t="n">
        <x:f>IF($A17="","",D17/IF(Cadastro!J17=0,'Parâmetros'!$B$12,Cadastro!J17))</x:f>
        <x:v>28.181818181818183</x:v>
      </x:c>
      <x:c r="N17" s="96" t="n">
        <x:f>IF($A17="","",(D17/'Parâmetros'!$B$7)*E17)</x:f>
        <x:v>0</x:v>
      </x:c>
      <x:c r="O17" s="96" t="n">
        <x:f>IF($A17="","",IF(E17&gt;0,D17/'Parâmetros'!$B$7,0))</x:f>
        <x:v>0</x:v>
      </x:c>
      <x:c r="P17" s="96" t="n">
        <x:f>IF($A17="","",(M17*'Parâmetros'!$B$10)*F17)</x:f>
        <x:v>507.27272727272725</x:v>
      </x:c>
      <x:c r="Q17" s="96" t="n">
        <x:f>IF($A17="","",(M17*'Parâmetros'!$B$11)*G17)</x:f>
        <x:v>0</x:v>
      </x:c>
      <x:c r="R17" s="96" t="n">
        <x:f>IF($A17="","",((P17+Q17)/'Parâmetros'!$B$5)*'Parâmetros'!$B$6)</x:f>
        <x:v>92.23140495867769</x:v>
      </x:c>
      <x:c r="S17" s="96" t="n">
        <x:f>IF($A17="","",(H17/'Parâmetros'!$B$5)*'Parâmetros'!$B$6)</x:f>
        <x:v>0</x:v>
      </x:c>
      <x:c r="T17" s="96" t="n">
        <x:f>IF($A17="","",D17-N17-O17+H17+I17+J17+K17+P17+Q17+R17+S17)</x:f>
        <x:v>7399.504132231405</x:v>
      </x:c>
      <x:c r="U17" s="96" t="n">
        <x:f>IF($A17="","",MIN(D17*'Parâmetros'!$B$9,Cadastro!L17))</x:f>
        <x:v>300</x:v>
      </x:c>
      <x:c r="V17" s="96" t="n">
        <x:f>IF($A17="","",IF(T17&lt;='Parâmetros'!$C$16,T17*'Parâmetros'!$D$16,IF(T17&lt;='Parâmetros'!$C$17,T17*'Parâmetros'!$D$17-'Parâmetros'!$E$17,IF(T17&lt;='Parâmetros'!$C$18,T17*'Parâmetros'!$D$18-'Parâmetros'!$E$18,IF(T17&lt;='Parâmetros'!$C$19,T17*'Parâmetros'!$D$19-'Parâmetros'!$E$19,'Parâmetros'!$C$19*'Parâmetros'!$D$19-'Parâmetros'!$E$19)))))</x:f>
        <x:v>854.7505785123967</x:v>
      </x:c>
      <x:c r="W17" s="96" t="n">
        <x:f>IF($A17="","",MAX(0,((T17-V17-(Cadastro!K17*'Parâmetros'!$H$6))*'Parâmetros'!$H$4)-'Parâmetros'!$H$5))</x:f>
        <x:v>0</x:v>
      </x:c>
      <x:c r="X17" s="96" t="n">
        <x:f>IF($A17="","",Cadastro!M17)</x:f>
        <x:v>150</x:v>
      </x:c>
      <x:c r="Y17" s="96" t="n">
        <x:f>IF($A17="","",Cadastro!N17)</x:f>
        <x:v>220</x:v>
      </x:c>
      <x:c r="Z17" s="96" t="n">
        <x:f>IF($A17="","",Cadastro!O17)</x:f>
        <x:v>0</x:v>
      </x:c>
      <x:c r="AA17" s="96" t="n">
        <x:f>IF($A17="","",N17+O17+U17+V17+W17+X17+Y17+Z17+L17)</x:f>
        <x:v>1524.7505785123967</x:v>
      </x:c>
      <x:c r="AB17" s="96" t="n">
        <x:f>IF($A17="","",T17-(U17+V17+W17+X17+Y17+Z17+L17))</x:f>
        <x:v>5874.753553719008</x:v>
      </x:c>
      <x:c r="AC17" s="88" t="n">
        <x:f>IF($A17="","",SUMIFS('Importação Contabilidade'!$T$7:$T$500,'Importação Contabilidade'!$A$7:$A$500,'Parâmetros'!$B$4,'Importação Contabilidade'!$B$7:$B$500,$A17))</x:f>
        <x:v>7399.5</x:v>
      </x:c>
      <x:c r="AD17" s="88" t="n">
        <x:f>IF($A17="","",SUMIFS('Importação Contabilidade'!$U$7:$U$500,'Importação Contabilidade'!$A$7:$A$500,'Parâmetros'!$B$4,'Importação Contabilidade'!$B$7:$B$500,$A17))</x:f>
        <x:v>1524.75</x:v>
      </x:c>
      <x:c r="AE17" s="88" t="n">
        <x:f>IF($A17="","",SUMIFS('Importação Contabilidade'!$V$7:$V$500,'Importação Contabilidade'!$A$7:$A$500,'Parâmetros'!$B$4,'Importação Contabilidade'!$B$7:$B$500,$A17))</x:f>
        <x:v>5874.75</x:v>
      </x:c>
      <x:c r="AF17" s="97" t="n">
        <x:f>IF($A17="","",T17-AC17)</x:f>
        <x:v>0.004132231404582853</x:v>
      </x:c>
      <x:c r="AG17" s="97" t="n">
        <x:f>IF($A17="","",AA17-AD17)</x:f>
        <x:v>0.0005785123967143591</x:v>
      </x:c>
      <x:c r="AH17" s="97" t="n">
        <x:f>IF($A17="","",AB17-AE17)</x:f>
        <x:v>0.0035537190078684944</x:v>
      </x:c>
      <x:c r="AI17" s="98" t="str">
        <x:f>IF($A17="","",IF(COUNTIFS('Importação Contabilidade'!$A$7:$A$500,'Parâmetros'!$B$4,'Importação Contabilidade'!$B$7:$B$500,$A17)=0,"PENDENTE IMPORTAÇÃO",IF(AND(ABS(AF17)&lt;='Parâmetros'!$B$8,ABS(AG17)&lt;='Parâmetros'!$B$8,ABS(AH17)&lt;='Parâmetros'!$B$8),"OK","REVISAR")))</x:f>
        <x:v>OK</x:v>
      </x:c>
      <x:c r="AJ17" s="98" t="str">
        <x:f>IF($A17="","",IF(AI17="PENDENTE IMPORTAÇÃO","Funcionário/competência não encontrados na Importação Contabilidade",IF(AI17="OK","Sem divergência relevante",IF(ABS(AH17)&gt;=MAX(ABS(AF17),ABS(AG17)),"Revisar salário líquido",IF(ABS(AF17)&gt;=ABS(AG17),"Revisar bruto/proventos","Revisar descontos")))))</x:f>
        <x:v>Sem divergência relevante</x:v>
      </x:c>
    </x:row>
    <x:row r="18">
      <x:c r="A18" s="93" t="n">
        <x:f>IF(Cadastro!A18="","",Cadastro!A18)</x:f>
        <x:v>1017</x:v>
      </x:c>
      <x:c r="B18" s="93" t="str">
        <x:f>IF(Cadastro!B18="","",Cadastro!B18)</x:f>
        <x:v>Larissa Campos</x:v>
      </x:c>
      <x:c r="C18" s="93" t="str">
        <x:f>IF(Cadastro!F18="","",Cadastro!F18)</x:f>
        <x:v>Comercial</x:v>
      </x:c>
      <x:c r="D18" s="94" t="n">
        <x:f>IF(Cadastro!I18="","",Cadastro!I18)</x:f>
        <x:v>4000</x:v>
      </x:c>
      <x:c r="E18" s="95" t="n">
        <x:f>IF($A18="","",SUMIFS('Movimentações'!$D$2:$D$501,'Movimentações'!$A$2:$A$501,'Parâmetros'!$B$4,'Movimentações'!$B$2:$B$501,$A18,'Movimentações'!$C$2:$C$501,"Falta (dias)"))</x:f>
        <x:v>0</x:v>
      </x:c>
      <x:c r="F18" s="95" t="n">
        <x:f>IF($A18="","",SUMIFS('Movimentações'!$D$2:$D$501,'Movimentações'!$A$2:$A$501,'Parâmetros'!$B$4,'Movimentações'!$B$2:$B$501,$A18,'Movimentações'!$C$2:$C$501,"HE 50% (horas)"))</x:f>
        <x:v>0</x:v>
      </x:c>
      <x:c r="G18" s="95" t="n">
        <x:f>IF($A18="","",SUMIFS('Movimentações'!$D$2:$D$501,'Movimentações'!$A$2:$A$501,'Parâmetros'!$B$4,'Movimentações'!$B$2:$B$501,$A18,'Movimentações'!$C$2:$C$501,"HE 100% (horas)"))</x:f>
        <x:v>0</x:v>
      </x:c>
      <x:c r="H18" s="94" t="n">
        <x:f>IF($A18="","",SUMIFS('Movimentações'!$E$2:$E$501,'Movimentações'!$A$2:$A$501,'Parâmetros'!$B$4,'Movimentações'!$B$2:$B$501,$A18,'Movimentações'!$C$2:$C$501,"Comissão"))</x:f>
        <x:v>0</x:v>
      </x:c>
      <x:c r="I18" s="94" t="n">
        <x:f>IF($A18="","",SUMIFS('Movimentações'!$E$2:$E$501,'Movimentações'!$A$2:$A$501,'Parâmetros'!$B$4,'Movimentações'!$B$2:$B$501,$A18,'Movimentações'!$C$2:$C$501,"Bônus/Gratificação"))</x:f>
        <x:v>0</x:v>
      </x:c>
      <x:c r="J18" s="94" t="n">
        <x:f>IF($A18="","",SUMIFS('Movimentações'!$E$2:$E$501,'Movimentações'!$A$2:$A$501,'Parâmetros'!$B$4,'Movimentações'!$B$2:$B$501,$A18,'Movimentações'!$C$2:$C$501,"Adicional"))</x:f>
        <x:v>0</x:v>
      </x:c>
      <x:c r="K18" s="94" t="n">
        <x:f>IF($A18="","",SUMIFS('Movimentações'!$E$2:$E$501,'Movimentações'!$A$2:$A$501,'Parâmetros'!$B$4,'Movimentações'!$B$2:$B$501,$A18,'Movimentações'!$C$2:$C$501,"Crédito Extra"))</x:f>
        <x:v>0</x:v>
      </x:c>
      <x:c r="L18" s="94" t="n">
        <x:f>IF($A18="","",SUMIFS('Movimentações'!$E$2:$E$501,'Movimentações'!$A$2:$A$501,'Parâmetros'!$B$4,'Movimentações'!$B$2:$B$501,$A18,'Movimentações'!$C$2:$C$501,"Desconto Extra"))</x:f>
        <x:v>0</x:v>
      </x:c>
      <x:c r="M18" s="96" t="n">
        <x:f>IF($A18="","",D18/IF(Cadastro!J18=0,'Parâmetros'!$B$12,Cadastro!J18))</x:f>
        <x:v>18.181818181818183</x:v>
      </x:c>
      <x:c r="N18" s="96" t="n">
        <x:f>IF($A18="","",(D18/'Parâmetros'!$B$7)*E18)</x:f>
        <x:v>0</x:v>
      </x:c>
      <x:c r="O18" s="96" t="n">
        <x:f>IF($A18="","",IF(E18&gt;0,D18/'Parâmetros'!$B$7,0))</x:f>
        <x:v>0</x:v>
      </x:c>
      <x:c r="P18" s="96" t="n">
        <x:f>IF($A18="","",(M18*'Parâmetros'!$B$10)*F18)</x:f>
        <x:v>0</x:v>
      </x:c>
      <x:c r="Q18" s="96" t="n">
        <x:f>IF($A18="","",(M18*'Parâmetros'!$B$11)*G18)</x:f>
        <x:v>0</x:v>
      </x:c>
      <x:c r="R18" s="96" t="n">
        <x:f>IF($A18="","",((P18+Q18)/'Parâmetros'!$B$5)*'Parâmetros'!$B$6)</x:f>
        <x:v>0</x:v>
      </x:c>
      <x:c r="S18" s="96" t="n">
        <x:f>IF($A18="","",(H18/'Parâmetros'!$B$5)*'Parâmetros'!$B$6)</x:f>
        <x:v>0</x:v>
      </x:c>
      <x:c r="T18" s="96" t="n">
        <x:f>IF($A18="","",D18-N18-O18+H18+I18+J18+K18+P18+Q18+R18+S18)</x:f>
        <x:v>4000</x:v>
      </x:c>
      <x:c r="U18" s="96" t="n">
        <x:f>IF($A18="","",MIN(D18*'Parâmetros'!$B$9,Cadastro!L18))</x:f>
        <x:v>240</x:v>
      </x:c>
      <x:c r="V18" s="96" t="n">
        <x:f>IF($A18="","",IF(T18&lt;='Parâmetros'!$C$16,T18*'Parâmetros'!$D$16,IF(T18&lt;='Parâmetros'!$C$17,T18*'Parâmetros'!$D$17-'Parâmetros'!$E$17,IF(T18&lt;='Parâmetros'!$C$18,T18*'Parâmetros'!$D$18-'Parâmetros'!$E$18,IF(T18&lt;='Parâmetros'!$C$19,T18*'Parâmetros'!$D$19-'Parâmetros'!$E$19,'Parâmetros'!$C$19*'Parâmetros'!$D$19-'Parâmetros'!$E$19)))))</x:f>
        <x:v>378.82</x:v>
      </x:c>
      <x:c r="W18" s="96" t="n">
        <x:f>IF($A18="","",MAX(0,((T18-V18-(Cadastro!K18*'Parâmetros'!$H$6))*'Parâmetros'!$H$4)-'Parâmetros'!$H$5))</x:f>
        <x:v>0</x:v>
      </x:c>
      <x:c r="X18" s="96" t="n">
        <x:f>IF($A18="","",Cadastro!M18)</x:f>
        <x:v>120</x:v>
      </x:c>
      <x:c r="Y18" s="96" t="n">
        <x:f>IF($A18="","",Cadastro!N18)</x:f>
        <x:v>180</x:v>
      </x:c>
      <x:c r="Z18" s="96" t="n">
        <x:f>IF($A18="","",Cadastro!O18)</x:f>
        <x:v>0</x:v>
      </x:c>
      <x:c r="AA18" s="96" t="n">
        <x:f>IF($A18="","",N18+O18+U18+V18+W18+X18+Y18+Z18+L18)</x:f>
        <x:v>918.8199999999999</x:v>
      </x:c>
      <x:c r="AB18" s="96" t="n">
        <x:f>IF($A18="","",T18-(U18+V18+W18+X18+Y18+Z18+L18))</x:f>
        <x:v>3081.1800000000003</x:v>
      </x:c>
      <x:c r="AC18" s="88" t="n">
        <x:f>IF($A18="","",SUMIFS('Importação Contabilidade'!$T$7:$T$500,'Importação Contabilidade'!$A$7:$A$500,'Parâmetros'!$B$4,'Importação Contabilidade'!$B$7:$B$500,$A18))</x:f>
        <x:v>4000</x:v>
      </x:c>
      <x:c r="AD18" s="88" t="n">
        <x:f>IF($A18="","",SUMIFS('Importação Contabilidade'!$U$7:$U$500,'Importação Contabilidade'!$A$7:$A$500,'Parâmetros'!$B$4,'Importação Contabilidade'!$B$7:$B$500,$A18))</x:f>
        <x:v>1098.82</x:v>
      </x:c>
      <x:c r="AE18" s="88" t="n">
        <x:f>IF($A18="","",SUMIFS('Importação Contabilidade'!$V$7:$V$500,'Importação Contabilidade'!$A$7:$A$500,'Parâmetros'!$B$4,'Importação Contabilidade'!$B$7:$B$500,$A18))</x:f>
        <x:v>2901.18</x:v>
      </x:c>
      <x:c r="AF18" s="97" t="n">
        <x:f>IF($A18="","",T18-AC18)</x:f>
        <x:v>0</x:v>
      </x:c>
      <x:c r="AG18" s="97" t="n">
        <x:f>IF($A18="","",AA18-AD18)</x:f>
        <x:v>-180</x:v>
      </x:c>
      <x:c r="AH18" s="97" t="n">
        <x:f>IF($A18="","",AB18-AE18)</x:f>
        <x:v>180.00000000000045</x:v>
      </x:c>
      <x:c r="AI18" s="98" t="str">
        <x:f>IF($A18="","",IF(COUNTIFS('Importação Contabilidade'!$A$7:$A$500,'Parâmetros'!$B$4,'Importação Contabilidade'!$B$7:$B$500,$A18)=0,"PENDENTE IMPORTAÇÃO",IF(AND(ABS(AF18)&lt;='Parâmetros'!$B$8,ABS(AG18)&lt;='Parâmetros'!$B$8,ABS(AH18)&lt;='Parâmetros'!$B$8),"OK","REVISAR")))</x:f>
        <x:v>REVISAR</x:v>
      </x:c>
      <x:c r="AJ18" s="98" t="str">
        <x:f>IF($A18="","",IF(AI18="PENDENTE IMPORTAÇÃO","Funcionário/competência não encontrados na Importação Contabilidade",IF(AI18="OK","Sem divergência relevante",IF(ABS(AH18)&gt;=MAX(ABS(AF18),ABS(AG18)),"Revisar salário líquido",IF(ABS(AF18)&gt;=ABS(AG18),"Revisar bruto/proventos","Revisar descontos")))))</x:f>
        <x:v>Revisar salário líquido</x:v>
      </x:c>
    </x:row>
    <x:row r="19">
      <x:c r="A19" s="93" t="n">
        <x:f>IF(Cadastro!A19="","",Cadastro!A19)</x:f>
        <x:v>1018</x:v>
      </x:c>
      <x:c r="B19" s="93" t="str">
        <x:f>IF(Cadastro!B19="","",Cadastro!B19)</x:f>
        <x:v>Thiago Pinto</x:v>
      </x:c>
      <x:c r="C19" s="93" t="str">
        <x:f>IF(Cadastro!F19="","",Cadastro!F19)</x:f>
        <x:v>Financeiro</x:v>
      </x:c>
      <x:c r="D19" s="94" t="n">
        <x:f>IF(Cadastro!I19="","",Cadastro!I19)</x:f>
        <x:v>3200</x:v>
      </x:c>
      <x:c r="E19" s="95" t="n">
        <x:f>IF($A19="","",SUMIFS('Movimentações'!$D$2:$D$501,'Movimentações'!$A$2:$A$501,'Parâmetros'!$B$4,'Movimentações'!$B$2:$B$501,$A19,'Movimentações'!$C$2:$C$501,"Falta (dias)"))</x:f>
        <x:v>0</x:v>
      </x:c>
      <x:c r="F19" s="95" t="n">
        <x:f>IF($A19="","",SUMIFS('Movimentações'!$D$2:$D$501,'Movimentações'!$A$2:$A$501,'Parâmetros'!$B$4,'Movimentações'!$B$2:$B$501,$A19,'Movimentações'!$C$2:$C$501,"HE 50% (horas)"))</x:f>
        <x:v>8</x:v>
      </x:c>
      <x:c r="G19" s="95" t="n">
        <x:f>IF($A19="","",SUMIFS('Movimentações'!$D$2:$D$501,'Movimentações'!$A$2:$A$501,'Parâmetros'!$B$4,'Movimentações'!$B$2:$B$501,$A19,'Movimentações'!$C$2:$C$501,"HE 100% (horas)"))</x:f>
        <x:v>0</x:v>
      </x:c>
      <x:c r="H19" s="94" t="n">
        <x:f>IF($A19="","",SUMIFS('Movimentações'!$E$2:$E$501,'Movimentações'!$A$2:$A$501,'Parâmetros'!$B$4,'Movimentações'!$B$2:$B$501,$A19,'Movimentações'!$C$2:$C$501,"Comissão"))</x:f>
        <x:v>0</x:v>
      </x:c>
      <x:c r="I19" s="94" t="n">
        <x:f>IF($A19="","",SUMIFS('Movimentações'!$E$2:$E$501,'Movimentações'!$A$2:$A$501,'Parâmetros'!$B$4,'Movimentações'!$B$2:$B$501,$A19,'Movimentações'!$C$2:$C$501,"Bônus/Gratificação"))</x:f>
        <x:v>0</x:v>
      </x:c>
      <x:c r="J19" s="94" t="n">
        <x:f>IF($A19="","",SUMIFS('Movimentações'!$E$2:$E$501,'Movimentações'!$A$2:$A$501,'Parâmetros'!$B$4,'Movimentações'!$B$2:$B$501,$A19,'Movimentações'!$C$2:$C$501,"Adicional"))</x:f>
        <x:v>0</x:v>
      </x:c>
      <x:c r="K19" s="94" t="n">
        <x:f>IF($A19="","",SUMIFS('Movimentações'!$E$2:$E$501,'Movimentações'!$A$2:$A$501,'Parâmetros'!$B$4,'Movimentações'!$B$2:$B$501,$A19,'Movimentações'!$C$2:$C$501,"Crédito Extra"))</x:f>
        <x:v>0</x:v>
      </x:c>
      <x:c r="L19" s="94" t="n">
        <x:f>IF($A19="","",SUMIFS('Movimentações'!$E$2:$E$501,'Movimentações'!$A$2:$A$501,'Parâmetros'!$B$4,'Movimentações'!$B$2:$B$501,$A19,'Movimentações'!$C$2:$C$501,"Desconto Extra"))</x:f>
        <x:v>0</x:v>
      </x:c>
      <x:c r="M19" s="96" t="n">
        <x:f>IF($A19="","",D19/IF(Cadastro!J19=0,'Parâmetros'!$B$12,Cadastro!J19))</x:f>
        <x:v>14.545454545454545</x:v>
      </x:c>
      <x:c r="N19" s="96" t="n">
        <x:f>IF($A19="","",(D19/'Parâmetros'!$B$7)*E19)</x:f>
        <x:v>0</x:v>
      </x:c>
      <x:c r="O19" s="96" t="n">
        <x:f>IF($A19="","",IF(E19&gt;0,D19/'Parâmetros'!$B$7,0))</x:f>
        <x:v>0</x:v>
      </x:c>
      <x:c r="P19" s="96" t="n">
        <x:f>IF($A19="","",(M19*'Parâmetros'!$B$10)*F19)</x:f>
        <x:v>174.54545454545453</x:v>
      </x:c>
      <x:c r="Q19" s="96" t="n">
        <x:f>IF($A19="","",(M19*'Parâmetros'!$B$11)*G19)</x:f>
        <x:v>0</x:v>
      </x:c>
      <x:c r="R19" s="96" t="n">
        <x:f>IF($A19="","",((P19+Q19)/'Parâmetros'!$B$5)*'Parâmetros'!$B$6)</x:f>
        <x:v>31.735537190082642</x:v>
      </x:c>
      <x:c r="S19" s="96" t="n">
        <x:f>IF($A19="","",(H19/'Parâmetros'!$B$5)*'Parâmetros'!$B$6)</x:f>
        <x:v>0</x:v>
      </x:c>
      <x:c r="T19" s="96" t="n">
        <x:f>IF($A19="","",D19-N19-O19+H19+I19+J19+K19+P19+Q19+R19+S19)</x:f>
        <x:v>3406.280991735537</x:v>
      </x:c>
      <x:c r="U19" s="96" t="n">
        <x:f>IF($A19="","",MIN(D19*'Parâmetros'!$B$9,Cadastro!L19))</x:f>
        <x:v>180</x:v>
      </x:c>
      <x:c r="V19" s="96" t="n">
        <x:f>IF($A19="","",IF(T19&lt;='Parâmetros'!$C$16,T19*'Parâmetros'!$D$16,IF(T19&lt;='Parâmetros'!$C$17,T19*'Parâmetros'!$D$17-'Parâmetros'!$E$17,IF(T19&lt;='Parâmetros'!$C$18,T19*'Parâmetros'!$D$18-'Parâmetros'!$E$18,IF(T19&lt;='Parâmetros'!$C$19,T19*'Parâmetros'!$D$19-'Parâmetros'!$E$19,'Parâmetros'!$C$19*'Parâmetros'!$D$19-'Parâmetros'!$E$19)))))</x:f>
        <x:v>307.57371900826445</x:v>
      </x:c>
      <x:c r="W19" s="96" t="n">
        <x:f>IF($A19="","",MAX(0,((T19-V19-(Cadastro!K19*'Parâmetros'!$H$6))*'Parâmetros'!$H$4)-'Parâmetros'!$H$5))</x:f>
        <x:v>0</x:v>
      </x:c>
      <x:c r="X19" s="96" t="n">
        <x:f>IF($A19="","",Cadastro!M19)</x:f>
        <x:v>100</x:v>
      </x:c>
      <x:c r="Y19" s="96" t="n">
        <x:f>IF($A19="","",Cadastro!N19)</x:f>
        <x:v>150</x:v>
      </x:c>
      <x:c r="Z19" s="96" t="n">
        <x:f>IF($A19="","",Cadastro!O19)</x:f>
        <x:v>0</x:v>
      </x:c>
      <x:c r="AA19" s="96" t="n">
        <x:f>IF($A19="","",N19+O19+U19+V19+W19+X19+Y19+Z19+L19)</x:f>
        <x:v>737.5737190082644</x:v>
      </x:c>
      <x:c r="AB19" s="96" t="n">
        <x:f>IF($A19="","",T19-(U19+V19+W19+X19+Y19+Z19+L19))</x:f>
        <x:v>2668.7072727272725</x:v>
      </x:c>
      <x:c r="AC19" s="88" t="n">
        <x:f>IF($A19="","",SUMIFS('Importação Contabilidade'!$T$7:$T$500,'Importação Contabilidade'!$A$7:$A$500,'Parâmetros'!$B$4,'Importação Contabilidade'!$B$7:$B$500,$A19))</x:f>
        <x:v>3406.28</x:v>
      </x:c>
      <x:c r="AD19" s="88" t="n">
        <x:f>IF($A19="","",SUMIFS('Importação Contabilidade'!$U$7:$U$500,'Importação Contabilidade'!$A$7:$A$500,'Parâmetros'!$B$4,'Importação Contabilidade'!$B$7:$B$500,$A19))</x:f>
        <x:v>737.57</x:v>
      </x:c>
      <x:c r="AE19" s="88" t="n">
        <x:f>IF($A19="","",SUMIFS('Importação Contabilidade'!$V$7:$V$500,'Importação Contabilidade'!$A$7:$A$500,'Parâmetros'!$B$4,'Importação Contabilidade'!$B$7:$B$500,$A19))</x:f>
        <x:v>2668.71</x:v>
      </x:c>
      <x:c r="AF19" s="97" t="n">
        <x:f>IF($A19="","",T19-AC19)</x:f>
        <x:v>0.000991735536899796</x:v>
      </x:c>
      <x:c r="AG19" s="97" t="n">
        <x:f>IF($A19="","",AA19-AD19)</x:f>
        <x:v>0.0037190082643974165</x:v>
      </x:c>
      <x:c r="AH19" s="97" t="n">
        <x:f>IF($A19="","",AB19-AE19)</x:f>
        <x:v>-0.0027272727274976205</x:v>
      </x:c>
      <x:c r="AI19" s="98" t="str">
        <x:f>IF($A19="","",IF(COUNTIFS('Importação Contabilidade'!$A$7:$A$500,'Parâmetros'!$B$4,'Importação Contabilidade'!$B$7:$B$500,$A19)=0,"PENDENTE IMPORTAÇÃO",IF(AND(ABS(AF19)&lt;='Parâmetros'!$B$8,ABS(AG19)&lt;='Parâmetros'!$B$8,ABS(AH19)&lt;='Parâmetros'!$B$8),"OK","REVISAR")))</x:f>
        <x:v>OK</x:v>
      </x:c>
      <x:c r="AJ19" s="98" t="str">
        <x:f>IF($A19="","",IF(AI19="PENDENTE IMPORTAÇÃO","Funcionário/competência não encontrados na Importação Contabilidade",IF(AI19="OK","Sem divergência relevante",IF(ABS(AH19)&gt;=MAX(ABS(AF19),ABS(AG19)),"Revisar salário líquido",IF(ABS(AF19)&gt;=ABS(AG19),"Revisar bruto/proventos","Revisar descontos")))))</x:f>
        <x:v>Sem divergência relevante</x:v>
      </x:c>
    </x:row>
    <x:row r="20">
      <x:c r="A20" s="93" t="n">
        <x:f>IF(Cadastro!A20="","",Cadastro!A20)</x:f>
        <x:v>1019</x:v>
      </x:c>
      <x:c r="B20" s="93" t="str">
        <x:f>IF(Cadastro!B20="","",Cadastro!B20)</x:f>
        <x:v>Natalia Freitas</x:v>
      </x:c>
      <x:c r="C20" s="93" t="str">
        <x:f>IF(Cadastro!F20="","",Cadastro!F20)</x:f>
        <x:v>RH</x:v>
      </x:c>
      <x:c r="D20" s="94" t="n">
        <x:f>IF(Cadastro!I20="","",Cadastro!I20)</x:f>
        <x:v>3100</x:v>
      </x:c>
      <x:c r="E20" s="95" t="n">
        <x:f>IF($A20="","",SUMIFS('Movimentações'!$D$2:$D$501,'Movimentações'!$A$2:$A$501,'Parâmetros'!$B$4,'Movimentações'!$B$2:$B$501,$A20,'Movimentações'!$C$2:$C$501,"Falta (dias)"))</x:f>
        <x:v>0</x:v>
      </x:c>
      <x:c r="F20" s="95" t="n">
        <x:f>IF($A20="","",SUMIFS('Movimentações'!$D$2:$D$501,'Movimentações'!$A$2:$A$501,'Parâmetros'!$B$4,'Movimentações'!$B$2:$B$501,$A20,'Movimentações'!$C$2:$C$501,"HE 50% (horas)"))</x:f>
        <x:v>6</x:v>
      </x:c>
      <x:c r="G20" s="95" t="n">
        <x:f>IF($A20="","",SUMIFS('Movimentações'!$D$2:$D$501,'Movimentações'!$A$2:$A$501,'Parâmetros'!$B$4,'Movimentações'!$B$2:$B$501,$A20,'Movimentações'!$C$2:$C$501,"HE 100% (horas)"))</x:f>
        <x:v>0</x:v>
      </x:c>
      <x:c r="H20" s="94" t="n">
        <x:f>IF($A20="","",SUMIFS('Movimentações'!$E$2:$E$501,'Movimentações'!$A$2:$A$501,'Parâmetros'!$B$4,'Movimentações'!$B$2:$B$501,$A20,'Movimentações'!$C$2:$C$501,"Comissão"))</x:f>
        <x:v>0</x:v>
      </x:c>
      <x:c r="I20" s="94" t="n">
        <x:f>IF($A20="","",SUMIFS('Movimentações'!$E$2:$E$501,'Movimentações'!$A$2:$A$501,'Parâmetros'!$B$4,'Movimentações'!$B$2:$B$501,$A20,'Movimentações'!$C$2:$C$501,"Bônus/Gratificação"))</x:f>
        <x:v>0</x:v>
      </x:c>
      <x:c r="J20" s="94" t="n">
        <x:f>IF($A20="","",SUMIFS('Movimentações'!$E$2:$E$501,'Movimentações'!$A$2:$A$501,'Parâmetros'!$B$4,'Movimentações'!$B$2:$B$501,$A20,'Movimentações'!$C$2:$C$501,"Adicional"))</x:f>
        <x:v>0</x:v>
      </x:c>
      <x:c r="K20" s="94" t="n">
        <x:f>IF($A20="","",SUMIFS('Movimentações'!$E$2:$E$501,'Movimentações'!$A$2:$A$501,'Parâmetros'!$B$4,'Movimentações'!$B$2:$B$501,$A20,'Movimentações'!$C$2:$C$501,"Crédito Extra"))</x:f>
        <x:v>0</x:v>
      </x:c>
      <x:c r="L20" s="94" t="n">
        <x:f>IF($A20="","",SUMIFS('Movimentações'!$E$2:$E$501,'Movimentações'!$A$2:$A$501,'Parâmetros'!$B$4,'Movimentações'!$B$2:$B$501,$A20,'Movimentações'!$C$2:$C$501,"Desconto Extra"))</x:f>
        <x:v>0</x:v>
      </x:c>
      <x:c r="M20" s="96" t="n">
        <x:f>IF($A20="","",D20/IF(Cadastro!J20=0,'Parâmetros'!$B$12,Cadastro!J20))</x:f>
        <x:v>14.090909090909092</x:v>
      </x:c>
      <x:c r="N20" s="96" t="n">
        <x:f>IF($A20="","",(D20/'Parâmetros'!$B$7)*E20)</x:f>
        <x:v>0</x:v>
      </x:c>
      <x:c r="O20" s="96" t="n">
        <x:f>IF($A20="","",IF(E20&gt;0,D20/'Parâmetros'!$B$7,0))</x:f>
        <x:v>0</x:v>
      </x:c>
      <x:c r="P20" s="96" t="n">
        <x:f>IF($A20="","",(M20*'Parâmetros'!$B$10)*F20)</x:f>
        <x:v>126.81818181818181</x:v>
      </x:c>
      <x:c r="Q20" s="96" t="n">
        <x:f>IF($A20="","",(M20*'Parâmetros'!$B$11)*G20)</x:f>
        <x:v>0</x:v>
      </x:c>
      <x:c r="R20" s="96" t="n">
        <x:f>IF($A20="","",((P20+Q20)/'Parâmetros'!$B$5)*'Parâmetros'!$B$6)</x:f>
        <x:v>23.05785123966942</x:v>
      </x:c>
      <x:c r="S20" s="96" t="n">
        <x:f>IF($A20="","",(H20/'Parâmetros'!$B$5)*'Parâmetros'!$B$6)</x:f>
        <x:v>0</x:v>
      </x:c>
      <x:c r="T20" s="96" t="n">
        <x:f>IF($A20="","",D20-N20-O20+H20+I20+J20+K20+P20+Q20+R20+S20)</x:f>
        <x:v>3249.8760330578516</x:v>
      </x:c>
      <x:c r="U20" s="96" t="n">
        <x:f>IF($A20="","",MIN(D20*'Parâmetros'!$B$9,Cadastro!L20))</x:f>
        <x:v>180</x:v>
      </x:c>
      <x:c r="V20" s="96" t="n">
        <x:f>IF($A20="","",IF(T20&lt;='Parâmetros'!$C$16,T20*'Parâmetros'!$D$16,IF(T20&lt;='Parâmetros'!$C$17,T20*'Parâmetros'!$D$17-'Parâmetros'!$E$17,IF(T20&lt;='Parâmetros'!$C$18,T20*'Parâmetros'!$D$18-'Parâmetros'!$E$18,IF(T20&lt;='Parâmetros'!$C$19,T20*'Parâmetros'!$D$19-'Parâmetros'!$E$19,'Parâmetros'!$C$19*'Parâmetros'!$D$19-'Parâmetros'!$E$19)))))</x:f>
        <x:v>288.8051239669422</x:v>
      </x:c>
      <x:c r="W20" s="96" t="n">
        <x:f>IF($A20="","",MAX(0,((T20-V20-(Cadastro!K20*'Parâmetros'!$H$6))*'Parâmetros'!$H$4)-'Parâmetros'!$H$5))</x:f>
        <x:v>0</x:v>
      </x:c>
      <x:c r="X20" s="96" t="n">
        <x:f>IF($A20="","",Cadastro!M20)</x:f>
        <x:v>100</x:v>
      </x:c>
      <x:c r="Y20" s="96" t="n">
        <x:f>IF($A20="","",Cadastro!N20)</x:f>
        <x:v>150</x:v>
      </x:c>
      <x:c r="Z20" s="96" t="n">
        <x:f>IF($A20="","",Cadastro!O20)</x:f>
        <x:v>0</x:v>
      </x:c>
      <x:c r="AA20" s="96" t="n">
        <x:f>IF($A20="","",N20+O20+U20+V20+W20+X20+Y20+Z20+L20)</x:f>
        <x:v>718.8051239669421</x:v>
      </x:c>
      <x:c r="AB20" s="96" t="n">
        <x:f>IF($A20="","",T20-(U20+V20+W20+X20+Y20+Z20+L20))</x:f>
        <x:v>2531.0709090909095</x:v>
      </x:c>
      <x:c r="AC20" s="88" t="n">
        <x:f>IF($A20="","",SUMIFS('Importação Contabilidade'!$T$7:$T$500,'Importação Contabilidade'!$A$7:$A$500,'Parâmetros'!$B$4,'Importação Contabilidade'!$B$7:$B$500,$A20))</x:f>
        <x:v>3249.88</x:v>
      </x:c>
      <x:c r="AD20" s="88" t="n">
        <x:f>IF($A20="","",SUMIFS('Importação Contabilidade'!$U$7:$U$500,'Importação Contabilidade'!$A$7:$A$500,'Parâmetros'!$B$4,'Importação Contabilidade'!$B$7:$B$500,$A20))</x:f>
        <x:v>718.81</x:v>
      </x:c>
      <x:c r="AE20" s="88" t="n">
        <x:f>IF($A20="","",SUMIFS('Importação Contabilidade'!$V$7:$V$500,'Importação Contabilidade'!$A$7:$A$500,'Parâmetros'!$B$4,'Importação Contabilidade'!$B$7:$B$500,$A20))</x:f>
        <x:v>2531.07</x:v>
      </x:c>
      <x:c r="AF20" s="97" t="n">
        <x:f>IF($A20="","",T20-AC20)</x:f>
        <x:v>-0.003966942148508679</x:v>
      </x:c>
      <x:c r="AG20" s="97" t="n">
        <x:f>IF($A20="","",AA20-AD20)</x:f>
        <x:v>-0.004876033057826135</x:v>
      </x:c>
      <x:c r="AH20" s="97" t="n">
        <x:f>IF($A20="","",AB20-AE20)</x:f>
        <x:v>0.000909090909317456</x:v>
      </x:c>
      <x:c r="AI20" s="98" t="str">
        <x:f>IF($A20="","",IF(COUNTIFS('Importação Contabilidade'!$A$7:$A$500,'Parâmetros'!$B$4,'Importação Contabilidade'!$B$7:$B$500,$A20)=0,"PENDENTE IMPORTAÇÃO",IF(AND(ABS(AF20)&lt;='Parâmetros'!$B$8,ABS(AG20)&lt;='Parâmetros'!$B$8,ABS(AH20)&lt;='Parâmetros'!$B$8),"OK","REVISAR")))</x:f>
        <x:v>OK</x:v>
      </x:c>
      <x:c r="AJ20" s="98" t="str">
        <x:f>IF($A20="","",IF(AI20="PENDENTE IMPORTAÇÃO","Funcionário/competência não encontrados na Importação Contabilidade",IF(AI20="OK","Sem divergência relevante",IF(ABS(AH20)&gt;=MAX(ABS(AF20),ABS(AG20)),"Revisar salário líquido",IF(ABS(AF20)&gt;=ABS(AG20),"Revisar bruto/proventos","Revisar descontos")))))</x:f>
        <x:v>Sem divergência relevante</x:v>
      </x:c>
    </x:row>
    <x:row r="21">
      <x:c r="A21" s="93" t="n">
        <x:f>IF(Cadastro!A21="","",Cadastro!A21)</x:f>
        <x:v>1020</x:v>
      </x:c>
      <x:c r="B21" s="93" t="str">
        <x:f>IF(Cadastro!B21="","",Cadastro!B21)</x:f>
        <x:v>Felipe Cardoso</x:v>
      </x:c>
      <x:c r="C21" s="93" t="str">
        <x:f>IF(Cadastro!F21="","",Cadastro!F21)</x:f>
        <x:v>Comercial</x:v>
      </x:c>
      <x:c r="D21" s="94" t="n">
        <x:f>IF(Cadastro!I21="","",Cadastro!I21)</x:f>
        <x:v>3900</x:v>
      </x:c>
      <x:c r="E21" s="95" t="n">
        <x:f>IF($A21="","",SUMIFS('Movimentações'!$D$2:$D$501,'Movimentações'!$A$2:$A$501,'Parâmetros'!$B$4,'Movimentações'!$B$2:$B$501,$A21,'Movimentações'!$C$2:$C$501,"Falta (dias)"))</x:f>
        <x:v>0</x:v>
      </x:c>
      <x:c r="F21" s="95" t="n">
        <x:f>IF($A21="","",SUMIFS('Movimentações'!$D$2:$D$501,'Movimentações'!$A$2:$A$501,'Parâmetros'!$B$4,'Movimentações'!$B$2:$B$501,$A21,'Movimentações'!$C$2:$C$501,"HE 50% (horas)"))</x:f>
        <x:v>3</x:v>
      </x:c>
      <x:c r="G21" s="95" t="n">
        <x:f>IF($A21="","",SUMIFS('Movimentações'!$D$2:$D$501,'Movimentações'!$A$2:$A$501,'Parâmetros'!$B$4,'Movimentações'!$B$2:$B$501,$A21,'Movimentações'!$C$2:$C$501,"HE 100% (horas)"))</x:f>
        <x:v>0</x:v>
      </x:c>
      <x:c r="H21" s="94" t="n">
        <x:f>IF($A21="","",SUMIFS('Movimentações'!$E$2:$E$501,'Movimentações'!$A$2:$A$501,'Parâmetros'!$B$4,'Movimentações'!$B$2:$B$501,$A21,'Movimentações'!$C$2:$C$501,"Comissão"))</x:f>
        <x:v>1900</x:v>
      </x:c>
      <x:c r="I21" s="94" t="n">
        <x:f>IF($A21="","",SUMIFS('Movimentações'!$E$2:$E$501,'Movimentações'!$A$2:$A$501,'Parâmetros'!$B$4,'Movimentações'!$B$2:$B$501,$A21,'Movimentações'!$C$2:$C$501,"Bônus/Gratificação"))</x:f>
        <x:v>0</x:v>
      </x:c>
      <x:c r="J21" s="94" t="n">
        <x:f>IF($A21="","",SUMIFS('Movimentações'!$E$2:$E$501,'Movimentações'!$A$2:$A$501,'Parâmetros'!$B$4,'Movimentações'!$B$2:$B$501,$A21,'Movimentações'!$C$2:$C$501,"Adicional"))</x:f>
        <x:v>0</x:v>
      </x:c>
      <x:c r="K21" s="94" t="n">
        <x:f>IF($A21="","",SUMIFS('Movimentações'!$E$2:$E$501,'Movimentações'!$A$2:$A$501,'Parâmetros'!$B$4,'Movimentações'!$B$2:$B$501,$A21,'Movimentações'!$C$2:$C$501,"Crédito Extra"))</x:f>
        <x:v>0</x:v>
      </x:c>
      <x:c r="L21" s="94" t="n">
        <x:f>IF($A21="","",SUMIFS('Movimentações'!$E$2:$E$501,'Movimentações'!$A$2:$A$501,'Parâmetros'!$B$4,'Movimentações'!$B$2:$B$501,$A21,'Movimentações'!$C$2:$C$501,"Desconto Extra"))</x:f>
        <x:v>0</x:v>
      </x:c>
      <x:c r="M21" s="96" t="n">
        <x:f>IF($A21="","",D21/IF(Cadastro!J21=0,'Parâmetros'!$B$12,Cadastro!J21))</x:f>
        <x:v>17.727272727272727</x:v>
      </x:c>
      <x:c r="N21" s="96" t="n">
        <x:f>IF($A21="","",(D21/'Parâmetros'!$B$7)*E21)</x:f>
        <x:v>0</x:v>
      </x:c>
      <x:c r="O21" s="96" t="n">
        <x:f>IF($A21="","",IF(E21&gt;0,D21/'Parâmetros'!$B$7,0))</x:f>
        <x:v>0</x:v>
      </x:c>
      <x:c r="P21" s="96" t="n">
        <x:f>IF($A21="","",(M21*'Parâmetros'!$B$10)*F21)</x:f>
        <x:v>79.77272727272727</x:v>
      </x:c>
      <x:c r="Q21" s="96" t="n">
        <x:f>IF($A21="","",(M21*'Parâmetros'!$B$11)*G21)</x:f>
        <x:v>0</x:v>
      </x:c>
      <x:c r="R21" s="96" t="n">
        <x:f>IF($A21="","",((P21+Q21)/'Parâmetros'!$B$5)*'Parâmetros'!$B$6)</x:f>
        <x:v>14.504132231404958</x:v>
      </x:c>
      <x:c r="S21" s="96" t="n">
        <x:f>IF($A21="","",(H21/'Parâmetros'!$B$5)*'Parâmetros'!$B$6)</x:f>
        <x:v>345.45454545454544</x:v>
      </x:c>
      <x:c r="T21" s="96" t="n">
        <x:f>IF($A21="","",D21-N21-O21+H21+I21+J21+K21+P21+Q21+R21+S21)</x:f>
        <x:v>6239.731404958677</x:v>
      </x:c>
      <x:c r="U21" s="96" t="n">
        <x:f>IF($A21="","",MIN(D21*'Parâmetros'!$B$9,Cadastro!L21))</x:f>
        <x:v>234</x:v>
      </x:c>
      <x:c r="V21" s="96" t="n">
        <x:f>IF($A21="","",IF(T21&lt;='Parâmetros'!$C$16,T21*'Parâmetros'!$D$16,IF(T21&lt;='Parâmetros'!$C$17,T21*'Parâmetros'!$D$17-'Parâmetros'!$E$17,IF(T21&lt;='Parâmetros'!$C$18,T21*'Parâmetros'!$D$18-'Parâmetros'!$E$18,IF(T21&lt;='Parâmetros'!$C$19,T21*'Parâmetros'!$D$19-'Parâmetros'!$E$19,'Parâmetros'!$C$19*'Parâmetros'!$D$19-'Parâmetros'!$E$19)))))</x:f>
        <x:v>692.3823966942148</x:v>
      </x:c>
      <x:c r="W21" s="96" t="n">
        <x:f>IF($A21="","",MAX(0,((T21-V21-(Cadastro!K21*'Parâmetros'!$H$6))*'Parâmetros'!$H$4)-'Parâmetros'!$H$5))</x:f>
        <x:v>0</x:v>
      </x:c>
      <x:c r="X21" s="96" t="n">
        <x:f>IF($A21="","",Cadastro!M21)</x:f>
        <x:v>120</x:v>
      </x:c>
      <x:c r="Y21" s="96" t="n">
        <x:f>IF($A21="","",Cadastro!N21)</x:f>
        <x:v>180</x:v>
      </x:c>
      <x:c r="Z21" s="96" t="n">
        <x:f>IF($A21="","",Cadastro!O21)</x:f>
        <x:v>0</x:v>
      </x:c>
      <x:c r="AA21" s="96" t="n">
        <x:f>IF($A21="","",N21+O21+U21+V21+W21+X21+Y21+Z21+L21)</x:f>
        <x:v>1226.3823966942148</x:v>
      </x:c>
      <x:c r="AB21" s="96" t="n">
        <x:f>IF($A21="","",T21-(U21+V21+W21+X21+Y21+Z21+L21))</x:f>
        <x:v>5013.349008264462</x:v>
      </x:c>
      <x:c r="AC21" s="88" t="n">
        <x:f>IF($A21="","",SUMIFS('Importação Contabilidade'!$T$7:$T$500,'Importação Contabilidade'!$A$7:$A$500,'Parâmetros'!$B$4,'Importação Contabilidade'!$B$7:$B$500,$A21))</x:f>
        <x:v>6294.73</x:v>
      </x:c>
      <x:c r="AD21" s="88" t="n">
        <x:f>IF($A21="","",SUMIFS('Importação Contabilidade'!$U$7:$U$500,'Importação Contabilidade'!$A$7:$A$500,'Parâmetros'!$B$4,'Importação Contabilidade'!$B$7:$B$500,$A21))</x:f>
        <x:v>1246.38</x:v>
      </x:c>
      <x:c r="AE21" s="88" t="n">
        <x:f>IF($A21="","",SUMIFS('Importação Contabilidade'!$V$7:$V$500,'Importação Contabilidade'!$A$7:$A$500,'Parâmetros'!$B$4,'Importação Contabilidade'!$B$7:$B$500,$A21))</x:f>
        <x:v>5048.35</x:v>
      </x:c>
      <x:c r="AF21" s="97" t="n">
        <x:f>IF($A21="","",T21-AC21)</x:f>
        <x:v>-54.998595041322915</x:v>
      </x:c>
      <x:c r="AG21" s="97" t="n">
        <x:f>IF($A21="","",AA21-AD21)</x:f>
        <x:v>-19.997603305785333</x:v>
      </x:c>
      <x:c r="AH21" s="97" t="n">
        <x:f>IF($A21="","",AB21-AE21)</x:f>
        <x:v>-35.000991735538264</x:v>
      </x:c>
      <x:c r="AI21" s="98" t="str">
        <x:f>IF($A21="","",IF(COUNTIFS('Importação Contabilidade'!$A$7:$A$500,'Parâmetros'!$B$4,'Importação Contabilidade'!$B$7:$B$500,$A21)=0,"PENDENTE IMPORTAÇÃO",IF(AND(ABS(AF21)&lt;='Parâmetros'!$B$8,ABS(AG21)&lt;='Parâmetros'!$B$8,ABS(AH21)&lt;='Parâmetros'!$B$8),"OK","REVISAR")))</x:f>
        <x:v>REVISAR</x:v>
      </x:c>
      <x:c r="AJ21" s="98" t="str">
        <x:f>IF($A21="","",IF(AI21="PENDENTE IMPORTAÇÃO","Funcionário/competência não encontrados na Importação Contabilidade",IF(AI21="OK","Sem divergência relevante",IF(ABS(AH21)&gt;=MAX(ABS(AF21),ABS(AG21)),"Revisar salário líquido",IF(ABS(AF21)&gt;=ABS(AG21),"Revisar bruto/proventos","Revisar descontos")))))</x:f>
        <x:v>Revisar bruto/proventos</x:v>
      </x:c>
    </x:row>
    <x:row r="22">
      <x:c r="A22" s="93" t="str">
        <x:f>IF(Cadastro!A22="","",Cadastro!A22)</x:f>
      </x:c>
      <x:c r="B22" s="93" t="str">
        <x:f>IF(Cadastro!B22="","",Cadastro!B22)</x:f>
      </x:c>
      <x:c r="C22" s="93" t="str">
        <x:f>IF(Cadastro!F22="","",Cadastro!F22)</x:f>
      </x:c>
      <x:c r="D22" s="94" t="str">
        <x:f>IF(Cadastro!I22="","",Cadastro!I22)</x:f>
      </x:c>
      <x:c r="E22" s="95" t="str">
        <x:f>IF($A22="","",SUMIFS('Movimentações'!$D$2:$D$501,'Movimentações'!$A$2:$A$501,'Parâmetros'!$B$4,'Movimentações'!$B$2:$B$501,$A22,'Movimentações'!$C$2:$C$501,"Falta (dias)"))</x:f>
      </x:c>
      <x:c r="F22" s="95" t="str">
        <x:f>IF($A22="","",SUMIFS('Movimentações'!$D$2:$D$501,'Movimentações'!$A$2:$A$501,'Parâmetros'!$B$4,'Movimentações'!$B$2:$B$501,$A22,'Movimentações'!$C$2:$C$501,"HE 50% (horas)"))</x:f>
      </x:c>
      <x:c r="G22" s="95" t="str">
        <x:f>IF($A22="","",SUMIFS('Movimentações'!$D$2:$D$501,'Movimentações'!$A$2:$A$501,'Parâmetros'!$B$4,'Movimentações'!$B$2:$B$501,$A22,'Movimentações'!$C$2:$C$501,"HE 100% (horas)"))</x:f>
      </x:c>
      <x:c r="H22" s="94" t="str">
        <x:f>IF($A22="","",SUMIFS('Movimentações'!$E$2:$E$501,'Movimentações'!$A$2:$A$501,'Parâmetros'!$B$4,'Movimentações'!$B$2:$B$501,$A22,'Movimentações'!$C$2:$C$501,"Comissão"))</x:f>
      </x:c>
      <x:c r="I22" s="94" t="str">
        <x:f>IF($A22="","",SUMIFS('Movimentações'!$E$2:$E$501,'Movimentações'!$A$2:$A$501,'Parâmetros'!$B$4,'Movimentações'!$B$2:$B$501,$A22,'Movimentações'!$C$2:$C$501,"Bônus/Gratificação"))</x:f>
      </x:c>
      <x:c r="J22" s="94" t="str">
        <x:f>IF($A22="","",SUMIFS('Movimentações'!$E$2:$E$501,'Movimentações'!$A$2:$A$501,'Parâmetros'!$B$4,'Movimentações'!$B$2:$B$501,$A22,'Movimentações'!$C$2:$C$501,"Adicional"))</x:f>
      </x:c>
      <x:c r="K22" s="94" t="str">
        <x:f>IF($A22="","",SUMIFS('Movimentações'!$E$2:$E$501,'Movimentações'!$A$2:$A$501,'Parâmetros'!$B$4,'Movimentações'!$B$2:$B$501,$A22,'Movimentações'!$C$2:$C$501,"Crédito Extra"))</x:f>
      </x:c>
      <x:c r="L22" s="94" t="str">
        <x:f>IF($A22="","",SUMIFS('Movimentações'!$E$2:$E$501,'Movimentações'!$A$2:$A$501,'Parâmetros'!$B$4,'Movimentações'!$B$2:$B$501,$A22,'Movimentações'!$C$2:$C$501,"Desconto Extra"))</x:f>
      </x:c>
      <x:c r="M22" s="96" t="str">
        <x:f>IF($A22="","",D22/IF(Cadastro!J22=0,'Parâmetros'!$B$12,Cadastro!J22))</x:f>
      </x:c>
      <x:c r="N22" s="96" t="str">
        <x:f>IF($A22="","",(D22/'Parâmetros'!$B$7)*E22)</x:f>
      </x:c>
      <x:c r="O22" s="96" t="str">
        <x:f>IF($A22="","",IF(E22&gt;0,D22/'Parâmetros'!$B$7,0))</x:f>
      </x:c>
      <x:c r="P22" s="96" t="str">
        <x:f>IF($A22="","",(M22*'Parâmetros'!$B$10)*F22)</x:f>
      </x:c>
      <x:c r="Q22" s="96" t="str">
        <x:f>IF($A22="","",(M22*'Parâmetros'!$B$11)*G22)</x:f>
      </x:c>
      <x:c r="R22" s="96" t="str">
        <x:f>IF($A22="","",((P22+Q22)/'Parâmetros'!$B$5)*'Parâmetros'!$B$6)</x:f>
      </x:c>
      <x:c r="S22" s="96" t="str">
        <x:f>IF($A22="","",(H22/'Parâmetros'!$B$5)*'Parâmetros'!$B$6)</x:f>
      </x:c>
      <x:c r="T22" s="96" t="str">
        <x:f>IF($A22="","",D22-N22-O22+H22+I22+J22+K22+P22+Q22+R22+S22)</x:f>
      </x:c>
      <x:c r="U22" s="96" t="str">
        <x:f>IF($A22="","",MIN(D22*'Parâmetros'!$B$9,Cadastro!L22))</x:f>
      </x:c>
      <x:c r="V22" s="96" t="str">
        <x:f>IF($A22="","",IF(T22&lt;='Parâmetros'!$C$16,T22*'Parâmetros'!$D$16,IF(T22&lt;='Parâmetros'!$C$17,T22*'Parâmetros'!$D$17-'Parâmetros'!$E$17,IF(T22&lt;='Parâmetros'!$C$18,T22*'Parâmetros'!$D$18-'Parâmetros'!$E$18,IF(T22&lt;='Parâmetros'!$C$19,T22*'Parâmetros'!$D$19-'Parâmetros'!$E$19,'Parâmetros'!$C$19*'Parâmetros'!$D$19-'Parâmetros'!$E$19)))))</x:f>
      </x:c>
      <x:c r="W22" s="96" t="str">
        <x:f>IF($A22="","",MAX(0,((T22-V22-(Cadastro!K22*'Parâmetros'!$H$6))*'Parâmetros'!$H$4)-'Parâmetros'!$H$5))</x:f>
      </x:c>
      <x:c r="X22" s="96" t="str">
        <x:f>IF($A22="","",Cadastro!M22)</x:f>
      </x:c>
      <x:c r="Y22" s="96" t="str">
        <x:f>IF($A22="","",Cadastro!N22)</x:f>
      </x:c>
      <x:c r="Z22" s="96" t="str">
        <x:f>IF($A22="","",Cadastro!O22)</x:f>
      </x:c>
      <x:c r="AA22" s="96" t="str">
        <x:f>IF($A22="","",N22+O22+U22+V22+W22+X22+Y22+Z22+L22)</x:f>
      </x:c>
      <x:c r="AB22" s="96" t="str">
        <x:f>IF($A22="","",T22-(U22+V22+W22+X22+Y22+Z22+L22))</x:f>
      </x:c>
      <x:c r="AC22" s="88" t="str">
        <x:f>IF($A22="","",SUMIFS('Importação Contabilidade'!$T$7:$T$500,'Importação Contabilidade'!$A$7:$A$500,'Parâmetros'!$B$4,'Importação Contabilidade'!$B$7:$B$500,$A22))</x:f>
      </x:c>
      <x:c r="AD22" s="88" t="str">
        <x:f>IF($A22="","",SUMIFS('Importação Contabilidade'!$U$7:$U$500,'Importação Contabilidade'!$A$7:$A$500,'Parâmetros'!$B$4,'Importação Contabilidade'!$B$7:$B$500,$A22))</x:f>
      </x:c>
      <x:c r="AE22" s="88" t="str">
        <x:f>IF($A22="","",SUMIFS('Importação Contabilidade'!$V$7:$V$500,'Importação Contabilidade'!$A$7:$A$500,'Parâmetros'!$B$4,'Importação Contabilidade'!$B$7:$B$500,$A22))</x:f>
      </x:c>
      <x:c r="AF22" s="97" t="str">
        <x:f>IF($A22="","",T22-AC22)</x:f>
      </x:c>
      <x:c r="AG22" s="97" t="str">
        <x:f>IF($A22="","",AA22-AD22)</x:f>
      </x:c>
      <x:c r="AH22" s="97" t="str">
        <x:f>IF($A22="","",AB22-AE22)</x:f>
      </x:c>
      <x:c r="AI22" s="98" t="str">
        <x:f>IF($A22="","",IF(COUNTIFS('Importação Contabilidade'!$A$7:$A$500,'Parâmetros'!$B$4,'Importação Contabilidade'!$B$7:$B$500,$A22)=0,"PENDENTE IMPORTAÇÃO",IF(AND(ABS(AF22)&lt;='Parâmetros'!$B$8,ABS(AG22)&lt;='Parâmetros'!$B$8,ABS(AH22)&lt;='Parâmetros'!$B$8),"OK","REVISAR")))</x:f>
      </x:c>
      <x:c r="AJ22" s="98" t="str">
        <x:f>IF($A22="","",IF(AI22="PENDENTE IMPORTAÇÃO","Funcionário/competência não encontrados na Importação Contabilidade",IF(AI22="OK","Sem divergência relevante",IF(ABS(AH22)&gt;=MAX(ABS(AF22),ABS(AG22)),"Revisar salário líquido",IF(ABS(AF22)&gt;=ABS(AG22),"Revisar bruto/proventos","Revisar descontos")))))</x:f>
      </x:c>
    </x:row>
    <x:row r="23">
      <x:c r="A23" s="93" t="str">
        <x:f>IF(Cadastro!A23="","",Cadastro!A23)</x:f>
      </x:c>
      <x:c r="B23" s="93" t="str">
        <x:f>IF(Cadastro!B23="","",Cadastro!B23)</x:f>
      </x:c>
      <x:c r="C23" s="93" t="str">
        <x:f>IF(Cadastro!F23="","",Cadastro!F23)</x:f>
      </x:c>
      <x:c r="D23" s="94" t="str">
        <x:f>IF(Cadastro!I23="","",Cadastro!I23)</x:f>
      </x:c>
      <x:c r="E23" s="95" t="str">
        <x:f>IF($A23="","",SUMIFS('Movimentações'!$D$2:$D$501,'Movimentações'!$A$2:$A$501,'Parâmetros'!$B$4,'Movimentações'!$B$2:$B$501,$A23,'Movimentações'!$C$2:$C$501,"Falta (dias)"))</x:f>
      </x:c>
      <x:c r="F23" s="95" t="str">
        <x:f>IF($A23="","",SUMIFS('Movimentações'!$D$2:$D$501,'Movimentações'!$A$2:$A$501,'Parâmetros'!$B$4,'Movimentações'!$B$2:$B$501,$A23,'Movimentações'!$C$2:$C$501,"HE 50% (horas)"))</x:f>
      </x:c>
      <x:c r="G23" s="95" t="str">
        <x:f>IF($A23="","",SUMIFS('Movimentações'!$D$2:$D$501,'Movimentações'!$A$2:$A$501,'Parâmetros'!$B$4,'Movimentações'!$B$2:$B$501,$A23,'Movimentações'!$C$2:$C$501,"HE 100% (horas)"))</x:f>
      </x:c>
      <x:c r="H23" s="94" t="str">
        <x:f>IF($A23="","",SUMIFS('Movimentações'!$E$2:$E$501,'Movimentações'!$A$2:$A$501,'Parâmetros'!$B$4,'Movimentações'!$B$2:$B$501,$A23,'Movimentações'!$C$2:$C$501,"Comissão"))</x:f>
      </x:c>
      <x:c r="I23" s="94" t="str">
        <x:f>IF($A23="","",SUMIFS('Movimentações'!$E$2:$E$501,'Movimentações'!$A$2:$A$501,'Parâmetros'!$B$4,'Movimentações'!$B$2:$B$501,$A23,'Movimentações'!$C$2:$C$501,"Bônus/Gratificação"))</x:f>
      </x:c>
      <x:c r="J23" s="94" t="str">
        <x:f>IF($A23="","",SUMIFS('Movimentações'!$E$2:$E$501,'Movimentações'!$A$2:$A$501,'Parâmetros'!$B$4,'Movimentações'!$B$2:$B$501,$A23,'Movimentações'!$C$2:$C$501,"Adicional"))</x:f>
      </x:c>
      <x:c r="K23" s="94" t="str">
        <x:f>IF($A23="","",SUMIFS('Movimentações'!$E$2:$E$501,'Movimentações'!$A$2:$A$501,'Parâmetros'!$B$4,'Movimentações'!$B$2:$B$501,$A23,'Movimentações'!$C$2:$C$501,"Crédito Extra"))</x:f>
      </x:c>
      <x:c r="L23" s="94" t="str">
        <x:f>IF($A23="","",SUMIFS('Movimentações'!$E$2:$E$501,'Movimentações'!$A$2:$A$501,'Parâmetros'!$B$4,'Movimentações'!$B$2:$B$501,$A23,'Movimentações'!$C$2:$C$501,"Desconto Extra"))</x:f>
      </x:c>
      <x:c r="M23" s="96" t="str">
        <x:f>IF($A23="","",D23/IF(Cadastro!J23=0,'Parâmetros'!$B$12,Cadastro!J23))</x:f>
      </x:c>
      <x:c r="N23" s="96" t="str">
        <x:f>IF($A23="","",(D23/'Parâmetros'!$B$7)*E23)</x:f>
      </x:c>
      <x:c r="O23" s="96" t="str">
        <x:f>IF($A23="","",IF(E23&gt;0,D23/'Parâmetros'!$B$7,0))</x:f>
      </x:c>
      <x:c r="P23" s="96" t="str">
        <x:f>IF($A23="","",(M23*'Parâmetros'!$B$10)*F23)</x:f>
      </x:c>
      <x:c r="Q23" s="96" t="str">
        <x:f>IF($A23="","",(M23*'Parâmetros'!$B$11)*G23)</x:f>
      </x:c>
      <x:c r="R23" s="96" t="str">
        <x:f>IF($A23="","",((P23+Q23)/'Parâmetros'!$B$5)*'Parâmetros'!$B$6)</x:f>
      </x:c>
      <x:c r="S23" s="96" t="str">
        <x:f>IF($A23="","",(H23/'Parâmetros'!$B$5)*'Parâmetros'!$B$6)</x:f>
      </x:c>
      <x:c r="T23" s="96" t="str">
        <x:f>IF($A23="","",D23-N23-O23+H23+I23+J23+K23+P23+Q23+R23+S23)</x:f>
      </x:c>
      <x:c r="U23" s="96" t="str">
        <x:f>IF($A23="","",MIN(D23*'Parâmetros'!$B$9,Cadastro!L23))</x:f>
      </x:c>
      <x:c r="V23" s="96" t="str">
        <x:f>IF($A23="","",IF(T23&lt;='Parâmetros'!$C$16,T23*'Parâmetros'!$D$16,IF(T23&lt;='Parâmetros'!$C$17,T23*'Parâmetros'!$D$17-'Parâmetros'!$E$17,IF(T23&lt;='Parâmetros'!$C$18,T23*'Parâmetros'!$D$18-'Parâmetros'!$E$18,IF(T23&lt;='Parâmetros'!$C$19,T23*'Parâmetros'!$D$19-'Parâmetros'!$E$19,'Parâmetros'!$C$19*'Parâmetros'!$D$19-'Parâmetros'!$E$19)))))</x:f>
      </x:c>
      <x:c r="W23" s="96" t="str">
        <x:f>IF($A23="","",MAX(0,((T23-V23-(Cadastro!K23*'Parâmetros'!$H$6))*'Parâmetros'!$H$4)-'Parâmetros'!$H$5))</x:f>
      </x:c>
      <x:c r="X23" s="96" t="str">
        <x:f>IF($A23="","",Cadastro!M23)</x:f>
      </x:c>
      <x:c r="Y23" s="96" t="str">
        <x:f>IF($A23="","",Cadastro!N23)</x:f>
      </x:c>
      <x:c r="Z23" s="96" t="str">
        <x:f>IF($A23="","",Cadastro!O23)</x:f>
      </x:c>
      <x:c r="AA23" s="96" t="str">
        <x:f>IF($A23="","",N23+O23+U23+V23+W23+X23+Y23+Z23+L23)</x:f>
      </x:c>
      <x:c r="AB23" s="96" t="str">
        <x:f>IF($A23="","",T23-(U23+V23+W23+X23+Y23+Z23+L23))</x:f>
      </x:c>
      <x:c r="AC23" s="88" t="str">
        <x:f>IF($A23="","",SUMIFS('Importação Contabilidade'!$T$7:$T$500,'Importação Contabilidade'!$A$7:$A$500,'Parâmetros'!$B$4,'Importação Contabilidade'!$B$7:$B$500,$A23))</x:f>
      </x:c>
      <x:c r="AD23" s="88" t="str">
        <x:f>IF($A23="","",SUMIFS('Importação Contabilidade'!$U$7:$U$500,'Importação Contabilidade'!$A$7:$A$500,'Parâmetros'!$B$4,'Importação Contabilidade'!$B$7:$B$500,$A23))</x:f>
      </x:c>
      <x:c r="AE23" s="88" t="str">
        <x:f>IF($A23="","",SUMIFS('Importação Contabilidade'!$V$7:$V$500,'Importação Contabilidade'!$A$7:$A$500,'Parâmetros'!$B$4,'Importação Contabilidade'!$B$7:$B$500,$A23))</x:f>
      </x:c>
      <x:c r="AF23" s="97" t="str">
        <x:f>IF($A23="","",T23-AC23)</x:f>
      </x:c>
      <x:c r="AG23" s="97" t="str">
        <x:f>IF($A23="","",AA23-AD23)</x:f>
      </x:c>
      <x:c r="AH23" s="97" t="str">
        <x:f>IF($A23="","",AB23-AE23)</x:f>
      </x:c>
      <x:c r="AI23" s="98" t="str">
        <x:f>IF($A23="","",IF(COUNTIFS('Importação Contabilidade'!$A$7:$A$500,'Parâmetros'!$B$4,'Importação Contabilidade'!$B$7:$B$500,$A23)=0,"PENDENTE IMPORTAÇÃO",IF(AND(ABS(AF23)&lt;='Parâmetros'!$B$8,ABS(AG23)&lt;='Parâmetros'!$B$8,ABS(AH23)&lt;='Parâmetros'!$B$8),"OK","REVISAR")))</x:f>
      </x:c>
      <x:c r="AJ23" s="98" t="str">
        <x:f>IF($A23="","",IF(AI23="PENDENTE IMPORTAÇÃO","Funcionário/competência não encontrados na Importação Contabilidade",IF(AI23="OK","Sem divergência relevante",IF(ABS(AH23)&gt;=MAX(ABS(AF23),ABS(AG23)),"Revisar salário líquido",IF(ABS(AF23)&gt;=ABS(AG23),"Revisar bruto/proventos","Revisar descontos")))))</x:f>
      </x:c>
    </x:row>
    <x:row r="24">
      <x:c r="A24" s="93" t="str">
        <x:f>IF(Cadastro!A24="","",Cadastro!A24)</x:f>
      </x:c>
      <x:c r="B24" s="93" t="str">
        <x:f>IF(Cadastro!B24="","",Cadastro!B24)</x:f>
      </x:c>
      <x:c r="C24" s="93" t="str">
        <x:f>IF(Cadastro!F24="","",Cadastro!F24)</x:f>
      </x:c>
      <x:c r="D24" s="94" t="str">
        <x:f>IF(Cadastro!I24="","",Cadastro!I24)</x:f>
      </x:c>
      <x:c r="E24" s="95" t="str">
        <x:f>IF($A24="","",SUMIFS('Movimentações'!$D$2:$D$501,'Movimentações'!$A$2:$A$501,'Parâmetros'!$B$4,'Movimentações'!$B$2:$B$501,$A24,'Movimentações'!$C$2:$C$501,"Falta (dias)"))</x:f>
      </x:c>
      <x:c r="F24" s="95" t="str">
        <x:f>IF($A24="","",SUMIFS('Movimentações'!$D$2:$D$501,'Movimentações'!$A$2:$A$501,'Parâmetros'!$B$4,'Movimentações'!$B$2:$B$501,$A24,'Movimentações'!$C$2:$C$501,"HE 50% (horas)"))</x:f>
      </x:c>
      <x:c r="G24" s="95" t="str">
        <x:f>IF($A24="","",SUMIFS('Movimentações'!$D$2:$D$501,'Movimentações'!$A$2:$A$501,'Parâmetros'!$B$4,'Movimentações'!$B$2:$B$501,$A24,'Movimentações'!$C$2:$C$501,"HE 100% (horas)"))</x:f>
      </x:c>
      <x:c r="H24" s="94" t="str">
        <x:f>IF($A24="","",SUMIFS('Movimentações'!$E$2:$E$501,'Movimentações'!$A$2:$A$501,'Parâmetros'!$B$4,'Movimentações'!$B$2:$B$501,$A24,'Movimentações'!$C$2:$C$501,"Comissão"))</x:f>
      </x:c>
      <x:c r="I24" s="94" t="str">
        <x:f>IF($A24="","",SUMIFS('Movimentações'!$E$2:$E$501,'Movimentações'!$A$2:$A$501,'Parâmetros'!$B$4,'Movimentações'!$B$2:$B$501,$A24,'Movimentações'!$C$2:$C$501,"Bônus/Gratificação"))</x:f>
      </x:c>
      <x:c r="J24" s="94" t="str">
        <x:f>IF($A24="","",SUMIFS('Movimentações'!$E$2:$E$501,'Movimentações'!$A$2:$A$501,'Parâmetros'!$B$4,'Movimentações'!$B$2:$B$501,$A24,'Movimentações'!$C$2:$C$501,"Adicional"))</x:f>
      </x:c>
      <x:c r="K24" s="94" t="str">
        <x:f>IF($A24="","",SUMIFS('Movimentações'!$E$2:$E$501,'Movimentações'!$A$2:$A$501,'Parâmetros'!$B$4,'Movimentações'!$B$2:$B$501,$A24,'Movimentações'!$C$2:$C$501,"Crédito Extra"))</x:f>
      </x:c>
      <x:c r="L24" s="94" t="str">
        <x:f>IF($A24="","",SUMIFS('Movimentações'!$E$2:$E$501,'Movimentações'!$A$2:$A$501,'Parâmetros'!$B$4,'Movimentações'!$B$2:$B$501,$A24,'Movimentações'!$C$2:$C$501,"Desconto Extra"))</x:f>
      </x:c>
      <x:c r="M24" s="96" t="str">
        <x:f>IF($A24="","",D24/IF(Cadastro!J24=0,'Parâmetros'!$B$12,Cadastro!J24))</x:f>
      </x:c>
      <x:c r="N24" s="96" t="str">
        <x:f>IF($A24="","",(D24/'Parâmetros'!$B$7)*E24)</x:f>
      </x:c>
      <x:c r="O24" s="96" t="str">
        <x:f>IF($A24="","",IF(E24&gt;0,D24/'Parâmetros'!$B$7,0))</x:f>
      </x:c>
      <x:c r="P24" s="96" t="str">
        <x:f>IF($A24="","",(M24*'Parâmetros'!$B$10)*F24)</x:f>
      </x:c>
      <x:c r="Q24" s="96" t="str">
        <x:f>IF($A24="","",(M24*'Parâmetros'!$B$11)*G24)</x:f>
      </x:c>
      <x:c r="R24" s="96" t="str">
        <x:f>IF($A24="","",((P24+Q24)/'Parâmetros'!$B$5)*'Parâmetros'!$B$6)</x:f>
      </x:c>
      <x:c r="S24" s="96" t="str">
        <x:f>IF($A24="","",(H24/'Parâmetros'!$B$5)*'Parâmetros'!$B$6)</x:f>
      </x:c>
      <x:c r="T24" s="96" t="str">
        <x:f>IF($A24="","",D24-N24-O24+H24+I24+J24+K24+P24+Q24+R24+S24)</x:f>
      </x:c>
      <x:c r="U24" s="96" t="str">
        <x:f>IF($A24="","",MIN(D24*'Parâmetros'!$B$9,Cadastro!L24))</x:f>
      </x:c>
      <x:c r="V24" s="96" t="str">
        <x:f>IF($A24="","",IF(T24&lt;='Parâmetros'!$C$16,T24*'Parâmetros'!$D$16,IF(T24&lt;='Parâmetros'!$C$17,T24*'Parâmetros'!$D$17-'Parâmetros'!$E$17,IF(T24&lt;='Parâmetros'!$C$18,T24*'Parâmetros'!$D$18-'Parâmetros'!$E$18,IF(T24&lt;='Parâmetros'!$C$19,T24*'Parâmetros'!$D$19-'Parâmetros'!$E$19,'Parâmetros'!$C$19*'Parâmetros'!$D$19-'Parâmetros'!$E$19)))))</x:f>
      </x:c>
      <x:c r="W24" s="96" t="str">
        <x:f>IF($A24="","",MAX(0,((T24-V24-(Cadastro!K24*'Parâmetros'!$H$6))*'Parâmetros'!$H$4)-'Parâmetros'!$H$5))</x:f>
      </x:c>
      <x:c r="X24" s="96" t="str">
        <x:f>IF($A24="","",Cadastro!M24)</x:f>
      </x:c>
      <x:c r="Y24" s="96" t="str">
        <x:f>IF($A24="","",Cadastro!N24)</x:f>
      </x:c>
      <x:c r="Z24" s="96" t="str">
        <x:f>IF($A24="","",Cadastro!O24)</x:f>
      </x:c>
      <x:c r="AA24" s="96" t="str">
        <x:f>IF($A24="","",N24+O24+U24+V24+W24+X24+Y24+Z24+L24)</x:f>
      </x:c>
      <x:c r="AB24" s="96" t="str">
        <x:f>IF($A24="","",T24-(U24+V24+W24+X24+Y24+Z24+L24))</x:f>
      </x:c>
      <x:c r="AC24" s="88" t="str">
        <x:f>IF($A24="","",SUMIFS('Importação Contabilidade'!$T$7:$T$500,'Importação Contabilidade'!$A$7:$A$500,'Parâmetros'!$B$4,'Importação Contabilidade'!$B$7:$B$500,$A24))</x:f>
      </x:c>
      <x:c r="AD24" s="88" t="str">
        <x:f>IF($A24="","",SUMIFS('Importação Contabilidade'!$U$7:$U$500,'Importação Contabilidade'!$A$7:$A$500,'Parâmetros'!$B$4,'Importação Contabilidade'!$B$7:$B$500,$A24))</x:f>
      </x:c>
      <x:c r="AE24" s="88" t="str">
        <x:f>IF($A24="","",SUMIFS('Importação Contabilidade'!$V$7:$V$500,'Importação Contabilidade'!$A$7:$A$500,'Parâmetros'!$B$4,'Importação Contabilidade'!$B$7:$B$500,$A24))</x:f>
      </x:c>
      <x:c r="AF24" s="97" t="str">
        <x:f>IF($A24="","",T24-AC24)</x:f>
      </x:c>
      <x:c r="AG24" s="97" t="str">
        <x:f>IF($A24="","",AA24-AD24)</x:f>
      </x:c>
      <x:c r="AH24" s="97" t="str">
        <x:f>IF($A24="","",AB24-AE24)</x:f>
      </x:c>
      <x:c r="AI24" s="98" t="str">
        <x:f>IF($A24="","",IF(COUNTIFS('Importação Contabilidade'!$A$7:$A$500,'Parâmetros'!$B$4,'Importação Contabilidade'!$B$7:$B$500,$A24)=0,"PENDENTE IMPORTAÇÃO",IF(AND(ABS(AF24)&lt;='Parâmetros'!$B$8,ABS(AG24)&lt;='Parâmetros'!$B$8,ABS(AH24)&lt;='Parâmetros'!$B$8),"OK","REVISAR")))</x:f>
      </x:c>
      <x:c r="AJ24" s="98" t="str">
        <x:f>IF($A24="","",IF(AI24="PENDENTE IMPORTAÇÃO","Funcionário/competência não encontrados na Importação Contabilidade",IF(AI24="OK","Sem divergência relevante",IF(ABS(AH24)&gt;=MAX(ABS(AF24),ABS(AG24)),"Revisar salário líquido",IF(ABS(AF24)&gt;=ABS(AG24),"Revisar bruto/proventos","Revisar descontos")))))</x:f>
      </x:c>
    </x:row>
    <x:row r="25">
      <x:c r="A25" s="93" t="str">
        <x:f>IF(Cadastro!A25="","",Cadastro!A25)</x:f>
      </x:c>
      <x:c r="B25" s="93" t="str">
        <x:f>IF(Cadastro!B25="","",Cadastro!B25)</x:f>
      </x:c>
      <x:c r="C25" s="93" t="str">
        <x:f>IF(Cadastro!F25="","",Cadastro!F25)</x:f>
      </x:c>
      <x:c r="D25" s="94" t="str">
        <x:f>IF(Cadastro!I25="","",Cadastro!I25)</x:f>
      </x:c>
      <x:c r="E25" s="95" t="str">
        <x:f>IF($A25="","",SUMIFS('Movimentações'!$D$2:$D$501,'Movimentações'!$A$2:$A$501,'Parâmetros'!$B$4,'Movimentações'!$B$2:$B$501,$A25,'Movimentações'!$C$2:$C$501,"Falta (dias)"))</x:f>
      </x:c>
      <x:c r="F25" s="95" t="str">
        <x:f>IF($A25="","",SUMIFS('Movimentações'!$D$2:$D$501,'Movimentações'!$A$2:$A$501,'Parâmetros'!$B$4,'Movimentações'!$B$2:$B$501,$A25,'Movimentações'!$C$2:$C$501,"HE 50% (horas)"))</x:f>
      </x:c>
      <x:c r="G25" s="95" t="str">
        <x:f>IF($A25="","",SUMIFS('Movimentações'!$D$2:$D$501,'Movimentações'!$A$2:$A$501,'Parâmetros'!$B$4,'Movimentações'!$B$2:$B$501,$A25,'Movimentações'!$C$2:$C$501,"HE 100% (horas)"))</x:f>
      </x:c>
      <x:c r="H25" s="94" t="str">
        <x:f>IF($A25="","",SUMIFS('Movimentações'!$E$2:$E$501,'Movimentações'!$A$2:$A$501,'Parâmetros'!$B$4,'Movimentações'!$B$2:$B$501,$A25,'Movimentações'!$C$2:$C$501,"Comissão"))</x:f>
      </x:c>
      <x:c r="I25" s="94" t="str">
        <x:f>IF($A25="","",SUMIFS('Movimentações'!$E$2:$E$501,'Movimentações'!$A$2:$A$501,'Parâmetros'!$B$4,'Movimentações'!$B$2:$B$501,$A25,'Movimentações'!$C$2:$C$501,"Bônus/Gratificação"))</x:f>
      </x:c>
      <x:c r="J25" s="94" t="str">
        <x:f>IF($A25="","",SUMIFS('Movimentações'!$E$2:$E$501,'Movimentações'!$A$2:$A$501,'Parâmetros'!$B$4,'Movimentações'!$B$2:$B$501,$A25,'Movimentações'!$C$2:$C$501,"Adicional"))</x:f>
      </x:c>
      <x:c r="K25" s="94" t="str">
        <x:f>IF($A25="","",SUMIFS('Movimentações'!$E$2:$E$501,'Movimentações'!$A$2:$A$501,'Parâmetros'!$B$4,'Movimentações'!$B$2:$B$501,$A25,'Movimentações'!$C$2:$C$501,"Crédito Extra"))</x:f>
      </x:c>
      <x:c r="L25" s="94" t="str">
        <x:f>IF($A25="","",SUMIFS('Movimentações'!$E$2:$E$501,'Movimentações'!$A$2:$A$501,'Parâmetros'!$B$4,'Movimentações'!$B$2:$B$501,$A25,'Movimentações'!$C$2:$C$501,"Desconto Extra"))</x:f>
      </x:c>
      <x:c r="M25" s="96" t="str">
        <x:f>IF($A25="","",D25/IF(Cadastro!J25=0,'Parâmetros'!$B$12,Cadastro!J25))</x:f>
      </x:c>
      <x:c r="N25" s="96" t="str">
        <x:f>IF($A25="","",(D25/'Parâmetros'!$B$7)*E25)</x:f>
      </x:c>
      <x:c r="O25" s="96" t="str">
        <x:f>IF($A25="","",IF(E25&gt;0,D25/'Parâmetros'!$B$7,0))</x:f>
      </x:c>
      <x:c r="P25" s="96" t="str">
        <x:f>IF($A25="","",(M25*'Parâmetros'!$B$10)*F25)</x:f>
      </x:c>
      <x:c r="Q25" s="96" t="str">
        <x:f>IF($A25="","",(M25*'Parâmetros'!$B$11)*G25)</x:f>
      </x:c>
      <x:c r="R25" s="96" t="str">
        <x:f>IF($A25="","",((P25+Q25)/'Parâmetros'!$B$5)*'Parâmetros'!$B$6)</x:f>
      </x:c>
      <x:c r="S25" s="96" t="str">
        <x:f>IF($A25="","",(H25/'Parâmetros'!$B$5)*'Parâmetros'!$B$6)</x:f>
      </x:c>
      <x:c r="T25" s="96" t="str">
        <x:f>IF($A25="","",D25-N25-O25+H25+I25+J25+K25+P25+Q25+R25+S25)</x:f>
      </x:c>
      <x:c r="U25" s="96" t="str">
        <x:f>IF($A25="","",MIN(D25*'Parâmetros'!$B$9,Cadastro!L25))</x:f>
      </x:c>
      <x:c r="V25" s="96" t="str">
        <x:f>IF($A25="","",IF(T25&lt;='Parâmetros'!$C$16,T25*'Parâmetros'!$D$16,IF(T25&lt;='Parâmetros'!$C$17,T25*'Parâmetros'!$D$17-'Parâmetros'!$E$17,IF(T25&lt;='Parâmetros'!$C$18,T25*'Parâmetros'!$D$18-'Parâmetros'!$E$18,IF(T25&lt;='Parâmetros'!$C$19,T25*'Parâmetros'!$D$19-'Parâmetros'!$E$19,'Parâmetros'!$C$19*'Parâmetros'!$D$19-'Parâmetros'!$E$19)))))</x:f>
      </x:c>
      <x:c r="W25" s="96" t="str">
        <x:f>IF($A25="","",MAX(0,((T25-V25-(Cadastro!K25*'Parâmetros'!$H$6))*'Parâmetros'!$H$4)-'Parâmetros'!$H$5))</x:f>
      </x:c>
      <x:c r="X25" s="96" t="str">
        <x:f>IF($A25="","",Cadastro!M25)</x:f>
      </x:c>
      <x:c r="Y25" s="96" t="str">
        <x:f>IF($A25="","",Cadastro!N25)</x:f>
      </x:c>
      <x:c r="Z25" s="96" t="str">
        <x:f>IF($A25="","",Cadastro!O25)</x:f>
      </x:c>
      <x:c r="AA25" s="96" t="str">
        <x:f>IF($A25="","",N25+O25+U25+V25+W25+X25+Y25+Z25+L25)</x:f>
      </x:c>
      <x:c r="AB25" s="96" t="str">
        <x:f>IF($A25="","",T25-(U25+V25+W25+X25+Y25+Z25+L25))</x:f>
      </x:c>
      <x:c r="AC25" s="88" t="str">
        <x:f>IF($A25="","",SUMIFS('Importação Contabilidade'!$T$7:$T$500,'Importação Contabilidade'!$A$7:$A$500,'Parâmetros'!$B$4,'Importação Contabilidade'!$B$7:$B$500,$A25))</x:f>
      </x:c>
      <x:c r="AD25" s="88" t="str">
        <x:f>IF($A25="","",SUMIFS('Importação Contabilidade'!$U$7:$U$500,'Importação Contabilidade'!$A$7:$A$500,'Parâmetros'!$B$4,'Importação Contabilidade'!$B$7:$B$500,$A25))</x:f>
      </x:c>
      <x:c r="AE25" s="88" t="str">
        <x:f>IF($A25="","",SUMIFS('Importação Contabilidade'!$V$7:$V$500,'Importação Contabilidade'!$A$7:$A$500,'Parâmetros'!$B$4,'Importação Contabilidade'!$B$7:$B$500,$A25))</x:f>
      </x:c>
      <x:c r="AF25" s="97" t="str">
        <x:f>IF($A25="","",T25-AC25)</x:f>
      </x:c>
      <x:c r="AG25" s="97" t="str">
        <x:f>IF($A25="","",AA25-AD25)</x:f>
      </x:c>
      <x:c r="AH25" s="97" t="str">
        <x:f>IF($A25="","",AB25-AE25)</x:f>
      </x:c>
      <x:c r="AI25" s="98" t="str">
        <x:f>IF($A25="","",IF(COUNTIFS('Importação Contabilidade'!$A$7:$A$500,'Parâmetros'!$B$4,'Importação Contabilidade'!$B$7:$B$500,$A25)=0,"PENDENTE IMPORTAÇÃO",IF(AND(ABS(AF25)&lt;='Parâmetros'!$B$8,ABS(AG25)&lt;='Parâmetros'!$B$8,ABS(AH25)&lt;='Parâmetros'!$B$8),"OK","REVISAR")))</x:f>
      </x:c>
      <x:c r="AJ25" s="98" t="str">
        <x:f>IF($A25="","",IF(AI25="PENDENTE IMPORTAÇÃO","Funcionário/competência não encontrados na Importação Contabilidade",IF(AI25="OK","Sem divergência relevante",IF(ABS(AH25)&gt;=MAX(ABS(AF25),ABS(AG25)),"Revisar salário líquido",IF(ABS(AF25)&gt;=ABS(AG25),"Revisar bruto/proventos","Revisar descontos")))))</x:f>
      </x:c>
    </x:row>
    <x:row r="26">
      <x:c r="A26" s="93" t="str">
        <x:f>IF(Cadastro!A26="","",Cadastro!A26)</x:f>
      </x:c>
      <x:c r="B26" s="93" t="str">
        <x:f>IF(Cadastro!B26="","",Cadastro!B26)</x:f>
      </x:c>
      <x:c r="C26" s="93" t="str">
        <x:f>IF(Cadastro!F26="","",Cadastro!F26)</x:f>
      </x:c>
      <x:c r="D26" s="94" t="str">
        <x:f>IF(Cadastro!I26="","",Cadastro!I26)</x:f>
      </x:c>
      <x:c r="E26" s="95" t="str">
        <x:f>IF($A26="","",SUMIFS('Movimentações'!$D$2:$D$501,'Movimentações'!$A$2:$A$501,'Parâmetros'!$B$4,'Movimentações'!$B$2:$B$501,$A26,'Movimentações'!$C$2:$C$501,"Falta (dias)"))</x:f>
      </x:c>
      <x:c r="F26" s="95" t="str">
        <x:f>IF($A26="","",SUMIFS('Movimentações'!$D$2:$D$501,'Movimentações'!$A$2:$A$501,'Parâmetros'!$B$4,'Movimentações'!$B$2:$B$501,$A26,'Movimentações'!$C$2:$C$501,"HE 50% (horas)"))</x:f>
      </x:c>
      <x:c r="G26" s="95" t="str">
        <x:f>IF($A26="","",SUMIFS('Movimentações'!$D$2:$D$501,'Movimentações'!$A$2:$A$501,'Parâmetros'!$B$4,'Movimentações'!$B$2:$B$501,$A26,'Movimentações'!$C$2:$C$501,"HE 100% (horas)"))</x:f>
      </x:c>
      <x:c r="H26" s="94" t="str">
        <x:f>IF($A26="","",SUMIFS('Movimentações'!$E$2:$E$501,'Movimentações'!$A$2:$A$501,'Parâmetros'!$B$4,'Movimentações'!$B$2:$B$501,$A26,'Movimentações'!$C$2:$C$501,"Comissão"))</x:f>
      </x:c>
      <x:c r="I26" s="94" t="str">
        <x:f>IF($A26="","",SUMIFS('Movimentações'!$E$2:$E$501,'Movimentações'!$A$2:$A$501,'Parâmetros'!$B$4,'Movimentações'!$B$2:$B$501,$A26,'Movimentações'!$C$2:$C$501,"Bônus/Gratificação"))</x:f>
      </x:c>
      <x:c r="J26" s="94" t="str">
        <x:f>IF($A26="","",SUMIFS('Movimentações'!$E$2:$E$501,'Movimentações'!$A$2:$A$501,'Parâmetros'!$B$4,'Movimentações'!$B$2:$B$501,$A26,'Movimentações'!$C$2:$C$501,"Adicional"))</x:f>
      </x:c>
      <x:c r="K26" s="94" t="str">
        <x:f>IF($A26="","",SUMIFS('Movimentações'!$E$2:$E$501,'Movimentações'!$A$2:$A$501,'Parâmetros'!$B$4,'Movimentações'!$B$2:$B$501,$A26,'Movimentações'!$C$2:$C$501,"Crédito Extra"))</x:f>
      </x:c>
      <x:c r="L26" s="94" t="str">
        <x:f>IF($A26="","",SUMIFS('Movimentações'!$E$2:$E$501,'Movimentações'!$A$2:$A$501,'Parâmetros'!$B$4,'Movimentações'!$B$2:$B$501,$A26,'Movimentações'!$C$2:$C$501,"Desconto Extra"))</x:f>
      </x:c>
      <x:c r="M26" s="96" t="str">
        <x:f>IF($A26="","",D26/IF(Cadastro!J26=0,'Parâmetros'!$B$12,Cadastro!J26))</x:f>
      </x:c>
      <x:c r="N26" s="96" t="str">
        <x:f>IF($A26="","",(D26/'Parâmetros'!$B$7)*E26)</x:f>
      </x:c>
      <x:c r="O26" s="96" t="str">
        <x:f>IF($A26="","",IF(E26&gt;0,D26/'Parâmetros'!$B$7,0))</x:f>
      </x:c>
      <x:c r="P26" s="96" t="str">
        <x:f>IF($A26="","",(M26*'Parâmetros'!$B$10)*F26)</x:f>
      </x:c>
      <x:c r="Q26" s="96" t="str">
        <x:f>IF($A26="","",(M26*'Parâmetros'!$B$11)*G26)</x:f>
      </x:c>
      <x:c r="R26" s="96" t="str">
        <x:f>IF($A26="","",((P26+Q26)/'Parâmetros'!$B$5)*'Parâmetros'!$B$6)</x:f>
      </x:c>
      <x:c r="S26" s="96" t="str">
        <x:f>IF($A26="","",(H26/'Parâmetros'!$B$5)*'Parâmetros'!$B$6)</x:f>
      </x:c>
      <x:c r="T26" s="96" t="str">
        <x:f>IF($A26="","",D26-N26-O26+H26+I26+J26+K26+P26+Q26+R26+S26)</x:f>
      </x:c>
      <x:c r="U26" s="96" t="str">
        <x:f>IF($A26="","",MIN(D26*'Parâmetros'!$B$9,Cadastro!L26))</x:f>
      </x:c>
      <x:c r="V26" s="96" t="str">
        <x:f>IF($A26="","",IF(T26&lt;='Parâmetros'!$C$16,T26*'Parâmetros'!$D$16,IF(T26&lt;='Parâmetros'!$C$17,T26*'Parâmetros'!$D$17-'Parâmetros'!$E$17,IF(T26&lt;='Parâmetros'!$C$18,T26*'Parâmetros'!$D$18-'Parâmetros'!$E$18,IF(T26&lt;='Parâmetros'!$C$19,T26*'Parâmetros'!$D$19-'Parâmetros'!$E$19,'Parâmetros'!$C$19*'Parâmetros'!$D$19-'Parâmetros'!$E$19)))))</x:f>
      </x:c>
      <x:c r="W26" s="96" t="str">
        <x:f>IF($A26="","",MAX(0,((T26-V26-(Cadastro!K26*'Parâmetros'!$H$6))*'Parâmetros'!$H$4)-'Parâmetros'!$H$5))</x:f>
      </x:c>
      <x:c r="X26" s="96" t="str">
        <x:f>IF($A26="","",Cadastro!M26)</x:f>
      </x:c>
      <x:c r="Y26" s="96" t="str">
        <x:f>IF($A26="","",Cadastro!N26)</x:f>
      </x:c>
      <x:c r="Z26" s="96" t="str">
        <x:f>IF($A26="","",Cadastro!O26)</x:f>
      </x:c>
      <x:c r="AA26" s="96" t="str">
        <x:f>IF($A26="","",N26+O26+U26+V26+W26+X26+Y26+Z26+L26)</x:f>
      </x:c>
      <x:c r="AB26" s="96" t="str">
        <x:f>IF($A26="","",T26-(U26+V26+W26+X26+Y26+Z26+L26))</x:f>
      </x:c>
      <x:c r="AC26" s="88" t="str">
        <x:f>IF($A26="","",SUMIFS('Importação Contabilidade'!$T$7:$T$500,'Importação Contabilidade'!$A$7:$A$500,'Parâmetros'!$B$4,'Importação Contabilidade'!$B$7:$B$500,$A26))</x:f>
      </x:c>
      <x:c r="AD26" s="88" t="str">
        <x:f>IF($A26="","",SUMIFS('Importação Contabilidade'!$U$7:$U$500,'Importação Contabilidade'!$A$7:$A$500,'Parâmetros'!$B$4,'Importação Contabilidade'!$B$7:$B$500,$A26))</x:f>
      </x:c>
      <x:c r="AE26" s="88" t="str">
        <x:f>IF($A26="","",SUMIFS('Importação Contabilidade'!$V$7:$V$500,'Importação Contabilidade'!$A$7:$A$500,'Parâmetros'!$B$4,'Importação Contabilidade'!$B$7:$B$500,$A26))</x:f>
      </x:c>
      <x:c r="AF26" s="97" t="str">
        <x:f>IF($A26="","",T26-AC26)</x:f>
      </x:c>
      <x:c r="AG26" s="97" t="str">
        <x:f>IF($A26="","",AA26-AD26)</x:f>
      </x:c>
      <x:c r="AH26" s="97" t="str">
        <x:f>IF($A26="","",AB26-AE26)</x:f>
      </x:c>
      <x:c r="AI26" s="98" t="str">
        <x:f>IF($A26="","",IF(COUNTIFS('Importação Contabilidade'!$A$7:$A$500,'Parâmetros'!$B$4,'Importação Contabilidade'!$B$7:$B$500,$A26)=0,"PENDENTE IMPORTAÇÃO",IF(AND(ABS(AF26)&lt;='Parâmetros'!$B$8,ABS(AG26)&lt;='Parâmetros'!$B$8,ABS(AH26)&lt;='Parâmetros'!$B$8),"OK","REVISAR")))</x:f>
      </x:c>
      <x:c r="AJ26" s="98" t="str">
        <x:f>IF($A26="","",IF(AI26="PENDENTE IMPORTAÇÃO","Funcionário/competência não encontrados na Importação Contabilidade",IF(AI26="OK","Sem divergência relevante",IF(ABS(AH26)&gt;=MAX(ABS(AF26),ABS(AG26)),"Revisar salário líquido",IF(ABS(AF26)&gt;=ABS(AG26),"Revisar bruto/proventos","Revisar descontos")))))</x:f>
      </x:c>
    </x:row>
    <x:row r="27">
      <x:c r="A27" s="93" t="str">
        <x:f>IF(Cadastro!A27="","",Cadastro!A27)</x:f>
      </x:c>
      <x:c r="B27" s="93" t="str">
        <x:f>IF(Cadastro!B27="","",Cadastro!B27)</x:f>
      </x:c>
      <x:c r="C27" s="93" t="str">
        <x:f>IF(Cadastro!F27="","",Cadastro!F27)</x:f>
      </x:c>
      <x:c r="D27" s="94" t="str">
        <x:f>IF(Cadastro!I27="","",Cadastro!I27)</x:f>
      </x:c>
      <x:c r="E27" s="95" t="str">
        <x:f>IF($A27="","",SUMIFS('Movimentações'!$D$2:$D$501,'Movimentações'!$A$2:$A$501,'Parâmetros'!$B$4,'Movimentações'!$B$2:$B$501,$A27,'Movimentações'!$C$2:$C$501,"Falta (dias)"))</x:f>
      </x:c>
      <x:c r="F27" s="95" t="str">
        <x:f>IF($A27="","",SUMIFS('Movimentações'!$D$2:$D$501,'Movimentações'!$A$2:$A$501,'Parâmetros'!$B$4,'Movimentações'!$B$2:$B$501,$A27,'Movimentações'!$C$2:$C$501,"HE 50% (horas)"))</x:f>
      </x:c>
      <x:c r="G27" s="95" t="str">
        <x:f>IF($A27="","",SUMIFS('Movimentações'!$D$2:$D$501,'Movimentações'!$A$2:$A$501,'Parâmetros'!$B$4,'Movimentações'!$B$2:$B$501,$A27,'Movimentações'!$C$2:$C$501,"HE 100% (horas)"))</x:f>
      </x:c>
      <x:c r="H27" s="94" t="str">
        <x:f>IF($A27="","",SUMIFS('Movimentações'!$E$2:$E$501,'Movimentações'!$A$2:$A$501,'Parâmetros'!$B$4,'Movimentações'!$B$2:$B$501,$A27,'Movimentações'!$C$2:$C$501,"Comissão"))</x:f>
      </x:c>
      <x:c r="I27" s="94" t="str">
        <x:f>IF($A27="","",SUMIFS('Movimentações'!$E$2:$E$501,'Movimentações'!$A$2:$A$501,'Parâmetros'!$B$4,'Movimentações'!$B$2:$B$501,$A27,'Movimentações'!$C$2:$C$501,"Bônus/Gratificação"))</x:f>
      </x:c>
      <x:c r="J27" s="94" t="str">
        <x:f>IF($A27="","",SUMIFS('Movimentações'!$E$2:$E$501,'Movimentações'!$A$2:$A$501,'Parâmetros'!$B$4,'Movimentações'!$B$2:$B$501,$A27,'Movimentações'!$C$2:$C$501,"Adicional"))</x:f>
      </x:c>
      <x:c r="K27" s="94" t="str">
        <x:f>IF($A27="","",SUMIFS('Movimentações'!$E$2:$E$501,'Movimentações'!$A$2:$A$501,'Parâmetros'!$B$4,'Movimentações'!$B$2:$B$501,$A27,'Movimentações'!$C$2:$C$501,"Crédito Extra"))</x:f>
      </x:c>
      <x:c r="L27" s="94" t="str">
        <x:f>IF($A27="","",SUMIFS('Movimentações'!$E$2:$E$501,'Movimentações'!$A$2:$A$501,'Parâmetros'!$B$4,'Movimentações'!$B$2:$B$501,$A27,'Movimentações'!$C$2:$C$501,"Desconto Extra"))</x:f>
      </x:c>
      <x:c r="M27" s="96" t="str">
        <x:f>IF($A27="","",D27/IF(Cadastro!J27=0,'Parâmetros'!$B$12,Cadastro!J27))</x:f>
      </x:c>
      <x:c r="N27" s="96" t="str">
        <x:f>IF($A27="","",(D27/'Parâmetros'!$B$7)*E27)</x:f>
      </x:c>
      <x:c r="O27" s="96" t="str">
        <x:f>IF($A27="","",IF(E27&gt;0,D27/'Parâmetros'!$B$7,0))</x:f>
      </x:c>
      <x:c r="P27" s="96" t="str">
        <x:f>IF($A27="","",(M27*'Parâmetros'!$B$10)*F27)</x:f>
      </x:c>
      <x:c r="Q27" s="96" t="str">
        <x:f>IF($A27="","",(M27*'Parâmetros'!$B$11)*G27)</x:f>
      </x:c>
      <x:c r="R27" s="96" t="str">
        <x:f>IF($A27="","",((P27+Q27)/'Parâmetros'!$B$5)*'Parâmetros'!$B$6)</x:f>
      </x:c>
      <x:c r="S27" s="96" t="str">
        <x:f>IF($A27="","",(H27/'Parâmetros'!$B$5)*'Parâmetros'!$B$6)</x:f>
      </x:c>
      <x:c r="T27" s="96" t="str">
        <x:f>IF($A27="","",D27-N27-O27+H27+I27+J27+K27+P27+Q27+R27+S27)</x:f>
      </x:c>
      <x:c r="U27" s="96" t="str">
        <x:f>IF($A27="","",MIN(D27*'Parâmetros'!$B$9,Cadastro!L27))</x:f>
      </x:c>
      <x:c r="V27" s="96" t="str">
        <x:f>IF($A27="","",IF(T27&lt;='Parâmetros'!$C$16,T27*'Parâmetros'!$D$16,IF(T27&lt;='Parâmetros'!$C$17,T27*'Parâmetros'!$D$17-'Parâmetros'!$E$17,IF(T27&lt;='Parâmetros'!$C$18,T27*'Parâmetros'!$D$18-'Parâmetros'!$E$18,IF(T27&lt;='Parâmetros'!$C$19,T27*'Parâmetros'!$D$19-'Parâmetros'!$E$19,'Parâmetros'!$C$19*'Parâmetros'!$D$19-'Parâmetros'!$E$19)))))</x:f>
      </x:c>
      <x:c r="W27" s="96" t="str">
        <x:f>IF($A27="","",MAX(0,((T27-V27-(Cadastro!K27*'Parâmetros'!$H$6))*'Parâmetros'!$H$4)-'Parâmetros'!$H$5))</x:f>
      </x:c>
      <x:c r="X27" s="96" t="str">
        <x:f>IF($A27="","",Cadastro!M27)</x:f>
      </x:c>
      <x:c r="Y27" s="96" t="str">
        <x:f>IF($A27="","",Cadastro!N27)</x:f>
      </x:c>
      <x:c r="Z27" s="96" t="str">
        <x:f>IF($A27="","",Cadastro!O27)</x:f>
      </x:c>
      <x:c r="AA27" s="96" t="str">
        <x:f>IF($A27="","",N27+O27+U27+V27+W27+X27+Y27+Z27+L27)</x:f>
      </x:c>
      <x:c r="AB27" s="96" t="str">
        <x:f>IF($A27="","",T27-(U27+V27+W27+X27+Y27+Z27+L27))</x:f>
      </x:c>
      <x:c r="AC27" s="88" t="str">
        <x:f>IF($A27="","",SUMIFS('Importação Contabilidade'!$T$7:$T$500,'Importação Contabilidade'!$A$7:$A$500,'Parâmetros'!$B$4,'Importação Contabilidade'!$B$7:$B$500,$A27))</x:f>
      </x:c>
      <x:c r="AD27" s="88" t="str">
        <x:f>IF($A27="","",SUMIFS('Importação Contabilidade'!$U$7:$U$500,'Importação Contabilidade'!$A$7:$A$500,'Parâmetros'!$B$4,'Importação Contabilidade'!$B$7:$B$500,$A27))</x:f>
      </x:c>
      <x:c r="AE27" s="88" t="str">
        <x:f>IF($A27="","",SUMIFS('Importação Contabilidade'!$V$7:$V$500,'Importação Contabilidade'!$A$7:$A$500,'Parâmetros'!$B$4,'Importação Contabilidade'!$B$7:$B$500,$A27))</x:f>
      </x:c>
      <x:c r="AF27" s="97" t="str">
        <x:f>IF($A27="","",T27-AC27)</x:f>
      </x:c>
      <x:c r="AG27" s="97" t="str">
        <x:f>IF($A27="","",AA27-AD27)</x:f>
      </x:c>
      <x:c r="AH27" s="97" t="str">
        <x:f>IF($A27="","",AB27-AE27)</x:f>
      </x:c>
      <x:c r="AI27" s="98" t="str">
        <x:f>IF($A27="","",IF(COUNTIFS('Importação Contabilidade'!$A$7:$A$500,'Parâmetros'!$B$4,'Importação Contabilidade'!$B$7:$B$500,$A27)=0,"PENDENTE IMPORTAÇÃO",IF(AND(ABS(AF27)&lt;='Parâmetros'!$B$8,ABS(AG27)&lt;='Parâmetros'!$B$8,ABS(AH27)&lt;='Parâmetros'!$B$8),"OK","REVISAR")))</x:f>
      </x:c>
      <x:c r="AJ27" s="98" t="str">
        <x:f>IF($A27="","",IF(AI27="PENDENTE IMPORTAÇÃO","Funcionário/competência não encontrados na Importação Contabilidade",IF(AI27="OK","Sem divergência relevante",IF(ABS(AH27)&gt;=MAX(ABS(AF27),ABS(AG27)),"Revisar salário líquido",IF(ABS(AF27)&gt;=ABS(AG27),"Revisar bruto/proventos","Revisar descontos")))))</x:f>
      </x:c>
    </x:row>
    <x:row r="28">
      <x:c r="A28" s="93" t="str">
        <x:f>IF(Cadastro!A28="","",Cadastro!A28)</x:f>
      </x:c>
      <x:c r="B28" s="93" t="str">
        <x:f>IF(Cadastro!B28="","",Cadastro!B28)</x:f>
      </x:c>
      <x:c r="C28" s="93" t="str">
        <x:f>IF(Cadastro!F28="","",Cadastro!F28)</x:f>
      </x:c>
      <x:c r="D28" s="94" t="str">
        <x:f>IF(Cadastro!I28="","",Cadastro!I28)</x:f>
      </x:c>
      <x:c r="E28" s="95" t="str">
        <x:f>IF($A28="","",SUMIFS('Movimentações'!$D$2:$D$501,'Movimentações'!$A$2:$A$501,'Parâmetros'!$B$4,'Movimentações'!$B$2:$B$501,$A28,'Movimentações'!$C$2:$C$501,"Falta (dias)"))</x:f>
      </x:c>
      <x:c r="F28" s="95" t="str">
        <x:f>IF($A28="","",SUMIFS('Movimentações'!$D$2:$D$501,'Movimentações'!$A$2:$A$501,'Parâmetros'!$B$4,'Movimentações'!$B$2:$B$501,$A28,'Movimentações'!$C$2:$C$501,"HE 50% (horas)"))</x:f>
      </x:c>
      <x:c r="G28" s="95" t="str">
        <x:f>IF($A28="","",SUMIFS('Movimentações'!$D$2:$D$501,'Movimentações'!$A$2:$A$501,'Parâmetros'!$B$4,'Movimentações'!$B$2:$B$501,$A28,'Movimentações'!$C$2:$C$501,"HE 100% (horas)"))</x:f>
      </x:c>
      <x:c r="H28" s="94" t="str">
        <x:f>IF($A28="","",SUMIFS('Movimentações'!$E$2:$E$501,'Movimentações'!$A$2:$A$501,'Parâmetros'!$B$4,'Movimentações'!$B$2:$B$501,$A28,'Movimentações'!$C$2:$C$501,"Comissão"))</x:f>
      </x:c>
      <x:c r="I28" s="94" t="str">
        <x:f>IF($A28="","",SUMIFS('Movimentações'!$E$2:$E$501,'Movimentações'!$A$2:$A$501,'Parâmetros'!$B$4,'Movimentações'!$B$2:$B$501,$A28,'Movimentações'!$C$2:$C$501,"Bônus/Gratificação"))</x:f>
      </x:c>
      <x:c r="J28" s="94" t="str">
        <x:f>IF($A28="","",SUMIFS('Movimentações'!$E$2:$E$501,'Movimentações'!$A$2:$A$501,'Parâmetros'!$B$4,'Movimentações'!$B$2:$B$501,$A28,'Movimentações'!$C$2:$C$501,"Adicional"))</x:f>
      </x:c>
      <x:c r="K28" s="94" t="str">
        <x:f>IF($A28="","",SUMIFS('Movimentações'!$E$2:$E$501,'Movimentações'!$A$2:$A$501,'Parâmetros'!$B$4,'Movimentações'!$B$2:$B$501,$A28,'Movimentações'!$C$2:$C$501,"Crédito Extra"))</x:f>
      </x:c>
      <x:c r="L28" s="94" t="str">
        <x:f>IF($A28="","",SUMIFS('Movimentações'!$E$2:$E$501,'Movimentações'!$A$2:$A$501,'Parâmetros'!$B$4,'Movimentações'!$B$2:$B$501,$A28,'Movimentações'!$C$2:$C$501,"Desconto Extra"))</x:f>
      </x:c>
      <x:c r="M28" s="96" t="str">
        <x:f>IF($A28="","",D28/IF(Cadastro!J28=0,'Parâmetros'!$B$12,Cadastro!J28))</x:f>
      </x:c>
      <x:c r="N28" s="96" t="str">
        <x:f>IF($A28="","",(D28/'Parâmetros'!$B$7)*E28)</x:f>
      </x:c>
      <x:c r="O28" s="96" t="str">
        <x:f>IF($A28="","",IF(E28&gt;0,D28/'Parâmetros'!$B$7,0))</x:f>
      </x:c>
      <x:c r="P28" s="96" t="str">
        <x:f>IF($A28="","",(M28*'Parâmetros'!$B$10)*F28)</x:f>
      </x:c>
      <x:c r="Q28" s="96" t="str">
        <x:f>IF($A28="","",(M28*'Parâmetros'!$B$11)*G28)</x:f>
      </x:c>
      <x:c r="R28" s="96" t="str">
        <x:f>IF($A28="","",((P28+Q28)/'Parâmetros'!$B$5)*'Parâmetros'!$B$6)</x:f>
      </x:c>
      <x:c r="S28" s="96" t="str">
        <x:f>IF($A28="","",(H28/'Parâmetros'!$B$5)*'Parâmetros'!$B$6)</x:f>
      </x:c>
      <x:c r="T28" s="96" t="str">
        <x:f>IF($A28="","",D28-N28-O28+H28+I28+J28+K28+P28+Q28+R28+S28)</x:f>
      </x:c>
      <x:c r="U28" s="96" t="str">
        <x:f>IF($A28="","",MIN(D28*'Parâmetros'!$B$9,Cadastro!L28))</x:f>
      </x:c>
      <x:c r="V28" s="96" t="str">
        <x:f>IF($A28="","",IF(T28&lt;='Parâmetros'!$C$16,T28*'Parâmetros'!$D$16,IF(T28&lt;='Parâmetros'!$C$17,T28*'Parâmetros'!$D$17-'Parâmetros'!$E$17,IF(T28&lt;='Parâmetros'!$C$18,T28*'Parâmetros'!$D$18-'Parâmetros'!$E$18,IF(T28&lt;='Parâmetros'!$C$19,T28*'Parâmetros'!$D$19-'Parâmetros'!$E$19,'Parâmetros'!$C$19*'Parâmetros'!$D$19-'Parâmetros'!$E$19)))))</x:f>
      </x:c>
      <x:c r="W28" s="96" t="str">
        <x:f>IF($A28="","",MAX(0,((T28-V28-(Cadastro!K28*'Parâmetros'!$H$6))*'Parâmetros'!$H$4)-'Parâmetros'!$H$5))</x:f>
      </x:c>
      <x:c r="X28" s="96" t="str">
        <x:f>IF($A28="","",Cadastro!M28)</x:f>
      </x:c>
      <x:c r="Y28" s="96" t="str">
        <x:f>IF($A28="","",Cadastro!N28)</x:f>
      </x:c>
      <x:c r="Z28" s="96" t="str">
        <x:f>IF($A28="","",Cadastro!O28)</x:f>
      </x:c>
      <x:c r="AA28" s="96" t="str">
        <x:f>IF($A28="","",N28+O28+U28+V28+W28+X28+Y28+Z28+L28)</x:f>
      </x:c>
      <x:c r="AB28" s="96" t="str">
        <x:f>IF($A28="","",T28-(U28+V28+W28+X28+Y28+Z28+L28))</x:f>
      </x:c>
      <x:c r="AC28" s="88" t="str">
        <x:f>IF($A28="","",SUMIFS('Importação Contabilidade'!$T$7:$T$500,'Importação Contabilidade'!$A$7:$A$500,'Parâmetros'!$B$4,'Importação Contabilidade'!$B$7:$B$500,$A28))</x:f>
      </x:c>
      <x:c r="AD28" s="88" t="str">
        <x:f>IF($A28="","",SUMIFS('Importação Contabilidade'!$U$7:$U$500,'Importação Contabilidade'!$A$7:$A$500,'Parâmetros'!$B$4,'Importação Contabilidade'!$B$7:$B$500,$A28))</x:f>
      </x:c>
      <x:c r="AE28" s="88" t="str">
        <x:f>IF($A28="","",SUMIFS('Importação Contabilidade'!$V$7:$V$500,'Importação Contabilidade'!$A$7:$A$500,'Parâmetros'!$B$4,'Importação Contabilidade'!$B$7:$B$500,$A28))</x:f>
      </x:c>
      <x:c r="AF28" s="97" t="str">
        <x:f>IF($A28="","",T28-AC28)</x:f>
      </x:c>
      <x:c r="AG28" s="97" t="str">
        <x:f>IF($A28="","",AA28-AD28)</x:f>
      </x:c>
      <x:c r="AH28" s="97" t="str">
        <x:f>IF($A28="","",AB28-AE28)</x:f>
      </x:c>
      <x:c r="AI28" s="98" t="str">
        <x:f>IF($A28="","",IF(COUNTIFS('Importação Contabilidade'!$A$7:$A$500,'Parâmetros'!$B$4,'Importação Contabilidade'!$B$7:$B$500,$A28)=0,"PENDENTE IMPORTAÇÃO",IF(AND(ABS(AF28)&lt;='Parâmetros'!$B$8,ABS(AG28)&lt;='Parâmetros'!$B$8,ABS(AH28)&lt;='Parâmetros'!$B$8),"OK","REVISAR")))</x:f>
      </x:c>
      <x:c r="AJ28" s="98" t="str">
        <x:f>IF($A28="","",IF(AI28="PENDENTE IMPORTAÇÃO","Funcionário/competência não encontrados na Importação Contabilidade",IF(AI28="OK","Sem divergência relevante",IF(ABS(AH28)&gt;=MAX(ABS(AF28),ABS(AG28)),"Revisar salário líquido",IF(ABS(AF28)&gt;=ABS(AG28),"Revisar bruto/proventos","Revisar descontos")))))</x:f>
      </x:c>
    </x:row>
    <x:row r="29">
      <x:c r="A29" s="93" t="str">
        <x:f>IF(Cadastro!A29="","",Cadastro!A29)</x:f>
      </x:c>
      <x:c r="B29" s="93" t="str">
        <x:f>IF(Cadastro!B29="","",Cadastro!B29)</x:f>
      </x:c>
      <x:c r="C29" s="93" t="str">
        <x:f>IF(Cadastro!F29="","",Cadastro!F29)</x:f>
      </x:c>
      <x:c r="D29" s="94" t="str">
        <x:f>IF(Cadastro!I29="","",Cadastro!I29)</x:f>
      </x:c>
      <x:c r="E29" s="95" t="str">
        <x:f>IF($A29="","",SUMIFS('Movimentações'!$D$2:$D$501,'Movimentações'!$A$2:$A$501,'Parâmetros'!$B$4,'Movimentações'!$B$2:$B$501,$A29,'Movimentações'!$C$2:$C$501,"Falta (dias)"))</x:f>
      </x:c>
      <x:c r="F29" s="95" t="str">
        <x:f>IF($A29="","",SUMIFS('Movimentações'!$D$2:$D$501,'Movimentações'!$A$2:$A$501,'Parâmetros'!$B$4,'Movimentações'!$B$2:$B$501,$A29,'Movimentações'!$C$2:$C$501,"HE 50% (horas)"))</x:f>
      </x:c>
      <x:c r="G29" s="95" t="str">
        <x:f>IF($A29="","",SUMIFS('Movimentações'!$D$2:$D$501,'Movimentações'!$A$2:$A$501,'Parâmetros'!$B$4,'Movimentações'!$B$2:$B$501,$A29,'Movimentações'!$C$2:$C$501,"HE 100% (horas)"))</x:f>
      </x:c>
      <x:c r="H29" s="94" t="str">
        <x:f>IF($A29="","",SUMIFS('Movimentações'!$E$2:$E$501,'Movimentações'!$A$2:$A$501,'Parâmetros'!$B$4,'Movimentações'!$B$2:$B$501,$A29,'Movimentações'!$C$2:$C$501,"Comissão"))</x:f>
      </x:c>
      <x:c r="I29" s="94" t="str">
        <x:f>IF($A29="","",SUMIFS('Movimentações'!$E$2:$E$501,'Movimentações'!$A$2:$A$501,'Parâmetros'!$B$4,'Movimentações'!$B$2:$B$501,$A29,'Movimentações'!$C$2:$C$501,"Bônus/Gratificação"))</x:f>
      </x:c>
      <x:c r="J29" s="94" t="str">
        <x:f>IF($A29="","",SUMIFS('Movimentações'!$E$2:$E$501,'Movimentações'!$A$2:$A$501,'Parâmetros'!$B$4,'Movimentações'!$B$2:$B$501,$A29,'Movimentações'!$C$2:$C$501,"Adicional"))</x:f>
      </x:c>
      <x:c r="K29" s="94" t="str">
        <x:f>IF($A29="","",SUMIFS('Movimentações'!$E$2:$E$501,'Movimentações'!$A$2:$A$501,'Parâmetros'!$B$4,'Movimentações'!$B$2:$B$501,$A29,'Movimentações'!$C$2:$C$501,"Crédito Extra"))</x:f>
      </x:c>
      <x:c r="L29" s="94" t="str">
        <x:f>IF($A29="","",SUMIFS('Movimentações'!$E$2:$E$501,'Movimentações'!$A$2:$A$501,'Parâmetros'!$B$4,'Movimentações'!$B$2:$B$501,$A29,'Movimentações'!$C$2:$C$501,"Desconto Extra"))</x:f>
      </x:c>
      <x:c r="M29" s="96" t="str">
        <x:f>IF($A29="","",D29/IF(Cadastro!J29=0,'Parâmetros'!$B$12,Cadastro!J29))</x:f>
      </x:c>
      <x:c r="N29" s="96" t="str">
        <x:f>IF($A29="","",(D29/'Parâmetros'!$B$7)*E29)</x:f>
      </x:c>
      <x:c r="O29" s="96" t="str">
        <x:f>IF($A29="","",IF(E29&gt;0,D29/'Parâmetros'!$B$7,0))</x:f>
      </x:c>
      <x:c r="P29" s="96" t="str">
        <x:f>IF($A29="","",(M29*'Parâmetros'!$B$10)*F29)</x:f>
      </x:c>
      <x:c r="Q29" s="96" t="str">
        <x:f>IF($A29="","",(M29*'Parâmetros'!$B$11)*G29)</x:f>
      </x:c>
      <x:c r="R29" s="96" t="str">
        <x:f>IF($A29="","",((P29+Q29)/'Parâmetros'!$B$5)*'Parâmetros'!$B$6)</x:f>
      </x:c>
      <x:c r="S29" s="96" t="str">
        <x:f>IF($A29="","",(H29/'Parâmetros'!$B$5)*'Parâmetros'!$B$6)</x:f>
      </x:c>
      <x:c r="T29" s="96" t="str">
        <x:f>IF($A29="","",D29-N29-O29+H29+I29+J29+K29+P29+Q29+R29+S29)</x:f>
      </x:c>
      <x:c r="U29" s="96" t="str">
        <x:f>IF($A29="","",MIN(D29*'Parâmetros'!$B$9,Cadastro!L29))</x:f>
      </x:c>
      <x:c r="V29" s="96" t="str">
        <x:f>IF($A29="","",IF(T29&lt;='Parâmetros'!$C$16,T29*'Parâmetros'!$D$16,IF(T29&lt;='Parâmetros'!$C$17,T29*'Parâmetros'!$D$17-'Parâmetros'!$E$17,IF(T29&lt;='Parâmetros'!$C$18,T29*'Parâmetros'!$D$18-'Parâmetros'!$E$18,IF(T29&lt;='Parâmetros'!$C$19,T29*'Parâmetros'!$D$19-'Parâmetros'!$E$19,'Parâmetros'!$C$19*'Parâmetros'!$D$19-'Parâmetros'!$E$19)))))</x:f>
      </x:c>
      <x:c r="W29" s="96" t="str">
        <x:f>IF($A29="","",MAX(0,((T29-V29-(Cadastro!K29*'Parâmetros'!$H$6))*'Parâmetros'!$H$4)-'Parâmetros'!$H$5))</x:f>
      </x:c>
      <x:c r="X29" s="96" t="str">
        <x:f>IF($A29="","",Cadastro!M29)</x:f>
      </x:c>
      <x:c r="Y29" s="96" t="str">
        <x:f>IF($A29="","",Cadastro!N29)</x:f>
      </x:c>
      <x:c r="Z29" s="96" t="str">
        <x:f>IF($A29="","",Cadastro!O29)</x:f>
      </x:c>
      <x:c r="AA29" s="96" t="str">
        <x:f>IF($A29="","",N29+O29+U29+V29+W29+X29+Y29+Z29+L29)</x:f>
      </x:c>
      <x:c r="AB29" s="96" t="str">
        <x:f>IF($A29="","",T29-(U29+V29+W29+X29+Y29+Z29+L29))</x:f>
      </x:c>
      <x:c r="AC29" s="88" t="str">
        <x:f>IF($A29="","",SUMIFS('Importação Contabilidade'!$T$7:$T$500,'Importação Contabilidade'!$A$7:$A$500,'Parâmetros'!$B$4,'Importação Contabilidade'!$B$7:$B$500,$A29))</x:f>
      </x:c>
      <x:c r="AD29" s="88" t="str">
        <x:f>IF($A29="","",SUMIFS('Importação Contabilidade'!$U$7:$U$500,'Importação Contabilidade'!$A$7:$A$500,'Parâmetros'!$B$4,'Importação Contabilidade'!$B$7:$B$500,$A29))</x:f>
      </x:c>
      <x:c r="AE29" s="88" t="str">
        <x:f>IF($A29="","",SUMIFS('Importação Contabilidade'!$V$7:$V$500,'Importação Contabilidade'!$A$7:$A$500,'Parâmetros'!$B$4,'Importação Contabilidade'!$B$7:$B$500,$A29))</x:f>
      </x:c>
      <x:c r="AF29" s="97" t="str">
        <x:f>IF($A29="","",T29-AC29)</x:f>
      </x:c>
      <x:c r="AG29" s="97" t="str">
        <x:f>IF($A29="","",AA29-AD29)</x:f>
      </x:c>
      <x:c r="AH29" s="97" t="str">
        <x:f>IF($A29="","",AB29-AE29)</x:f>
      </x:c>
      <x:c r="AI29" s="98" t="str">
        <x:f>IF($A29="","",IF(COUNTIFS('Importação Contabilidade'!$A$7:$A$500,'Parâmetros'!$B$4,'Importação Contabilidade'!$B$7:$B$500,$A29)=0,"PENDENTE IMPORTAÇÃO",IF(AND(ABS(AF29)&lt;='Parâmetros'!$B$8,ABS(AG29)&lt;='Parâmetros'!$B$8,ABS(AH29)&lt;='Parâmetros'!$B$8),"OK","REVISAR")))</x:f>
      </x:c>
      <x:c r="AJ29" s="98" t="str">
        <x:f>IF($A29="","",IF(AI29="PENDENTE IMPORTAÇÃO","Funcionário/competência não encontrados na Importação Contabilidade",IF(AI29="OK","Sem divergência relevante",IF(ABS(AH29)&gt;=MAX(ABS(AF29),ABS(AG29)),"Revisar salário líquido",IF(ABS(AF29)&gt;=ABS(AG29),"Revisar bruto/proventos","Revisar descontos")))))</x:f>
      </x:c>
    </x:row>
    <x:row r="30">
      <x:c r="A30" s="93" t="str">
        <x:f>IF(Cadastro!A30="","",Cadastro!A30)</x:f>
      </x:c>
      <x:c r="B30" s="93" t="str">
        <x:f>IF(Cadastro!B30="","",Cadastro!B30)</x:f>
      </x:c>
      <x:c r="C30" s="93" t="str">
        <x:f>IF(Cadastro!F30="","",Cadastro!F30)</x:f>
      </x:c>
      <x:c r="D30" s="94" t="str">
        <x:f>IF(Cadastro!I30="","",Cadastro!I30)</x:f>
      </x:c>
      <x:c r="E30" s="95" t="str">
        <x:f>IF($A30="","",SUMIFS('Movimentações'!$D$2:$D$501,'Movimentações'!$A$2:$A$501,'Parâmetros'!$B$4,'Movimentações'!$B$2:$B$501,$A30,'Movimentações'!$C$2:$C$501,"Falta (dias)"))</x:f>
      </x:c>
      <x:c r="F30" s="95" t="str">
        <x:f>IF($A30="","",SUMIFS('Movimentações'!$D$2:$D$501,'Movimentações'!$A$2:$A$501,'Parâmetros'!$B$4,'Movimentações'!$B$2:$B$501,$A30,'Movimentações'!$C$2:$C$501,"HE 50% (horas)"))</x:f>
      </x:c>
      <x:c r="G30" s="95" t="str">
        <x:f>IF($A30="","",SUMIFS('Movimentações'!$D$2:$D$501,'Movimentações'!$A$2:$A$501,'Parâmetros'!$B$4,'Movimentações'!$B$2:$B$501,$A30,'Movimentações'!$C$2:$C$501,"HE 100% (horas)"))</x:f>
      </x:c>
      <x:c r="H30" s="94" t="str">
        <x:f>IF($A30="","",SUMIFS('Movimentações'!$E$2:$E$501,'Movimentações'!$A$2:$A$501,'Parâmetros'!$B$4,'Movimentações'!$B$2:$B$501,$A30,'Movimentações'!$C$2:$C$501,"Comissão"))</x:f>
      </x:c>
      <x:c r="I30" s="94" t="str">
        <x:f>IF($A30="","",SUMIFS('Movimentações'!$E$2:$E$501,'Movimentações'!$A$2:$A$501,'Parâmetros'!$B$4,'Movimentações'!$B$2:$B$501,$A30,'Movimentações'!$C$2:$C$501,"Bônus/Gratificação"))</x:f>
      </x:c>
      <x:c r="J30" s="94" t="str">
        <x:f>IF($A30="","",SUMIFS('Movimentações'!$E$2:$E$501,'Movimentações'!$A$2:$A$501,'Parâmetros'!$B$4,'Movimentações'!$B$2:$B$501,$A30,'Movimentações'!$C$2:$C$501,"Adicional"))</x:f>
      </x:c>
      <x:c r="K30" s="94" t="str">
        <x:f>IF($A30="","",SUMIFS('Movimentações'!$E$2:$E$501,'Movimentações'!$A$2:$A$501,'Parâmetros'!$B$4,'Movimentações'!$B$2:$B$501,$A30,'Movimentações'!$C$2:$C$501,"Crédito Extra"))</x:f>
      </x:c>
      <x:c r="L30" s="94" t="str">
        <x:f>IF($A30="","",SUMIFS('Movimentações'!$E$2:$E$501,'Movimentações'!$A$2:$A$501,'Parâmetros'!$B$4,'Movimentações'!$B$2:$B$501,$A30,'Movimentações'!$C$2:$C$501,"Desconto Extra"))</x:f>
      </x:c>
      <x:c r="M30" s="96" t="str">
        <x:f>IF($A30="","",D30/IF(Cadastro!J30=0,'Parâmetros'!$B$12,Cadastro!J30))</x:f>
      </x:c>
      <x:c r="N30" s="96" t="str">
        <x:f>IF($A30="","",(D30/'Parâmetros'!$B$7)*E30)</x:f>
      </x:c>
      <x:c r="O30" s="96" t="str">
        <x:f>IF($A30="","",IF(E30&gt;0,D30/'Parâmetros'!$B$7,0))</x:f>
      </x:c>
      <x:c r="P30" s="96" t="str">
        <x:f>IF($A30="","",(M30*'Parâmetros'!$B$10)*F30)</x:f>
      </x:c>
      <x:c r="Q30" s="96" t="str">
        <x:f>IF($A30="","",(M30*'Parâmetros'!$B$11)*G30)</x:f>
      </x:c>
      <x:c r="R30" s="96" t="str">
        <x:f>IF($A30="","",((P30+Q30)/'Parâmetros'!$B$5)*'Parâmetros'!$B$6)</x:f>
      </x:c>
      <x:c r="S30" s="96" t="str">
        <x:f>IF($A30="","",(H30/'Parâmetros'!$B$5)*'Parâmetros'!$B$6)</x:f>
      </x:c>
      <x:c r="T30" s="96" t="str">
        <x:f>IF($A30="","",D30-N30-O30+H30+I30+J30+K30+P30+Q30+R30+S30)</x:f>
      </x:c>
      <x:c r="U30" s="96" t="str">
        <x:f>IF($A30="","",MIN(D30*'Parâmetros'!$B$9,Cadastro!L30))</x:f>
      </x:c>
      <x:c r="V30" s="96" t="str">
        <x:f>IF($A30="","",IF(T30&lt;='Parâmetros'!$C$16,T30*'Parâmetros'!$D$16,IF(T30&lt;='Parâmetros'!$C$17,T30*'Parâmetros'!$D$17-'Parâmetros'!$E$17,IF(T30&lt;='Parâmetros'!$C$18,T30*'Parâmetros'!$D$18-'Parâmetros'!$E$18,IF(T30&lt;='Parâmetros'!$C$19,T30*'Parâmetros'!$D$19-'Parâmetros'!$E$19,'Parâmetros'!$C$19*'Parâmetros'!$D$19-'Parâmetros'!$E$19)))))</x:f>
      </x:c>
      <x:c r="W30" s="96" t="str">
        <x:f>IF($A30="","",MAX(0,((T30-V30-(Cadastro!K30*'Parâmetros'!$H$6))*'Parâmetros'!$H$4)-'Parâmetros'!$H$5))</x:f>
      </x:c>
      <x:c r="X30" s="96" t="str">
        <x:f>IF($A30="","",Cadastro!M30)</x:f>
      </x:c>
      <x:c r="Y30" s="96" t="str">
        <x:f>IF($A30="","",Cadastro!N30)</x:f>
      </x:c>
      <x:c r="Z30" s="96" t="str">
        <x:f>IF($A30="","",Cadastro!O30)</x:f>
      </x:c>
      <x:c r="AA30" s="96" t="str">
        <x:f>IF($A30="","",N30+O30+U30+V30+W30+X30+Y30+Z30+L30)</x:f>
      </x:c>
      <x:c r="AB30" s="96" t="str">
        <x:f>IF($A30="","",T30-(U30+V30+W30+X30+Y30+Z30+L30))</x:f>
      </x:c>
      <x:c r="AC30" s="88" t="str">
        <x:f>IF($A30="","",SUMIFS('Importação Contabilidade'!$T$7:$T$500,'Importação Contabilidade'!$A$7:$A$500,'Parâmetros'!$B$4,'Importação Contabilidade'!$B$7:$B$500,$A30))</x:f>
      </x:c>
      <x:c r="AD30" s="88" t="str">
        <x:f>IF($A30="","",SUMIFS('Importação Contabilidade'!$U$7:$U$500,'Importação Contabilidade'!$A$7:$A$500,'Parâmetros'!$B$4,'Importação Contabilidade'!$B$7:$B$500,$A30))</x:f>
      </x:c>
      <x:c r="AE30" s="88" t="str">
        <x:f>IF($A30="","",SUMIFS('Importação Contabilidade'!$V$7:$V$500,'Importação Contabilidade'!$A$7:$A$500,'Parâmetros'!$B$4,'Importação Contabilidade'!$B$7:$B$500,$A30))</x:f>
      </x:c>
      <x:c r="AF30" s="97" t="str">
        <x:f>IF($A30="","",T30-AC30)</x:f>
      </x:c>
      <x:c r="AG30" s="97" t="str">
        <x:f>IF($A30="","",AA30-AD30)</x:f>
      </x:c>
      <x:c r="AH30" s="97" t="str">
        <x:f>IF($A30="","",AB30-AE30)</x:f>
      </x:c>
      <x:c r="AI30" s="98" t="str">
        <x:f>IF($A30="","",IF(COUNTIFS('Importação Contabilidade'!$A$7:$A$500,'Parâmetros'!$B$4,'Importação Contabilidade'!$B$7:$B$500,$A30)=0,"PENDENTE IMPORTAÇÃO",IF(AND(ABS(AF30)&lt;='Parâmetros'!$B$8,ABS(AG30)&lt;='Parâmetros'!$B$8,ABS(AH30)&lt;='Parâmetros'!$B$8),"OK","REVISAR")))</x:f>
      </x:c>
      <x:c r="AJ30" s="98" t="str">
        <x:f>IF($A30="","",IF(AI30="PENDENTE IMPORTAÇÃO","Funcionário/competência não encontrados na Importação Contabilidade",IF(AI30="OK","Sem divergência relevante",IF(ABS(AH30)&gt;=MAX(ABS(AF30),ABS(AG30)),"Revisar salário líquido",IF(ABS(AF30)&gt;=ABS(AG30),"Revisar bruto/proventos","Revisar descontos")))))</x:f>
      </x:c>
    </x:row>
    <x:row r="31">
      <x:c r="A31" s="93" t="str">
        <x:f>IF(Cadastro!A31="","",Cadastro!A31)</x:f>
      </x:c>
      <x:c r="B31" s="93" t="str">
        <x:f>IF(Cadastro!B31="","",Cadastro!B31)</x:f>
      </x:c>
      <x:c r="C31" s="93" t="str">
        <x:f>IF(Cadastro!F31="","",Cadastro!F31)</x:f>
      </x:c>
      <x:c r="D31" s="94" t="str">
        <x:f>IF(Cadastro!I31="","",Cadastro!I31)</x:f>
      </x:c>
      <x:c r="E31" s="95" t="str">
        <x:f>IF($A31="","",SUMIFS('Movimentações'!$D$2:$D$501,'Movimentações'!$A$2:$A$501,'Parâmetros'!$B$4,'Movimentações'!$B$2:$B$501,$A31,'Movimentações'!$C$2:$C$501,"Falta (dias)"))</x:f>
      </x:c>
      <x:c r="F31" s="95" t="str">
        <x:f>IF($A31="","",SUMIFS('Movimentações'!$D$2:$D$501,'Movimentações'!$A$2:$A$501,'Parâmetros'!$B$4,'Movimentações'!$B$2:$B$501,$A31,'Movimentações'!$C$2:$C$501,"HE 50% (horas)"))</x:f>
      </x:c>
      <x:c r="G31" s="95" t="str">
        <x:f>IF($A31="","",SUMIFS('Movimentações'!$D$2:$D$501,'Movimentações'!$A$2:$A$501,'Parâmetros'!$B$4,'Movimentações'!$B$2:$B$501,$A31,'Movimentações'!$C$2:$C$501,"HE 100% (horas)"))</x:f>
      </x:c>
      <x:c r="H31" s="94" t="str">
        <x:f>IF($A31="","",SUMIFS('Movimentações'!$E$2:$E$501,'Movimentações'!$A$2:$A$501,'Parâmetros'!$B$4,'Movimentações'!$B$2:$B$501,$A31,'Movimentações'!$C$2:$C$501,"Comissão"))</x:f>
      </x:c>
      <x:c r="I31" s="94" t="str">
        <x:f>IF($A31="","",SUMIFS('Movimentações'!$E$2:$E$501,'Movimentações'!$A$2:$A$501,'Parâmetros'!$B$4,'Movimentações'!$B$2:$B$501,$A31,'Movimentações'!$C$2:$C$501,"Bônus/Gratificação"))</x:f>
      </x:c>
      <x:c r="J31" s="94" t="str">
        <x:f>IF($A31="","",SUMIFS('Movimentações'!$E$2:$E$501,'Movimentações'!$A$2:$A$501,'Parâmetros'!$B$4,'Movimentações'!$B$2:$B$501,$A31,'Movimentações'!$C$2:$C$501,"Adicional"))</x:f>
      </x:c>
      <x:c r="K31" s="94" t="str">
        <x:f>IF($A31="","",SUMIFS('Movimentações'!$E$2:$E$501,'Movimentações'!$A$2:$A$501,'Parâmetros'!$B$4,'Movimentações'!$B$2:$B$501,$A31,'Movimentações'!$C$2:$C$501,"Crédito Extra"))</x:f>
      </x:c>
      <x:c r="L31" s="94" t="str">
        <x:f>IF($A31="","",SUMIFS('Movimentações'!$E$2:$E$501,'Movimentações'!$A$2:$A$501,'Parâmetros'!$B$4,'Movimentações'!$B$2:$B$501,$A31,'Movimentações'!$C$2:$C$501,"Desconto Extra"))</x:f>
      </x:c>
      <x:c r="M31" s="96" t="str">
        <x:f>IF($A31="","",D31/IF(Cadastro!J31=0,'Parâmetros'!$B$12,Cadastro!J31))</x:f>
      </x:c>
      <x:c r="N31" s="96" t="str">
        <x:f>IF($A31="","",(D31/'Parâmetros'!$B$7)*E31)</x:f>
      </x:c>
      <x:c r="O31" s="96" t="str">
        <x:f>IF($A31="","",IF(E31&gt;0,D31/'Parâmetros'!$B$7,0))</x:f>
      </x:c>
      <x:c r="P31" s="96" t="str">
        <x:f>IF($A31="","",(M31*'Parâmetros'!$B$10)*F31)</x:f>
      </x:c>
      <x:c r="Q31" s="96" t="str">
        <x:f>IF($A31="","",(M31*'Parâmetros'!$B$11)*G31)</x:f>
      </x:c>
      <x:c r="R31" s="96" t="str">
        <x:f>IF($A31="","",((P31+Q31)/'Parâmetros'!$B$5)*'Parâmetros'!$B$6)</x:f>
      </x:c>
      <x:c r="S31" s="96" t="str">
        <x:f>IF($A31="","",(H31/'Parâmetros'!$B$5)*'Parâmetros'!$B$6)</x:f>
      </x:c>
      <x:c r="T31" s="96" t="str">
        <x:f>IF($A31="","",D31-N31-O31+H31+I31+J31+K31+P31+Q31+R31+S31)</x:f>
      </x:c>
      <x:c r="U31" s="96" t="str">
        <x:f>IF($A31="","",MIN(D31*'Parâmetros'!$B$9,Cadastro!L31))</x:f>
      </x:c>
      <x:c r="V31" s="96" t="str">
        <x:f>IF($A31="","",IF(T31&lt;='Parâmetros'!$C$16,T31*'Parâmetros'!$D$16,IF(T31&lt;='Parâmetros'!$C$17,T31*'Parâmetros'!$D$17-'Parâmetros'!$E$17,IF(T31&lt;='Parâmetros'!$C$18,T31*'Parâmetros'!$D$18-'Parâmetros'!$E$18,IF(T31&lt;='Parâmetros'!$C$19,T31*'Parâmetros'!$D$19-'Parâmetros'!$E$19,'Parâmetros'!$C$19*'Parâmetros'!$D$19-'Parâmetros'!$E$19)))))</x:f>
      </x:c>
      <x:c r="W31" s="96" t="str">
        <x:f>IF($A31="","",MAX(0,((T31-V31-(Cadastro!K31*'Parâmetros'!$H$6))*'Parâmetros'!$H$4)-'Parâmetros'!$H$5))</x:f>
      </x:c>
      <x:c r="X31" s="96" t="str">
        <x:f>IF($A31="","",Cadastro!M31)</x:f>
      </x:c>
      <x:c r="Y31" s="96" t="str">
        <x:f>IF($A31="","",Cadastro!N31)</x:f>
      </x:c>
      <x:c r="Z31" s="96" t="str">
        <x:f>IF($A31="","",Cadastro!O31)</x:f>
      </x:c>
      <x:c r="AA31" s="96" t="str">
        <x:f>IF($A31="","",N31+O31+U31+V31+W31+X31+Y31+Z31+L31)</x:f>
      </x:c>
      <x:c r="AB31" s="96" t="str">
        <x:f>IF($A31="","",T31-(U31+V31+W31+X31+Y31+Z31+L31))</x:f>
      </x:c>
      <x:c r="AC31" s="88" t="str">
        <x:f>IF($A31="","",SUMIFS('Importação Contabilidade'!$T$7:$T$500,'Importação Contabilidade'!$A$7:$A$500,'Parâmetros'!$B$4,'Importação Contabilidade'!$B$7:$B$500,$A31))</x:f>
      </x:c>
      <x:c r="AD31" s="88" t="str">
        <x:f>IF($A31="","",SUMIFS('Importação Contabilidade'!$U$7:$U$500,'Importação Contabilidade'!$A$7:$A$500,'Parâmetros'!$B$4,'Importação Contabilidade'!$B$7:$B$500,$A31))</x:f>
      </x:c>
      <x:c r="AE31" s="88" t="str">
        <x:f>IF($A31="","",SUMIFS('Importação Contabilidade'!$V$7:$V$500,'Importação Contabilidade'!$A$7:$A$500,'Parâmetros'!$B$4,'Importação Contabilidade'!$B$7:$B$500,$A31))</x:f>
      </x:c>
      <x:c r="AF31" s="97" t="str">
        <x:f>IF($A31="","",T31-AC31)</x:f>
      </x:c>
      <x:c r="AG31" s="97" t="str">
        <x:f>IF($A31="","",AA31-AD31)</x:f>
      </x:c>
      <x:c r="AH31" s="97" t="str">
        <x:f>IF($A31="","",AB31-AE31)</x:f>
      </x:c>
      <x:c r="AI31" s="98" t="str">
        <x:f>IF($A31="","",IF(COUNTIFS('Importação Contabilidade'!$A$7:$A$500,'Parâmetros'!$B$4,'Importação Contabilidade'!$B$7:$B$500,$A31)=0,"PENDENTE IMPORTAÇÃO",IF(AND(ABS(AF31)&lt;='Parâmetros'!$B$8,ABS(AG31)&lt;='Parâmetros'!$B$8,ABS(AH31)&lt;='Parâmetros'!$B$8),"OK","REVISAR")))</x:f>
      </x:c>
      <x:c r="AJ31" s="98" t="str">
        <x:f>IF($A31="","",IF(AI31="PENDENTE IMPORTAÇÃO","Funcionário/competência não encontrados na Importação Contabilidade",IF(AI31="OK","Sem divergência relevante",IF(ABS(AH31)&gt;=MAX(ABS(AF31),ABS(AG31)),"Revisar salário líquido",IF(ABS(AF31)&gt;=ABS(AG31),"Revisar bruto/proventos","Revisar descontos")))))</x:f>
      </x:c>
    </x:row>
    <x:row r="32">
      <x:c r="A32" s="93" t="str">
        <x:f>IF(Cadastro!A32="","",Cadastro!A32)</x:f>
      </x:c>
      <x:c r="B32" s="93" t="str">
        <x:f>IF(Cadastro!B32="","",Cadastro!B32)</x:f>
      </x:c>
      <x:c r="C32" s="93" t="str">
        <x:f>IF(Cadastro!F32="","",Cadastro!F32)</x:f>
      </x:c>
      <x:c r="D32" s="94" t="str">
        <x:f>IF(Cadastro!I32="","",Cadastro!I32)</x:f>
      </x:c>
      <x:c r="E32" s="95" t="str">
        <x:f>IF($A32="","",SUMIFS('Movimentações'!$D$2:$D$501,'Movimentações'!$A$2:$A$501,'Parâmetros'!$B$4,'Movimentações'!$B$2:$B$501,$A32,'Movimentações'!$C$2:$C$501,"Falta (dias)"))</x:f>
      </x:c>
      <x:c r="F32" s="95" t="str">
        <x:f>IF($A32="","",SUMIFS('Movimentações'!$D$2:$D$501,'Movimentações'!$A$2:$A$501,'Parâmetros'!$B$4,'Movimentações'!$B$2:$B$501,$A32,'Movimentações'!$C$2:$C$501,"HE 50% (horas)"))</x:f>
      </x:c>
      <x:c r="G32" s="95" t="str">
        <x:f>IF($A32="","",SUMIFS('Movimentações'!$D$2:$D$501,'Movimentações'!$A$2:$A$501,'Parâmetros'!$B$4,'Movimentações'!$B$2:$B$501,$A32,'Movimentações'!$C$2:$C$501,"HE 100% (horas)"))</x:f>
      </x:c>
      <x:c r="H32" s="94" t="str">
        <x:f>IF($A32="","",SUMIFS('Movimentações'!$E$2:$E$501,'Movimentações'!$A$2:$A$501,'Parâmetros'!$B$4,'Movimentações'!$B$2:$B$501,$A32,'Movimentações'!$C$2:$C$501,"Comissão"))</x:f>
      </x:c>
      <x:c r="I32" s="94" t="str">
        <x:f>IF($A32="","",SUMIFS('Movimentações'!$E$2:$E$501,'Movimentações'!$A$2:$A$501,'Parâmetros'!$B$4,'Movimentações'!$B$2:$B$501,$A32,'Movimentações'!$C$2:$C$501,"Bônus/Gratificação"))</x:f>
      </x:c>
      <x:c r="J32" s="94" t="str">
        <x:f>IF($A32="","",SUMIFS('Movimentações'!$E$2:$E$501,'Movimentações'!$A$2:$A$501,'Parâmetros'!$B$4,'Movimentações'!$B$2:$B$501,$A32,'Movimentações'!$C$2:$C$501,"Adicional"))</x:f>
      </x:c>
      <x:c r="K32" s="94" t="str">
        <x:f>IF($A32="","",SUMIFS('Movimentações'!$E$2:$E$501,'Movimentações'!$A$2:$A$501,'Parâmetros'!$B$4,'Movimentações'!$B$2:$B$501,$A32,'Movimentações'!$C$2:$C$501,"Crédito Extra"))</x:f>
      </x:c>
      <x:c r="L32" s="94" t="str">
        <x:f>IF($A32="","",SUMIFS('Movimentações'!$E$2:$E$501,'Movimentações'!$A$2:$A$501,'Parâmetros'!$B$4,'Movimentações'!$B$2:$B$501,$A32,'Movimentações'!$C$2:$C$501,"Desconto Extra"))</x:f>
      </x:c>
      <x:c r="M32" s="96" t="str">
        <x:f>IF($A32="","",D32/IF(Cadastro!J32=0,'Parâmetros'!$B$12,Cadastro!J32))</x:f>
      </x:c>
      <x:c r="N32" s="96" t="str">
        <x:f>IF($A32="","",(D32/'Parâmetros'!$B$7)*E32)</x:f>
      </x:c>
      <x:c r="O32" s="96" t="str">
        <x:f>IF($A32="","",IF(E32&gt;0,D32/'Parâmetros'!$B$7,0))</x:f>
      </x:c>
      <x:c r="P32" s="96" t="str">
        <x:f>IF($A32="","",(M32*'Parâmetros'!$B$10)*F32)</x:f>
      </x:c>
      <x:c r="Q32" s="96" t="str">
        <x:f>IF($A32="","",(M32*'Parâmetros'!$B$11)*G32)</x:f>
      </x:c>
      <x:c r="R32" s="96" t="str">
        <x:f>IF($A32="","",((P32+Q32)/'Parâmetros'!$B$5)*'Parâmetros'!$B$6)</x:f>
      </x:c>
      <x:c r="S32" s="96" t="str">
        <x:f>IF($A32="","",(H32/'Parâmetros'!$B$5)*'Parâmetros'!$B$6)</x:f>
      </x:c>
      <x:c r="T32" s="96" t="str">
        <x:f>IF($A32="","",D32-N32-O32+H32+I32+J32+K32+P32+Q32+R32+S32)</x:f>
      </x:c>
      <x:c r="U32" s="96" t="str">
        <x:f>IF($A32="","",MIN(D32*'Parâmetros'!$B$9,Cadastro!L32))</x:f>
      </x:c>
      <x:c r="V32" s="96" t="str">
        <x:f>IF($A32="","",IF(T32&lt;='Parâmetros'!$C$16,T32*'Parâmetros'!$D$16,IF(T32&lt;='Parâmetros'!$C$17,T32*'Parâmetros'!$D$17-'Parâmetros'!$E$17,IF(T32&lt;='Parâmetros'!$C$18,T32*'Parâmetros'!$D$18-'Parâmetros'!$E$18,IF(T32&lt;='Parâmetros'!$C$19,T32*'Parâmetros'!$D$19-'Parâmetros'!$E$19,'Parâmetros'!$C$19*'Parâmetros'!$D$19-'Parâmetros'!$E$19)))))</x:f>
      </x:c>
      <x:c r="W32" s="96" t="str">
        <x:f>IF($A32="","",MAX(0,((T32-V32-(Cadastro!K32*'Parâmetros'!$H$6))*'Parâmetros'!$H$4)-'Parâmetros'!$H$5))</x:f>
      </x:c>
      <x:c r="X32" s="96" t="str">
        <x:f>IF($A32="","",Cadastro!M32)</x:f>
      </x:c>
      <x:c r="Y32" s="96" t="str">
        <x:f>IF($A32="","",Cadastro!N32)</x:f>
      </x:c>
      <x:c r="Z32" s="96" t="str">
        <x:f>IF($A32="","",Cadastro!O32)</x:f>
      </x:c>
      <x:c r="AA32" s="96" t="str">
        <x:f>IF($A32="","",N32+O32+U32+V32+W32+X32+Y32+Z32+L32)</x:f>
      </x:c>
      <x:c r="AB32" s="96" t="str">
        <x:f>IF($A32="","",T32-(U32+V32+W32+X32+Y32+Z32+L32))</x:f>
      </x:c>
      <x:c r="AC32" s="88" t="str">
        <x:f>IF($A32="","",SUMIFS('Importação Contabilidade'!$T$7:$T$500,'Importação Contabilidade'!$A$7:$A$500,'Parâmetros'!$B$4,'Importação Contabilidade'!$B$7:$B$500,$A32))</x:f>
      </x:c>
      <x:c r="AD32" s="88" t="str">
        <x:f>IF($A32="","",SUMIFS('Importação Contabilidade'!$U$7:$U$500,'Importação Contabilidade'!$A$7:$A$500,'Parâmetros'!$B$4,'Importação Contabilidade'!$B$7:$B$500,$A32))</x:f>
      </x:c>
      <x:c r="AE32" s="88" t="str">
        <x:f>IF($A32="","",SUMIFS('Importação Contabilidade'!$V$7:$V$500,'Importação Contabilidade'!$A$7:$A$500,'Parâmetros'!$B$4,'Importação Contabilidade'!$B$7:$B$500,$A32))</x:f>
      </x:c>
      <x:c r="AF32" s="97" t="str">
        <x:f>IF($A32="","",T32-AC32)</x:f>
      </x:c>
      <x:c r="AG32" s="97" t="str">
        <x:f>IF($A32="","",AA32-AD32)</x:f>
      </x:c>
      <x:c r="AH32" s="97" t="str">
        <x:f>IF($A32="","",AB32-AE32)</x:f>
      </x:c>
      <x:c r="AI32" s="98" t="str">
        <x:f>IF($A32="","",IF(COUNTIFS('Importação Contabilidade'!$A$7:$A$500,'Parâmetros'!$B$4,'Importação Contabilidade'!$B$7:$B$500,$A32)=0,"PENDENTE IMPORTAÇÃO",IF(AND(ABS(AF32)&lt;='Parâmetros'!$B$8,ABS(AG32)&lt;='Parâmetros'!$B$8,ABS(AH32)&lt;='Parâmetros'!$B$8),"OK","REVISAR")))</x:f>
      </x:c>
      <x:c r="AJ32" s="98" t="str">
        <x:f>IF($A32="","",IF(AI32="PENDENTE IMPORTAÇÃO","Funcionário/competência não encontrados na Importação Contabilidade",IF(AI32="OK","Sem divergência relevante",IF(ABS(AH32)&gt;=MAX(ABS(AF32),ABS(AG32)),"Revisar salário líquido",IF(ABS(AF32)&gt;=ABS(AG32),"Revisar bruto/proventos","Revisar descontos")))))</x:f>
      </x:c>
    </x:row>
    <x:row r="33">
      <x:c r="A33" s="93" t="str">
        <x:f>IF(Cadastro!A33="","",Cadastro!A33)</x:f>
      </x:c>
      <x:c r="B33" s="93" t="str">
        <x:f>IF(Cadastro!B33="","",Cadastro!B33)</x:f>
      </x:c>
      <x:c r="C33" s="93" t="str">
        <x:f>IF(Cadastro!F33="","",Cadastro!F33)</x:f>
      </x:c>
      <x:c r="D33" s="94" t="str">
        <x:f>IF(Cadastro!I33="","",Cadastro!I33)</x:f>
      </x:c>
      <x:c r="E33" s="95" t="str">
        <x:f>IF($A33="","",SUMIFS('Movimentações'!$D$2:$D$501,'Movimentações'!$A$2:$A$501,'Parâmetros'!$B$4,'Movimentações'!$B$2:$B$501,$A33,'Movimentações'!$C$2:$C$501,"Falta (dias)"))</x:f>
      </x:c>
      <x:c r="F33" s="95" t="str">
        <x:f>IF($A33="","",SUMIFS('Movimentações'!$D$2:$D$501,'Movimentações'!$A$2:$A$501,'Parâmetros'!$B$4,'Movimentações'!$B$2:$B$501,$A33,'Movimentações'!$C$2:$C$501,"HE 50% (horas)"))</x:f>
      </x:c>
      <x:c r="G33" s="95" t="str">
        <x:f>IF($A33="","",SUMIFS('Movimentações'!$D$2:$D$501,'Movimentações'!$A$2:$A$501,'Parâmetros'!$B$4,'Movimentações'!$B$2:$B$501,$A33,'Movimentações'!$C$2:$C$501,"HE 100% (horas)"))</x:f>
      </x:c>
      <x:c r="H33" s="94" t="str">
        <x:f>IF($A33="","",SUMIFS('Movimentações'!$E$2:$E$501,'Movimentações'!$A$2:$A$501,'Parâmetros'!$B$4,'Movimentações'!$B$2:$B$501,$A33,'Movimentações'!$C$2:$C$501,"Comissão"))</x:f>
      </x:c>
      <x:c r="I33" s="94" t="str">
        <x:f>IF($A33="","",SUMIFS('Movimentações'!$E$2:$E$501,'Movimentações'!$A$2:$A$501,'Parâmetros'!$B$4,'Movimentações'!$B$2:$B$501,$A33,'Movimentações'!$C$2:$C$501,"Bônus/Gratificação"))</x:f>
      </x:c>
      <x:c r="J33" s="94" t="str">
        <x:f>IF($A33="","",SUMIFS('Movimentações'!$E$2:$E$501,'Movimentações'!$A$2:$A$501,'Parâmetros'!$B$4,'Movimentações'!$B$2:$B$501,$A33,'Movimentações'!$C$2:$C$501,"Adicional"))</x:f>
      </x:c>
      <x:c r="K33" s="94" t="str">
        <x:f>IF($A33="","",SUMIFS('Movimentações'!$E$2:$E$501,'Movimentações'!$A$2:$A$501,'Parâmetros'!$B$4,'Movimentações'!$B$2:$B$501,$A33,'Movimentações'!$C$2:$C$501,"Crédito Extra"))</x:f>
      </x:c>
      <x:c r="L33" s="94" t="str">
        <x:f>IF($A33="","",SUMIFS('Movimentações'!$E$2:$E$501,'Movimentações'!$A$2:$A$501,'Parâmetros'!$B$4,'Movimentações'!$B$2:$B$501,$A33,'Movimentações'!$C$2:$C$501,"Desconto Extra"))</x:f>
      </x:c>
      <x:c r="M33" s="96" t="str">
        <x:f>IF($A33="","",D33/IF(Cadastro!J33=0,'Parâmetros'!$B$12,Cadastro!J33))</x:f>
      </x:c>
      <x:c r="N33" s="96" t="str">
        <x:f>IF($A33="","",(D33/'Parâmetros'!$B$7)*E33)</x:f>
      </x:c>
      <x:c r="O33" s="96" t="str">
        <x:f>IF($A33="","",IF(E33&gt;0,D33/'Parâmetros'!$B$7,0))</x:f>
      </x:c>
      <x:c r="P33" s="96" t="str">
        <x:f>IF($A33="","",(M33*'Parâmetros'!$B$10)*F33)</x:f>
      </x:c>
      <x:c r="Q33" s="96" t="str">
        <x:f>IF($A33="","",(M33*'Parâmetros'!$B$11)*G33)</x:f>
      </x:c>
      <x:c r="R33" s="96" t="str">
        <x:f>IF($A33="","",((P33+Q33)/'Parâmetros'!$B$5)*'Parâmetros'!$B$6)</x:f>
      </x:c>
      <x:c r="S33" s="96" t="str">
        <x:f>IF($A33="","",(H33/'Parâmetros'!$B$5)*'Parâmetros'!$B$6)</x:f>
      </x:c>
      <x:c r="T33" s="96" t="str">
        <x:f>IF($A33="","",D33-N33-O33+H33+I33+J33+K33+P33+Q33+R33+S33)</x:f>
      </x:c>
      <x:c r="U33" s="96" t="str">
        <x:f>IF($A33="","",MIN(D33*'Parâmetros'!$B$9,Cadastro!L33))</x:f>
      </x:c>
      <x:c r="V33" s="96" t="str">
        <x:f>IF($A33="","",IF(T33&lt;='Parâmetros'!$C$16,T33*'Parâmetros'!$D$16,IF(T33&lt;='Parâmetros'!$C$17,T33*'Parâmetros'!$D$17-'Parâmetros'!$E$17,IF(T33&lt;='Parâmetros'!$C$18,T33*'Parâmetros'!$D$18-'Parâmetros'!$E$18,IF(T33&lt;='Parâmetros'!$C$19,T33*'Parâmetros'!$D$19-'Parâmetros'!$E$19,'Parâmetros'!$C$19*'Parâmetros'!$D$19-'Parâmetros'!$E$19)))))</x:f>
      </x:c>
      <x:c r="W33" s="96" t="str">
        <x:f>IF($A33="","",MAX(0,((T33-V33-(Cadastro!K33*'Parâmetros'!$H$6))*'Parâmetros'!$H$4)-'Parâmetros'!$H$5))</x:f>
      </x:c>
      <x:c r="X33" s="96" t="str">
        <x:f>IF($A33="","",Cadastro!M33)</x:f>
      </x:c>
      <x:c r="Y33" s="96" t="str">
        <x:f>IF($A33="","",Cadastro!N33)</x:f>
      </x:c>
      <x:c r="Z33" s="96" t="str">
        <x:f>IF($A33="","",Cadastro!O33)</x:f>
      </x:c>
      <x:c r="AA33" s="96" t="str">
        <x:f>IF($A33="","",N33+O33+U33+V33+W33+X33+Y33+Z33+L33)</x:f>
      </x:c>
      <x:c r="AB33" s="96" t="str">
        <x:f>IF($A33="","",T33-(U33+V33+W33+X33+Y33+Z33+L33))</x:f>
      </x:c>
      <x:c r="AC33" s="88" t="str">
        <x:f>IF($A33="","",SUMIFS('Importação Contabilidade'!$T$7:$T$500,'Importação Contabilidade'!$A$7:$A$500,'Parâmetros'!$B$4,'Importação Contabilidade'!$B$7:$B$500,$A33))</x:f>
      </x:c>
      <x:c r="AD33" s="88" t="str">
        <x:f>IF($A33="","",SUMIFS('Importação Contabilidade'!$U$7:$U$500,'Importação Contabilidade'!$A$7:$A$500,'Parâmetros'!$B$4,'Importação Contabilidade'!$B$7:$B$500,$A33))</x:f>
      </x:c>
      <x:c r="AE33" s="88" t="str">
        <x:f>IF($A33="","",SUMIFS('Importação Contabilidade'!$V$7:$V$500,'Importação Contabilidade'!$A$7:$A$500,'Parâmetros'!$B$4,'Importação Contabilidade'!$B$7:$B$500,$A33))</x:f>
      </x:c>
      <x:c r="AF33" s="97" t="str">
        <x:f>IF($A33="","",T33-AC33)</x:f>
      </x:c>
      <x:c r="AG33" s="97" t="str">
        <x:f>IF($A33="","",AA33-AD33)</x:f>
      </x:c>
      <x:c r="AH33" s="97" t="str">
        <x:f>IF($A33="","",AB33-AE33)</x:f>
      </x:c>
      <x:c r="AI33" s="98" t="str">
        <x:f>IF($A33="","",IF(COUNTIFS('Importação Contabilidade'!$A$7:$A$500,'Parâmetros'!$B$4,'Importação Contabilidade'!$B$7:$B$500,$A33)=0,"PENDENTE IMPORTAÇÃO",IF(AND(ABS(AF33)&lt;='Parâmetros'!$B$8,ABS(AG33)&lt;='Parâmetros'!$B$8,ABS(AH33)&lt;='Parâmetros'!$B$8),"OK","REVISAR")))</x:f>
      </x:c>
      <x:c r="AJ33" s="98" t="str">
        <x:f>IF($A33="","",IF(AI33="PENDENTE IMPORTAÇÃO","Funcionário/competência não encontrados na Importação Contabilidade",IF(AI33="OK","Sem divergência relevante",IF(ABS(AH33)&gt;=MAX(ABS(AF33),ABS(AG33)),"Revisar salário líquido",IF(ABS(AF33)&gt;=ABS(AG33),"Revisar bruto/proventos","Revisar descontos")))))</x:f>
      </x:c>
    </x:row>
    <x:row r="34">
      <x:c r="A34" s="93" t="str">
        <x:f>IF(Cadastro!A34="","",Cadastro!A34)</x:f>
      </x:c>
      <x:c r="B34" s="93" t="str">
        <x:f>IF(Cadastro!B34="","",Cadastro!B34)</x:f>
      </x:c>
      <x:c r="C34" s="93" t="str">
        <x:f>IF(Cadastro!F34="","",Cadastro!F34)</x:f>
      </x:c>
      <x:c r="D34" s="94" t="str">
        <x:f>IF(Cadastro!I34="","",Cadastro!I34)</x:f>
      </x:c>
      <x:c r="E34" s="95" t="str">
        <x:f>IF($A34="","",SUMIFS('Movimentações'!$D$2:$D$501,'Movimentações'!$A$2:$A$501,'Parâmetros'!$B$4,'Movimentações'!$B$2:$B$501,$A34,'Movimentações'!$C$2:$C$501,"Falta (dias)"))</x:f>
      </x:c>
      <x:c r="F34" s="95" t="str">
        <x:f>IF($A34="","",SUMIFS('Movimentações'!$D$2:$D$501,'Movimentações'!$A$2:$A$501,'Parâmetros'!$B$4,'Movimentações'!$B$2:$B$501,$A34,'Movimentações'!$C$2:$C$501,"HE 50% (horas)"))</x:f>
      </x:c>
      <x:c r="G34" s="95" t="str">
        <x:f>IF($A34="","",SUMIFS('Movimentações'!$D$2:$D$501,'Movimentações'!$A$2:$A$501,'Parâmetros'!$B$4,'Movimentações'!$B$2:$B$501,$A34,'Movimentações'!$C$2:$C$501,"HE 100% (horas)"))</x:f>
      </x:c>
      <x:c r="H34" s="94" t="str">
        <x:f>IF($A34="","",SUMIFS('Movimentações'!$E$2:$E$501,'Movimentações'!$A$2:$A$501,'Parâmetros'!$B$4,'Movimentações'!$B$2:$B$501,$A34,'Movimentações'!$C$2:$C$501,"Comissão"))</x:f>
      </x:c>
      <x:c r="I34" s="94" t="str">
        <x:f>IF($A34="","",SUMIFS('Movimentações'!$E$2:$E$501,'Movimentações'!$A$2:$A$501,'Parâmetros'!$B$4,'Movimentações'!$B$2:$B$501,$A34,'Movimentações'!$C$2:$C$501,"Bônus/Gratificação"))</x:f>
      </x:c>
      <x:c r="J34" s="94" t="str">
        <x:f>IF($A34="","",SUMIFS('Movimentações'!$E$2:$E$501,'Movimentações'!$A$2:$A$501,'Parâmetros'!$B$4,'Movimentações'!$B$2:$B$501,$A34,'Movimentações'!$C$2:$C$501,"Adicional"))</x:f>
      </x:c>
      <x:c r="K34" s="94" t="str">
        <x:f>IF($A34="","",SUMIFS('Movimentações'!$E$2:$E$501,'Movimentações'!$A$2:$A$501,'Parâmetros'!$B$4,'Movimentações'!$B$2:$B$501,$A34,'Movimentações'!$C$2:$C$501,"Crédito Extra"))</x:f>
      </x:c>
      <x:c r="L34" s="94" t="str">
        <x:f>IF($A34="","",SUMIFS('Movimentações'!$E$2:$E$501,'Movimentações'!$A$2:$A$501,'Parâmetros'!$B$4,'Movimentações'!$B$2:$B$501,$A34,'Movimentações'!$C$2:$C$501,"Desconto Extra"))</x:f>
      </x:c>
      <x:c r="M34" s="96" t="str">
        <x:f>IF($A34="","",D34/IF(Cadastro!J34=0,'Parâmetros'!$B$12,Cadastro!J34))</x:f>
      </x:c>
      <x:c r="N34" s="96" t="str">
        <x:f>IF($A34="","",(D34/'Parâmetros'!$B$7)*E34)</x:f>
      </x:c>
      <x:c r="O34" s="96" t="str">
        <x:f>IF($A34="","",IF(E34&gt;0,D34/'Parâmetros'!$B$7,0))</x:f>
      </x:c>
      <x:c r="P34" s="96" t="str">
        <x:f>IF($A34="","",(M34*'Parâmetros'!$B$10)*F34)</x:f>
      </x:c>
      <x:c r="Q34" s="96" t="str">
        <x:f>IF($A34="","",(M34*'Parâmetros'!$B$11)*G34)</x:f>
      </x:c>
      <x:c r="R34" s="96" t="str">
        <x:f>IF($A34="","",((P34+Q34)/'Parâmetros'!$B$5)*'Parâmetros'!$B$6)</x:f>
      </x:c>
      <x:c r="S34" s="96" t="str">
        <x:f>IF($A34="","",(H34/'Parâmetros'!$B$5)*'Parâmetros'!$B$6)</x:f>
      </x:c>
      <x:c r="T34" s="96" t="str">
        <x:f>IF($A34="","",D34-N34-O34+H34+I34+J34+K34+P34+Q34+R34+S34)</x:f>
      </x:c>
      <x:c r="U34" s="96" t="str">
        <x:f>IF($A34="","",MIN(D34*'Parâmetros'!$B$9,Cadastro!L34))</x:f>
      </x:c>
      <x:c r="V34" s="96" t="str">
        <x:f>IF($A34="","",IF(T34&lt;='Parâmetros'!$C$16,T34*'Parâmetros'!$D$16,IF(T34&lt;='Parâmetros'!$C$17,T34*'Parâmetros'!$D$17-'Parâmetros'!$E$17,IF(T34&lt;='Parâmetros'!$C$18,T34*'Parâmetros'!$D$18-'Parâmetros'!$E$18,IF(T34&lt;='Parâmetros'!$C$19,T34*'Parâmetros'!$D$19-'Parâmetros'!$E$19,'Parâmetros'!$C$19*'Parâmetros'!$D$19-'Parâmetros'!$E$19)))))</x:f>
      </x:c>
      <x:c r="W34" s="96" t="str">
        <x:f>IF($A34="","",MAX(0,((T34-V34-(Cadastro!K34*'Parâmetros'!$H$6))*'Parâmetros'!$H$4)-'Parâmetros'!$H$5))</x:f>
      </x:c>
      <x:c r="X34" s="96" t="str">
        <x:f>IF($A34="","",Cadastro!M34)</x:f>
      </x:c>
      <x:c r="Y34" s="96" t="str">
        <x:f>IF($A34="","",Cadastro!N34)</x:f>
      </x:c>
      <x:c r="Z34" s="96" t="str">
        <x:f>IF($A34="","",Cadastro!O34)</x:f>
      </x:c>
      <x:c r="AA34" s="96" t="str">
        <x:f>IF($A34="","",N34+O34+U34+V34+W34+X34+Y34+Z34+L34)</x:f>
      </x:c>
      <x:c r="AB34" s="96" t="str">
        <x:f>IF($A34="","",T34-(U34+V34+W34+X34+Y34+Z34+L34))</x:f>
      </x:c>
      <x:c r="AC34" s="88" t="str">
        <x:f>IF($A34="","",SUMIFS('Importação Contabilidade'!$T$7:$T$500,'Importação Contabilidade'!$A$7:$A$500,'Parâmetros'!$B$4,'Importação Contabilidade'!$B$7:$B$500,$A34))</x:f>
      </x:c>
      <x:c r="AD34" s="88" t="str">
        <x:f>IF($A34="","",SUMIFS('Importação Contabilidade'!$U$7:$U$500,'Importação Contabilidade'!$A$7:$A$500,'Parâmetros'!$B$4,'Importação Contabilidade'!$B$7:$B$500,$A34))</x:f>
      </x:c>
      <x:c r="AE34" s="88" t="str">
        <x:f>IF($A34="","",SUMIFS('Importação Contabilidade'!$V$7:$V$500,'Importação Contabilidade'!$A$7:$A$500,'Parâmetros'!$B$4,'Importação Contabilidade'!$B$7:$B$500,$A34))</x:f>
      </x:c>
      <x:c r="AF34" s="97" t="str">
        <x:f>IF($A34="","",T34-AC34)</x:f>
      </x:c>
      <x:c r="AG34" s="97" t="str">
        <x:f>IF($A34="","",AA34-AD34)</x:f>
      </x:c>
      <x:c r="AH34" s="97" t="str">
        <x:f>IF($A34="","",AB34-AE34)</x:f>
      </x:c>
      <x:c r="AI34" s="98" t="str">
        <x:f>IF($A34="","",IF(COUNTIFS('Importação Contabilidade'!$A$7:$A$500,'Parâmetros'!$B$4,'Importação Contabilidade'!$B$7:$B$500,$A34)=0,"PENDENTE IMPORTAÇÃO",IF(AND(ABS(AF34)&lt;='Parâmetros'!$B$8,ABS(AG34)&lt;='Parâmetros'!$B$8,ABS(AH34)&lt;='Parâmetros'!$B$8),"OK","REVISAR")))</x:f>
      </x:c>
      <x:c r="AJ34" s="98" t="str">
        <x:f>IF($A34="","",IF(AI34="PENDENTE IMPORTAÇÃO","Funcionário/competência não encontrados na Importação Contabilidade",IF(AI34="OK","Sem divergência relevante",IF(ABS(AH34)&gt;=MAX(ABS(AF34),ABS(AG34)),"Revisar salário líquido",IF(ABS(AF34)&gt;=ABS(AG34),"Revisar bruto/proventos","Revisar descontos")))))</x:f>
      </x:c>
    </x:row>
    <x:row r="35">
      <x:c r="A35" s="93" t="str">
        <x:f>IF(Cadastro!A35="","",Cadastro!A35)</x:f>
      </x:c>
      <x:c r="B35" s="93" t="str">
        <x:f>IF(Cadastro!B35="","",Cadastro!B35)</x:f>
      </x:c>
      <x:c r="C35" s="93" t="str">
        <x:f>IF(Cadastro!F35="","",Cadastro!F35)</x:f>
      </x:c>
      <x:c r="D35" s="94" t="str">
        <x:f>IF(Cadastro!I35="","",Cadastro!I35)</x:f>
      </x:c>
      <x:c r="E35" s="95" t="str">
        <x:f>IF($A35="","",SUMIFS('Movimentações'!$D$2:$D$501,'Movimentações'!$A$2:$A$501,'Parâmetros'!$B$4,'Movimentações'!$B$2:$B$501,$A35,'Movimentações'!$C$2:$C$501,"Falta (dias)"))</x:f>
      </x:c>
      <x:c r="F35" s="95" t="str">
        <x:f>IF($A35="","",SUMIFS('Movimentações'!$D$2:$D$501,'Movimentações'!$A$2:$A$501,'Parâmetros'!$B$4,'Movimentações'!$B$2:$B$501,$A35,'Movimentações'!$C$2:$C$501,"HE 50% (horas)"))</x:f>
      </x:c>
      <x:c r="G35" s="95" t="str">
        <x:f>IF($A35="","",SUMIFS('Movimentações'!$D$2:$D$501,'Movimentações'!$A$2:$A$501,'Parâmetros'!$B$4,'Movimentações'!$B$2:$B$501,$A35,'Movimentações'!$C$2:$C$501,"HE 100% (horas)"))</x:f>
      </x:c>
      <x:c r="H35" s="94" t="str">
        <x:f>IF($A35="","",SUMIFS('Movimentações'!$E$2:$E$501,'Movimentações'!$A$2:$A$501,'Parâmetros'!$B$4,'Movimentações'!$B$2:$B$501,$A35,'Movimentações'!$C$2:$C$501,"Comissão"))</x:f>
      </x:c>
      <x:c r="I35" s="94" t="str">
        <x:f>IF($A35="","",SUMIFS('Movimentações'!$E$2:$E$501,'Movimentações'!$A$2:$A$501,'Parâmetros'!$B$4,'Movimentações'!$B$2:$B$501,$A35,'Movimentações'!$C$2:$C$501,"Bônus/Gratificação"))</x:f>
      </x:c>
      <x:c r="J35" s="94" t="str">
        <x:f>IF($A35="","",SUMIFS('Movimentações'!$E$2:$E$501,'Movimentações'!$A$2:$A$501,'Parâmetros'!$B$4,'Movimentações'!$B$2:$B$501,$A35,'Movimentações'!$C$2:$C$501,"Adicional"))</x:f>
      </x:c>
      <x:c r="K35" s="94" t="str">
        <x:f>IF($A35="","",SUMIFS('Movimentações'!$E$2:$E$501,'Movimentações'!$A$2:$A$501,'Parâmetros'!$B$4,'Movimentações'!$B$2:$B$501,$A35,'Movimentações'!$C$2:$C$501,"Crédito Extra"))</x:f>
      </x:c>
      <x:c r="L35" s="94" t="str">
        <x:f>IF($A35="","",SUMIFS('Movimentações'!$E$2:$E$501,'Movimentações'!$A$2:$A$501,'Parâmetros'!$B$4,'Movimentações'!$B$2:$B$501,$A35,'Movimentações'!$C$2:$C$501,"Desconto Extra"))</x:f>
      </x:c>
      <x:c r="M35" s="96" t="str">
        <x:f>IF($A35="","",D35/IF(Cadastro!J35=0,'Parâmetros'!$B$12,Cadastro!J35))</x:f>
      </x:c>
      <x:c r="N35" s="96" t="str">
        <x:f>IF($A35="","",(D35/'Parâmetros'!$B$7)*E35)</x:f>
      </x:c>
      <x:c r="O35" s="96" t="str">
        <x:f>IF($A35="","",IF(E35&gt;0,D35/'Parâmetros'!$B$7,0))</x:f>
      </x:c>
      <x:c r="P35" s="96" t="str">
        <x:f>IF($A35="","",(M35*'Parâmetros'!$B$10)*F35)</x:f>
      </x:c>
      <x:c r="Q35" s="96" t="str">
        <x:f>IF($A35="","",(M35*'Parâmetros'!$B$11)*G35)</x:f>
      </x:c>
      <x:c r="R35" s="96" t="str">
        <x:f>IF($A35="","",((P35+Q35)/'Parâmetros'!$B$5)*'Parâmetros'!$B$6)</x:f>
      </x:c>
      <x:c r="S35" s="96" t="str">
        <x:f>IF($A35="","",(H35/'Parâmetros'!$B$5)*'Parâmetros'!$B$6)</x:f>
      </x:c>
      <x:c r="T35" s="96" t="str">
        <x:f>IF($A35="","",D35-N35-O35+H35+I35+J35+K35+P35+Q35+R35+S35)</x:f>
      </x:c>
      <x:c r="U35" s="96" t="str">
        <x:f>IF($A35="","",MIN(D35*'Parâmetros'!$B$9,Cadastro!L35))</x:f>
      </x:c>
      <x:c r="V35" s="96" t="str">
        <x:f>IF($A35="","",IF(T35&lt;='Parâmetros'!$C$16,T35*'Parâmetros'!$D$16,IF(T35&lt;='Parâmetros'!$C$17,T35*'Parâmetros'!$D$17-'Parâmetros'!$E$17,IF(T35&lt;='Parâmetros'!$C$18,T35*'Parâmetros'!$D$18-'Parâmetros'!$E$18,IF(T35&lt;='Parâmetros'!$C$19,T35*'Parâmetros'!$D$19-'Parâmetros'!$E$19,'Parâmetros'!$C$19*'Parâmetros'!$D$19-'Parâmetros'!$E$19)))))</x:f>
      </x:c>
      <x:c r="W35" s="96" t="str">
        <x:f>IF($A35="","",MAX(0,((T35-V35-(Cadastro!K35*'Parâmetros'!$H$6))*'Parâmetros'!$H$4)-'Parâmetros'!$H$5))</x:f>
      </x:c>
      <x:c r="X35" s="96" t="str">
        <x:f>IF($A35="","",Cadastro!M35)</x:f>
      </x:c>
      <x:c r="Y35" s="96" t="str">
        <x:f>IF($A35="","",Cadastro!N35)</x:f>
      </x:c>
      <x:c r="Z35" s="96" t="str">
        <x:f>IF($A35="","",Cadastro!O35)</x:f>
      </x:c>
      <x:c r="AA35" s="96" t="str">
        <x:f>IF($A35="","",N35+O35+U35+V35+W35+X35+Y35+Z35+L35)</x:f>
      </x:c>
      <x:c r="AB35" s="96" t="str">
        <x:f>IF($A35="","",T35-(U35+V35+W35+X35+Y35+Z35+L35))</x:f>
      </x:c>
      <x:c r="AC35" s="88" t="str">
        <x:f>IF($A35="","",SUMIFS('Importação Contabilidade'!$T$7:$T$500,'Importação Contabilidade'!$A$7:$A$500,'Parâmetros'!$B$4,'Importação Contabilidade'!$B$7:$B$500,$A35))</x:f>
      </x:c>
      <x:c r="AD35" s="88" t="str">
        <x:f>IF($A35="","",SUMIFS('Importação Contabilidade'!$U$7:$U$500,'Importação Contabilidade'!$A$7:$A$500,'Parâmetros'!$B$4,'Importação Contabilidade'!$B$7:$B$500,$A35))</x:f>
      </x:c>
      <x:c r="AE35" s="88" t="str">
        <x:f>IF($A35="","",SUMIFS('Importação Contabilidade'!$V$7:$V$500,'Importação Contabilidade'!$A$7:$A$500,'Parâmetros'!$B$4,'Importação Contabilidade'!$B$7:$B$500,$A35))</x:f>
      </x:c>
      <x:c r="AF35" s="97" t="str">
        <x:f>IF($A35="","",T35-AC35)</x:f>
      </x:c>
      <x:c r="AG35" s="97" t="str">
        <x:f>IF($A35="","",AA35-AD35)</x:f>
      </x:c>
      <x:c r="AH35" s="97" t="str">
        <x:f>IF($A35="","",AB35-AE35)</x:f>
      </x:c>
      <x:c r="AI35" s="98" t="str">
        <x:f>IF($A35="","",IF(COUNTIFS('Importação Contabilidade'!$A$7:$A$500,'Parâmetros'!$B$4,'Importação Contabilidade'!$B$7:$B$500,$A35)=0,"PENDENTE IMPORTAÇÃO",IF(AND(ABS(AF35)&lt;='Parâmetros'!$B$8,ABS(AG35)&lt;='Parâmetros'!$B$8,ABS(AH35)&lt;='Parâmetros'!$B$8),"OK","REVISAR")))</x:f>
      </x:c>
      <x:c r="AJ35" s="98" t="str">
        <x:f>IF($A35="","",IF(AI35="PENDENTE IMPORTAÇÃO","Funcionário/competência não encontrados na Importação Contabilidade",IF(AI35="OK","Sem divergência relevante",IF(ABS(AH35)&gt;=MAX(ABS(AF35),ABS(AG35)),"Revisar salário líquido",IF(ABS(AF35)&gt;=ABS(AG35),"Revisar bruto/proventos","Revisar descontos")))))</x:f>
      </x:c>
    </x:row>
    <x:row r="36">
      <x:c r="A36" s="93" t="str">
        <x:f>IF(Cadastro!A36="","",Cadastro!A36)</x:f>
      </x:c>
      <x:c r="B36" s="93" t="str">
        <x:f>IF(Cadastro!B36="","",Cadastro!B36)</x:f>
      </x:c>
      <x:c r="C36" s="93" t="str">
        <x:f>IF(Cadastro!F36="","",Cadastro!F36)</x:f>
      </x:c>
      <x:c r="D36" s="94" t="str">
        <x:f>IF(Cadastro!I36="","",Cadastro!I36)</x:f>
      </x:c>
      <x:c r="E36" s="95" t="str">
        <x:f>IF($A36="","",SUMIFS('Movimentações'!$D$2:$D$501,'Movimentações'!$A$2:$A$501,'Parâmetros'!$B$4,'Movimentações'!$B$2:$B$501,$A36,'Movimentações'!$C$2:$C$501,"Falta (dias)"))</x:f>
      </x:c>
      <x:c r="F36" s="95" t="str">
        <x:f>IF($A36="","",SUMIFS('Movimentações'!$D$2:$D$501,'Movimentações'!$A$2:$A$501,'Parâmetros'!$B$4,'Movimentações'!$B$2:$B$501,$A36,'Movimentações'!$C$2:$C$501,"HE 50% (horas)"))</x:f>
      </x:c>
      <x:c r="G36" s="95" t="str">
        <x:f>IF($A36="","",SUMIFS('Movimentações'!$D$2:$D$501,'Movimentações'!$A$2:$A$501,'Parâmetros'!$B$4,'Movimentações'!$B$2:$B$501,$A36,'Movimentações'!$C$2:$C$501,"HE 100% (horas)"))</x:f>
      </x:c>
      <x:c r="H36" s="94" t="str">
        <x:f>IF($A36="","",SUMIFS('Movimentações'!$E$2:$E$501,'Movimentações'!$A$2:$A$501,'Parâmetros'!$B$4,'Movimentações'!$B$2:$B$501,$A36,'Movimentações'!$C$2:$C$501,"Comissão"))</x:f>
      </x:c>
      <x:c r="I36" s="94" t="str">
        <x:f>IF($A36="","",SUMIFS('Movimentações'!$E$2:$E$501,'Movimentações'!$A$2:$A$501,'Parâmetros'!$B$4,'Movimentações'!$B$2:$B$501,$A36,'Movimentações'!$C$2:$C$501,"Bônus/Gratificação"))</x:f>
      </x:c>
      <x:c r="J36" s="94" t="str">
        <x:f>IF($A36="","",SUMIFS('Movimentações'!$E$2:$E$501,'Movimentações'!$A$2:$A$501,'Parâmetros'!$B$4,'Movimentações'!$B$2:$B$501,$A36,'Movimentações'!$C$2:$C$501,"Adicional"))</x:f>
      </x:c>
      <x:c r="K36" s="94" t="str">
        <x:f>IF($A36="","",SUMIFS('Movimentações'!$E$2:$E$501,'Movimentações'!$A$2:$A$501,'Parâmetros'!$B$4,'Movimentações'!$B$2:$B$501,$A36,'Movimentações'!$C$2:$C$501,"Crédito Extra"))</x:f>
      </x:c>
      <x:c r="L36" s="94" t="str">
        <x:f>IF($A36="","",SUMIFS('Movimentações'!$E$2:$E$501,'Movimentações'!$A$2:$A$501,'Parâmetros'!$B$4,'Movimentações'!$B$2:$B$501,$A36,'Movimentações'!$C$2:$C$501,"Desconto Extra"))</x:f>
      </x:c>
      <x:c r="M36" s="96" t="str">
        <x:f>IF($A36="","",D36/IF(Cadastro!J36=0,'Parâmetros'!$B$12,Cadastro!J36))</x:f>
      </x:c>
      <x:c r="N36" s="96" t="str">
        <x:f>IF($A36="","",(D36/'Parâmetros'!$B$7)*E36)</x:f>
      </x:c>
      <x:c r="O36" s="96" t="str">
        <x:f>IF($A36="","",IF(E36&gt;0,D36/'Parâmetros'!$B$7,0))</x:f>
      </x:c>
      <x:c r="P36" s="96" t="str">
        <x:f>IF($A36="","",(M36*'Parâmetros'!$B$10)*F36)</x:f>
      </x:c>
      <x:c r="Q36" s="96" t="str">
        <x:f>IF($A36="","",(M36*'Parâmetros'!$B$11)*G36)</x:f>
      </x:c>
      <x:c r="R36" s="96" t="str">
        <x:f>IF($A36="","",((P36+Q36)/'Parâmetros'!$B$5)*'Parâmetros'!$B$6)</x:f>
      </x:c>
      <x:c r="S36" s="96" t="str">
        <x:f>IF($A36="","",(H36/'Parâmetros'!$B$5)*'Parâmetros'!$B$6)</x:f>
      </x:c>
      <x:c r="T36" s="96" t="str">
        <x:f>IF($A36="","",D36-N36-O36+H36+I36+J36+K36+P36+Q36+R36+S36)</x:f>
      </x:c>
      <x:c r="U36" s="96" t="str">
        <x:f>IF($A36="","",MIN(D36*'Parâmetros'!$B$9,Cadastro!L36))</x:f>
      </x:c>
      <x:c r="V36" s="96" t="str">
        <x:f>IF($A36="","",IF(T36&lt;='Parâmetros'!$C$16,T36*'Parâmetros'!$D$16,IF(T36&lt;='Parâmetros'!$C$17,T36*'Parâmetros'!$D$17-'Parâmetros'!$E$17,IF(T36&lt;='Parâmetros'!$C$18,T36*'Parâmetros'!$D$18-'Parâmetros'!$E$18,IF(T36&lt;='Parâmetros'!$C$19,T36*'Parâmetros'!$D$19-'Parâmetros'!$E$19,'Parâmetros'!$C$19*'Parâmetros'!$D$19-'Parâmetros'!$E$19)))))</x:f>
      </x:c>
      <x:c r="W36" s="96" t="str">
        <x:f>IF($A36="","",MAX(0,((T36-V36-(Cadastro!K36*'Parâmetros'!$H$6))*'Parâmetros'!$H$4)-'Parâmetros'!$H$5))</x:f>
      </x:c>
      <x:c r="X36" s="96" t="str">
        <x:f>IF($A36="","",Cadastro!M36)</x:f>
      </x:c>
      <x:c r="Y36" s="96" t="str">
        <x:f>IF($A36="","",Cadastro!N36)</x:f>
      </x:c>
      <x:c r="Z36" s="96" t="str">
        <x:f>IF($A36="","",Cadastro!O36)</x:f>
      </x:c>
      <x:c r="AA36" s="96" t="str">
        <x:f>IF($A36="","",N36+O36+U36+V36+W36+X36+Y36+Z36+L36)</x:f>
      </x:c>
      <x:c r="AB36" s="96" t="str">
        <x:f>IF($A36="","",T36-(U36+V36+W36+X36+Y36+Z36+L36))</x:f>
      </x:c>
      <x:c r="AC36" s="88" t="str">
        <x:f>IF($A36="","",SUMIFS('Importação Contabilidade'!$T$7:$T$500,'Importação Contabilidade'!$A$7:$A$500,'Parâmetros'!$B$4,'Importação Contabilidade'!$B$7:$B$500,$A36))</x:f>
      </x:c>
      <x:c r="AD36" s="88" t="str">
        <x:f>IF($A36="","",SUMIFS('Importação Contabilidade'!$U$7:$U$500,'Importação Contabilidade'!$A$7:$A$500,'Parâmetros'!$B$4,'Importação Contabilidade'!$B$7:$B$500,$A36))</x:f>
      </x:c>
      <x:c r="AE36" s="88" t="str">
        <x:f>IF($A36="","",SUMIFS('Importação Contabilidade'!$V$7:$V$500,'Importação Contabilidade'!$A$7:$A$500,'Parâmetros'!$B$4,'Importação Contabilidade'!$B$7:$B$500,$A36))</x:f>
      </x:c>
      <x:c r="AF36" s="97" t="str">
        <x:f>IF($A36="","",T36-AC36)</x:f>
      </x:c>
      <x:c r="AG36" s="97" t="str">
        <x:f>IF($A36="","",AA36-AD36)</x:f>
      </x:c>
      <x:c r="AH36" s="97" t="str">
        <x:f>IF($A36="","",AB36-AE36)</x:f>
      </x:c>
      <x:c r="AI36" s="98" t="str">
        <x:f>IF($A36="","",IF(COUNTIFS('Importação Contabilidade'!$A$7:$A$500,'Parâmetros'!$B$4,'Importação Contabilidade'!$B$7:$B$500,$A36)=0,"PENDENTE IMPORTAÇÃO",IF(AND(ABS(AF36)&lt;='Parâmetros'!$B$8,ABS(AG36)&lt;='Parâmetros'!$B$8,ABS(AH36)&lt;='Parâmetros'!$B$8),"OK","REVISAR")))</x:f>
      </x:c>
      <x:c r="AJ36" s="98" t="str">
        <x:f>IF($A36="","",IF(AI36="PENDENTE IMPORTAÇÃO","Funcionário/competência não encontrados na Importação Contabilidade",IF(AI36="OK","Sem divergência relevante",IF(ABS(AH36)&gt;=MAX(ABS(AF36),ABS(AG36)),"Revisar salário líquido",IF(ABS(AF36)&gt;=ABS(AG36),"Revisar bruto/proventos","Revisar descontos")))))</x:f>
      </x:c>
    </x:row>
    <x:row r="37">
      <x:c r="A37" s="93" t="str">
        <x:f>IF(Cadastro!A37="","",Cadastro!A37)</x:f>
      </x:c>
      <x:c r="B37" s="93" t="str">
        <x:f>IF(Cadastro!B37="","",Cadastro!B37)</x:f>
      </x:c>
      <x:c r="C37" s="93" t="str">
        <x:f>IF(Cadastro!F37="","",Cadastro!F37)</x:f>
      </x:c>
      <x:c r="D37" s="94" t="str">
        <x:f>IF(Cadastro!I37="","",Cadastro!I37)</x:f>
      </x:c>
      <x:c r="E37" s="95" t="str">
        <x:f>IF($A37="","",SUMIFS('Movimentações'!$D$2:$D$501,'Movimentações'!$A$2:$A$501,'Parâmetros'!$B$4,'Movimentações'!$B$2:$B$501,$A37,'Movimentações'!$C$2:$C$501,"Falta (dias)"))</x:f>
      </x:c>
      <x:c r="F37" s="95" t="str">
        <x:f>IF($A37="","",SUMIFS('Movimentações'!$D$2:$D$501,'Movimentações'!$A$2:$A$501,'Parâmetros'!$B$4,'Movimentações'!$B$2:$B$501,$A37,'Movimentações'!$C$2:$C$501,"HE 50% (horas)"))</x:f>
      </x:c>
      <x:c r="G37" s="95" t="str">
        <x:f>IF($A37="","",SUMIFS('Movimentações'!$D$2:$D$501,'Movimentações'!$A$2:$A$501,'Parâmetros'!$B$4,'Movimentações'!$B$2:$B$501,$A37,'Movimentações'!$C$2:$C$501,"HE 100% (horas)"))</x:f>
      </x:c>
      <x:c r="H37" s="94" t="str">
        <x:f>IF($A37="","",SUMIFS('Movimentações'!$E$2:$E$501,'Movimentações'!$A$2:$A$501,'Parâmetros'!$B$4,'Movimentações'!$B$2:$B$501,$A37,'Movimentações'!$C$2:$C$501,"Comissão"))</x:f>
      </x:c>
      <x:c r="I37" s="94" t="str">
        <x:f>IF($A37="","",SUMIFS('Movimentações'!$E$2:$E$501,'Movimentações'!$A$2:$A$501,'Parâmetros'!$B$4,'Movimentações'!$B$2:$B$501,$A37,'Movimentações'!$C$2:$C$501,"Bônus/Gratificação"))</x:f>
      </x:c>
      <x:c r="J37" s="94" t="str">
        <x:f>IF($A37="","",SUMIFS('Movimentações'!$E$2:$E$501,'Movimentações'!$A$2:$A$501,'Parâmetros'!$B$4,'Movimentações'!$B$2:$B$501,$A37,'Movimentações'!$C$2:$C$501,"Adicional"))</x:f>
      </x:c>
      <x:c r="K37" s="94" t="str">
        <x:f>IF($A37="","",SUMIFS('Movimentações'!$E$2:$E$501,'Movimentações'!$A$2:$A$501,'Parâmetros'!$B$4,'Movimentações'!$B$2:$B$501,$A37,'Movimentações'!$C$2:$C$501,"Crédito Extra"))</x:f>
      </x:c>
      <x:c r="L37" s="94" t="str">
        <x:f>IF($A37="","",SUMIFS('Movimentações'!$E$2:$E$501,'Movimentações'!$A$2:$A$501,'Parâmetros'!$B$4,'Movimentações'!$B$2:$B$501,$A37,'Movimentações'!$C$2:$C$501,"Desconto Extra"))</x:f>
      </x:c>
      <x:c r="M37" s="96" t="str">
        <x:f>IF($A37="","",D37/IF(Cadastro!J37=0,'Parâmetros'!$B$12,Cadastro!J37))</x:f>
      </x:c>
      <x:c r="N37" s="96" t="str">
        <x:f>IF($A37="","",(D37/'Parâmetros'!$B$7)*E37)</x:f>
      </x:c>
      <x:c r="O37" s="96" t="str">
        <x:f>IF($A37="","",IF(E37&gt;0,D37/'Parâmetros'!$B$7,0))</x:f>
      </x:c>
      <x:c r="P37" s="96" t="str">
        <x:f>IF($A37="","",(M37*'Parâmetros'!$B$10)*F37)</x:f>
      </x:c>
      <x:c r="Q37" s="96" t="str">
        <x:f>IF($A37="","",(M37*'Parâmetros'!$B$11)*G37)</x:f>
      </x:c>
      <x:c r="R37" s="96" t="str">
        <x:f>IF($A37="","",((P37+Q37)/'Parâmetros'!$B$5)*'Parâmetros'!$B$6)</x:f>
      </x:c>
      <x:c r="S37" s="96" t="str">
        <x:f>IF($A37="","",(H37/'Parâmetros'!$B$5)*'Parâmetros'!$B$6)</x:f>
      </x:c>
      <x:c r="T37" s="96" t="str">
        <x:f>IF($A37="","",D37-N37-O37+H37+I37+J37+K37+P37+Q37+R37+S37)</x:f>
      </x:c>
      <x:c r="U37" s="96" t="str">
        <x:f>IF($A37="","",MIN(D37*'Parâmetros'!$B$9,Cadastro!L37))</x:f>
      </x:c>
      <x:c r="V37" s="96" t="str">
        <x:f>IF($A37="","",IF(T37&lt;='Parâmetros'!$C$16,T37*'Parâmetros'!$D$16,IF(T37&lt;='Parâmetros'!$C$17,T37*'Parâmetros'!$D$17-'Parâmetros'!$E$17,IF(T37&lt;='Parâmetros'!$C$18,T37*'Parâmetros'!$D$18-'Parâmetros'!$E$18,IF(T37&lt;='Parâmetros'!$C$19,T37*'Parâmetros'!$D$19-'Parâmetros'!$E$19,'Parâmetros'!$C$19*'Parâmetros'!$D$19-'Parâmetros'!$E$19)))))</x:f>
      </x:c>
      <x:c r="W37" s="96" t="str">
        <x:f>IF($A37="","",MAX(0,((T37-V37-(Cadastro!K37*'Parâmetros'!$H$6))*'Parâmetros'!$H$4)-'Parâmetros'!$H$5))</x:f>
      </x:c>
      <x:c r="X37" s="96" t="str">
        <x:f>IF($A37="","",Cadastro!M37)</x:f>
      </x:c>
      <x:c r="Y37" s="96" t="str">
        <x:f>IF($A37="","",Cadastro!N37)</x:f>
      </x:c>
      <x:c r="Z37" s="96" t="str">
        <x:f>IF($A37="","",Cadastro!O37)</x:f>
      </x:c>
      <x:c r="AA37" s="96" t="str">
        <x:f>IF($A37="","",N37+O37+U37+V37+W37+X37+Y37+Z37+L37)</x:f>
      </x:c>
      <x:c r="AB37" s="96" t="str">
        <x:f>IF($A37="","",T37-(U37+V37+W37+X37+Y37+Z37+L37))</x:f>
      </x:c>
      <x:c r="AC37" s="88" t="str">
        <x:f>IF($A37="","",SUMIFS('Importação Contabilidade'!$T$7:$T$500,'Importação Contabilidade'!$A$7:$A$500,'Parâmetros'!$B$4,'Importação Contabilidade'!$B$7:$B$500,$A37))</x:f>
      </x:c>
      <x:c r="AD37" s="88" t="str">
        <x:f>IF($A37="","",SUMIFS('Importação Contabilidade'!$U$7:$U$500,'Importação Contabilidade'!$A$7:$A$500,'Parâmetros'!$B$4,'Importação Contabilidade'!$B$7:$B$500,$A37))</x:f>
      </x:c>
      <x:c r="AE37" s="88" t="str">
        <x:f>IF($A37="","",SUMIFS('Importação Contabilidade'!$V$7:$V$500,'Importação Contabilidade'!$A$7:$A$500,'Parâmetros'!$B$4,'Importação Contabilidade'!$B$7:$B$500,$A37))</x:f>
      </x:c>
      <x:c r="AF37" s="97" t="str">
        <x:f>IF($A37="","",T37-AC37)</x:f>
      </x:c>
      <x:c r="AG37" s="97" t="str">
        <x:f>IF($A37="","",AA37-AD37)</x:f>
      </x:c>
      <x:c r="AH37" s="97" t="str">
        <x:f>IF($A37="","",AB37-AE37)</x:f>
      </x:c>
      <x:c r="AI37" s="98" t="str">
        <x:f>IF($A37="","",IF(COUNTIFS('Importação Contabilidade'!$A$7:$A$500,'Parâmetros'!$B$4,'Importação Contabilidade'!$B$7:$B$500,$A37)=0,"PENDENTE IMPORTAÇÃO",IF(AND(ABS(AF37)&lt;='Parâmetros'!$B$8,ABS(AG37)&lt;='Parâmetros'!$B$8,ABS(AH37)&lt;='Parâmetros'!$B$8),"OK","REVISAR")))</x:f>
      </x:c>
      <x:c r="AJ37" s="98" t="str">
        <x:f>IF($A37="","",IF(AI37="PENDENTE IMPORTAÇÃO","Funcionário/competência não encontrados na Importação Contabilidade",IF(AI37="OK","Sem divergência relevante",IF(ABS(AH37)&gt;=MAX(ABS(AF37),ABS(AG37)),"Revisar salário líquido",IF(ABS(AF37)&gt;=ABS(AG37),"Revisar bruto/proventos","Revisar descontos")))))</x:f>
      </x:c>
    </x:row>
    <x:row r="38">
      <x:c r="A38" s="93" t="str">
        <x:f>IF(Cadastro!A38="","",Cadastro!A38)</x:f>
      </x:c>
      <x:c r="B38" s="93" t="str">
        <x:f>IF(Cadastro!B38="","",Cadastro!B38)</x:f>
      </x:c>
      <x:c r="C38" s="93" t="str">
        <x:f>IF(Cadastro!F38="","",Cadastro!F38)</x:f>
      </x:c>
      <x:c r="D38" s="94" t="str">
        <x:f>IF(Cadastro!I38="","",Cadastro!I38)</x:f>
      </x:c>
      <x:c r="E38" s="95" t="str">
        <x:f>IF($A38="","",SUMIFS('Movimentações'!$D$2:$D$501,'Movimentações'!$A$2:$A$501,'Parâmetros'!$B$4,'Movimentações'!$B$2:$B$501,$A38,'Movimentações'!$C$2:$C$501,"Falta (dias)"))</x:f>
      </x:c>
      <x:c r="F38" s="95" t="str">
        <x:f>IF($A38="","",SUMIFS('Movimentações'!$D$2:$D$501,'Movimentações'!$A$2:$A$501,'Parâmetros'!$B$4,'Movimentações'!$B$2:$B$501,$A38,'Movimentações'!$C$2:$C$501,"HE 50% (horas)"))</x:f>
      </x:c>
      <x:c r="G38" s="95" t="str">
        <x:f>IF($A38="","",SUMIFS('Movimentações'!$D$2:$D$501,'Movimentações'!$A$2:$A$501,'Parâmetros'!$B$4,'Movimentações'!$B$2:$B$501,$A38,'Movimentações'!$C$2:$C$501,"HE 100% (horas)"))</x:f>
      </x:c>
      <x:c r="H38" s="94" t="str">
        <x:f>IF($A38="","",SUMIFS('Movimentações'!$E$2:$E$501,'Movimentações'!$A$2:$A$501,'Parâmetros'!$B$4,'Movimentações'!$B$2:$B$501,$A38,'Movimentações'!$C$2:$C$501,"Comissão"))</x:f>
      </x:c>
      <x:c r="I38" s="94" t="str">
        <x:f>IF($A38="","",SUMIFS('Movimentações'!$E$2:$E$501,'Movimentações'!$A$2:$A$501,'Parâmetros'!$B$4,'Movimentações'!$B$2:$B$501,$A38,'Movimentações'!$C$2:$C$501,"Bônus/Gratificação"))</x:f>
      </x:c>
      <x:c r="J38" s="94" t="str">
        <x:f>IF($A38="","",SUMIFS('Movimentações'!$E$2:$E$501,'Movimentações'!$A$2:$A$501,'Parâmetros'!$B$4,'Movimentações'!$B$2:$B$501,$A38,'Movimentações'!$C$2:$C$501,"Adicional"))</x:f>
      </x:c>
      <x:c r="K38" s="94" t="str">
        <x:f>IF($A38="","",SUMIFS('Movimentações'!$E$2:$E$501,'Movimentações'!$A$2:$A$501,'Parâmetros'!$B$4,'Movimentações'!$B$2:$B$501,$A38,'Movimentações'!$C$2:$C$501,"Crédito Extra"))</x:f>
      </x:c>
      <x:c r="L38" s="94" t="str">
        <x:f>IF($A38="","",SUMIFS('Movimentações'!$E$2:$E$501,'Movimentações'!$A$2:$A$501,'Parâmetros'!$B$4,'Movimentações'!$B$2:$B$501,$A38,'Movimentações'!$C$2:$C$501,"Desconto Extra"))</x:f>
      </x:c>
      <x:c r="M38" s="96" t="str">
        <x:f>IF($A38="","",D38/IF(Cadastro!J38=0,'Parâmetros'!$B$12,Cadastro!J38))</x:f>
      </x:c>
      <x:c r="N38" s="96" t="str">
        <x:f>IF($A38="","",(D38/'Parâmetros'!$B$7)*E38)</x:f>
      </x:c>
      <x:c r="O38" s="96" t="str">
        <x:f>IF($A38="","",IF(E38&gt;0,D38/'Parâmetros'!$B$7,0))</x:f>
      </x:c>
      <x:c r="P38" s="96" t="str">
        <x:f>IF($A38="","",(M38*'Parâmetros'!$B$10)*F38)</x:f>
      </x:c>
      <x:c r="Q38" s="96" t="str">
        <x:f>IF($A38="","",(M38*'Parâmetros'!$B$11)*G38)</x:f>
      </x:c>
      <x:c r="R38" s="96" t="str">
        <x:f>IF($A38="","",((P38+Q38)/'Parâmetros'!$B$5)*'Parâmetros'!$B$6)</x:f>
      </x:c>
      <x:c r="S38" s="96" t="str">
        <x:f>IF($A38="","",(H38/'Parâmetros'!$B$5)*'Parâmetros'!$B$6)</x:f>
      </x:c>
      <x:c r="T38" s="96" t="str">
        <x:f>IF($A38="","",D38-N38-O38+H38+I38+J38+K38+P38+Q38+R38+S38)</x:f>
      </x:c>
      <x:c r="U38" s="96" t="str">
        <x:f>IF($A38="","",MIN(D38*'Parâmetros'!$B$9,Cadastro!L38))</x:f>
      </x:c>
      <x:c r="V38" s="96" t="str">
        <x:f>IF($A38="","",IF(T38&lt;='Parâmetros'!$C$16,T38*'Parâmetros'!$D$16,IF(T38&lt;='Parâmetros'!$C$17,T38*'Parâmetros'!$D$17-'Parâmetros'!$E$17,IF(T38&lt;='Parâmetros'!$C$18,T38*'Parâmetros'!$D$18-'Parâmetros'!$E$18,IF(T38&lt;='Parâmetros'!$C$19,T38*'Parâmetros'!$D$19-'Parâmetros'!$E$19,'Parâmetros'!$C$19*'Parâmetros'!$D$19-'Parâmetros'!$E$19)))))</x:f>
      </x:c>
      <x:c r="W38" s="96" t="str">
        <x:f>IF($A38="","",MAX(0,((T38-V38-(Cadastro!K38*'Parâmetros'!$H$6))*'Parâmetros'!$H$4)-'Parâmetros'!$H$5))</x:f>
      </x:c>
      <x:c r="X38" s="96" t="str">
        <x:f>IF($A38="","",Cadastro!M38)</x:f>
      </x:c>
      <x:c r="Y38" s="96" t="str">
        <x:f>IF($A38="","",Cadastro!N38)</x:f>
      </x:c>
      <x:c r="Z38" s="96" t="str">
        <x:f>IF($A38="","",Cadastro!O38)</x:f>
      </x:c>
      <x:c r="AA38" s="96" t="str">
        <x:f>IF($A38="","",N38+O38+U38+V38+W38+X38+Y38+Z38+L38)</x:f>
      </x:c>
      <x:c r="AB38" s="96" t="str">
        <x:f>IF($A38="","",T38-(U38+V38+W38+X38+Y38+Z38+L38))</x:f>
      </x:c>
      <x:c r="AC38" s="88" t="str">
        <x:f>IF($A38="","",SUMIFS('Importação Contabilidade'!$T$7:$T$500,'Importação Contabilidade'!$A$7:$A$500,'Parâmetros'!$B$4,'Importação Contabilidade'!$B$7:$B$500,$A38))</x:f>
      </x:c>
      <x:c r="AD38" s="88" t="str">
        <x:f>IF($A38="","",SUMIFS('Importação Contabilidade'!$U$7:$U$500,'Importação Contabilidade'!$A$7:$A$500,'Parâmetros'!$B$4,'Importação Contabilidade'!$B$7:$B$500,$A38))</x:f>
      </x:c>
      <x:c r="AE38" s="88" t="str">
        <x:f>IF($A38="","",SUMIFS('Importação Contabilidade'!$V$7:$V$500,'Importação Contabilidade'!$A$7:$A$500,'Parâmetros'!$B$4,'Importação Contabilidade'!$B$7:$B$500,$A38))</x:f>
      </x:c>
      <x:c r="AF38" s="97" t="str">
        <x:f>IF($A38="","",T38-AC38)</x:f>
      </x:c>
      <x:c r="AG38" s="97" t="str">
        <x:f>IF($A38="","",AA38-AD38)</x:f>
      </x:c>
      <x:c r="AH38" s="97" t="str">
        <x:f>IF($A38="","",AB38-AE38)</x:f>
      </x:c>
      <x:c r="AI38" s="98" t="str">
        <x:f>IF($A38="","",IF(COUNTIFS('Importação Contabilidade'!$A$7:$A$500,'Parâmetros'!$B$4,'Importação Contabilidade'!$B$7:$B$500,$A38)=0,"PENDENTE IMPORTAÇÃO",IF(AND(ABS(AF38)&lt;='Parâmetros'!$B$8,ABS(AG38)&lt;='Parâmetros'!$B$8,ABS(AH38)&lt;='Parâmetros'!$B$8),"OK","REVISAR")))</x:f>
      </x:c>
      <x:c r="AJ38" s="98" t="str">
        <x:f>IF($A38="","",IF(AI38="PENDENTE IMPORTAÇÃO","Funcionário/competência não encontrados na Importação Contabilidade",IF(AI38="OK","Sem divergência relevante",IF(ABS(AH38)&gt;=MAX(ABS(AF38),ABS(AG38)),"Revisar salário líquido",IF(ABS(AF38)&gt;=ABS(AG38),"Revisar bruto/proventos","Revisar descontos")))))</x:f>
      </x:c>
    </x:row>
    <x:row r="39">
      <x:c r="A39" s="93" t="str">
        <x:f>IF(Cadastro!A39="","",Cadastro!A39)</x:f>
      </x:c>
      <x:c r="B39" s="93" t="str">
        <x:f>IF(Cadastro!B39="","",Cadastro!B39)</x:f>
      </x:c>
      <x:c r="C39" s="93" t="str">
        <x:f>IF(Cadastro!F39="","",Cadastro!F39)</x:f>
      </x:c>
      <x:c r="D39" s="94" t="str">
        <x:f>IF(Cadastro!I39="","",Cadastro!I39)</x:f>
      </x:c>
      <x:c r="E39" s="95" t="str">
        <x:f>IF($A39="","",SUMIFS('Movimentações'!$D$2:$D$501,'Movimentações'!$A$2:$A$501,'Parâmetros'!$B$4,'Movimentações'!$B$2:$B$501,$A39,'Movimentações'!$C$2:$C$501,"Falta (dias)"))</x:f>
      </x:c>
      <x:c r="F39" s="95" t="str">
        <x:f>IF($A39="","",SUMIFS('Movimentações'!$D$2:$D$501,'Movimentações'!$A$2:$A$501,'Parâmetros'!$B$4,'Movimentações'!$B$2:$B$501,$A39,'Movimentações'!$C$2:$C$501,"HE 50% (horas)"))</x:f>
      </x:c>
      <x:c r="G39" s="95" t="str">
        <x:f>IF($A39="","",SUMIFS('Movimentações'!$D$2:$D$501,'Movimentações'!$A$2:$A$501,'Parâmetros'!$B$4,'Movimentações'!$B$2:$B$501,$A39,'Movimentações'!$C$2:$C$501,"HE 100% (horas)"))</x:f>
      </x:c>
      <x:c r="H39" s="94" t="str">
        <x:f>IF($A39="","",SUMIFS('Movimentações'!$E$2:$E$501,'Movimentações'!$A$2:$A$501,'Parâmetros'!$B$4,'Movimentações'!$B$2:$B$501,$A39,'Movimentações'!$C$2:$C$501,"Comissão"))</x:f>
      </x:c>
      <x:c r="I39" s="94" t="str">
        <x:f>IF($A39="","",SUMIFS('Movimentações'!$E$2:$E$501,'Movimentações'!$A$2:$A$501,'Parâmetros'!$B$4,'Movimentações'!$B$2:$B$501,$A39,'Movimentações'!$C$2:$C$501,"Bônus/Gratificação"))</x:f>
      </x:c>
      <x:c r="J39" s="94" t="str">
        <x:f>IF($A39="","",SUMIFS('Movimentações'!$E$2:$E$501,'Movimentações'!$A$2:$A$501,'Parâmetros'!$B$4,'Movimentações'!$B$2:$B$501,$A39,'Movimentações'!$C$2:$C$501,"Adicional"))</x:f>
      </x:c>
      <x:c r="K39" s="94" t="str">
        <x:f>IF($A39="","",SUMIFS('Movimentações'!$E$2:$E$501,'Movimentações'!$A$2:$A$501,'Parâmetros'!$B$4,'Movimentações'!$B$2:$B$501,$A39,'Movimentações'!$C$2:$C$501,"Crédito Extra"))</x:f>
      </x:c>
      <x:c r="L39" s="94" t="str">
        <x:f>IF($A39="","",SUMIFS('Movimentações'!$E$2:$E$501,'Movimentações'!$A$2:$A$501,'Parâmetros'!$B$4,'Movimentações'!$B$2:$B$501,$A39,'Movimentações'!$C$2:$C$501,"Desconto Extra"))</x:f>
      </x:c>
      <x:c r="M39" s="96" t="str">
        <x:f>IF($A39="","",D39/IF(Cadastro!J39=0,'Parâmetros'!$B$12,Cadastro!J39))</x:f>
      </x:c>
      <x:c r="N39" s="96" t="str">
        <x:f>IF($A39="","",(D39/'Parâmetros'!$B$7)*E39)</x:f>
      </x:c>
      <x:c r="O39" s="96" t="str">
        <x:f>IF($A39="","",IF(E39&gt;0,D39/'Parâmetros'!$B$7,0))</x:f>
      </x:c>
      <x:c r="P39" s="96" t="str">
        <x:f>IF($A39="","",(M39*'Parâmetros'!$B$10)*F39)</x:f>
      </x:c>
      <x:c r="Q39" s="96" t="str">
        <x:f>IF($A39="","",(M39*'Parâmetros'!$B$11)*G39)</x:f>
      </x:c>
      <x:c r="R39" s="96" t="str">
        <x:f>IF($A39="","",((P39+Q39)/'Parâmetros'!$B$5)*'Parâmetros'!$B$6)</x:f>
      </x:c>
      <x:c r="S39" s="96" t="str">
        <x:f>IF($A39="","",(H39/'Parâmetros'!$B$5)*'Parâmetros'!$B$6)</x:f>
      </x:c>
      <x:c r="T39" s="96" t="str">
        <x:f>IF($A39="","",D39-N39-O39+H39+I39+J39+K39+P39+Q39+R39+S39)</x:f>
      </x:c>
      <x:c r="U39" s="96" t="str">
        <x:f>IF($A39="","",MIN(D39*'Parâmetros'!$B$9,Cadastro!L39))</x:f>
      </x:c>
      <x:c r="V39" s="96" t="str">
        <x:f>IF($A39="","",IF(T39&lt;='Parâmetros'!$C$16,T39*'Parâmetros'!$D$16,IF(T39&lt;='Parâmetros'!$C$17,T39*'Parâmetros'!$D$17-'Parâmetros'!$E$17,IF(T39&lt;='Parâmetros'!$C$18,T39*'Parâmetros'!$D$18-'Parâmetros'!$E$18,IF(T39&lt;='Parâmetros'!$C$19,T39*'Parâmetros'!$D$19-'Parâmetros'!$E$19,'Parâmetros'!$C$19*'Parâmetros'!$D$19-'Parâmetros'!$E$19)))))</x:f>
      </x:c>
      <x:c r="W39" s="96" t="str">
        <x:f>IF($A39="","",MAX(0,((T39-V39-(Cadastro!K39*'Parâmetros'!$H$6))*'Parâmetros'!$H$4)-'Parâmetros'!$H$5))</x:f>
      </x:c>
      <x:c r="X39" s="96" t="str">
        <x:f>IF($A39="","",Cadastro!M39)</x:f>
      </x:c>
      <x:c r="Y39" s="96" t="str">
        <x:f>IF($A39="","",Cadastro!N39)</x:f>
      </x:c>
      <x:c r="Z39" s="96" t="str">
        <x:f>IF($A39="","",Cadastro!O39)</x:f>
      </x:c>
      <x:c r="AA39" s="96" t="str">
        <x:f>IF($A39="","",N39+O39+U39+V39+W39+X39+Y39+Z39+L39)</x:f>
      </x:c>
      <x:c r="AB39" s="96" t="str">
        <x:f>IF($A39="","",T39-(U39+V39+W39+X39+Y39+Z39+L39))</x:f>
      </x:c>
      <x:c r="AC39" s="88" t="str">
        <x:f>IF($A39="","",SUMIFS('Importação Contabilidade'!$T$7:$T$500,'Importação Contabilidade'!$A$7:$A$500,'Parâmetros'!$B$4,'Importação Contabilidade'!$B$7:$B$500,$A39))</x:f>
      </x:c>
      <x:c r="AD39" s="88" t="str">
        <x:f>IF($A39="","",SUMIFS('Importação Contabilidade'!$U$7:$U$500,'Importação Contabilidade'!$A$7:$A$500,'Parâmetros'!$B$4,'Importação Contabilidade'!$B$7:$B$500,$A39))</x:f>
      </x:c>
      <x:c r="AE39" s="88" t="str">
        <x:f>IF($A39="","",SUMIFS('Importação Contabilidade'!$V$7:$V$500,'Importação Contabilidade'!$A$7:$A$500,'Parâmetros'!$B$4,'Importação Contabilidade'!$B$7:$B$500,$A39))</x:f>
      </x:c>
      <x:c r="AF39" s="97" t="str">
        <x:f>IF($A39="","",T39-AC39)</x:f>
      </x:c>
      <x:c r="AG39" s="97" t="str">
        <x:f>IF($A39="","",AA39-AD39)</x:f>
      </x:c>
      <x:c r="AH39" s="97" t="str">
        <x:f>IF($A39="","",AB39-AE39)</x:f>
      </x:c>
      <x:c r="AI39" s="98" t="str">
        <x:f>IF($A39="","",IF(COUNTIFS('Importação Contabilidade'!$A$7:$A$500,'Parâmetros'!$B$4,'Importação Contabilidade'!$B$7:$B$500,$A39)=0,"PENDENTE IMPORTAÇÃO",IF(AND(ABS(AF39)&lt;='Parâmetros'!$B$8,ABS(AG39)&lt;='Parâmetros'!$B$8,ABS(AH39)&lt;='Parâmetros'!$B$8),"OK","REVISAR")))</x:f>
      </x:c>
      <x:c r="AJ39" s="98" t="str">
        <x:f>IF($A39="","",IF(AI39="PENDENTE IMPORTAÇÃO","Funcionário/competência não encontrados na Importação Contabilidade",IF(AI39="OK","Sem divergência relevante",IF(ABS(AH39)&gt;=MAX(ABS(AF39),ABS(AG39)),"Revisar salário líquido",IF(ABS(AF39)&gt;=ABS(AG39),"Revisar bruto/proventos","Revisar descontos")))))</x:f>
      </x:c>
    </x:row>
    <x:row r="40">
      <x:c r="A40" s="93" t="str">
        <x:f>IF(Cadastro!A40="","",Cadastro!A40)</x:f>
      </x:c>
      <x:c r="B40" s="93" t="str">
        <x:f>IF(Cadastro!B40="","",Cadastro!B40)</x:f>
      </x:c>
      <x:c r="C40" s="93" t="str">
        <x:f>IF(Cadastro!F40="","",Cadastro!F40)</x:f>
      </x:c>
      <x:c r="D40" s="94" t="str">
        <x:f>IF(Cadastro!I40="","",Cadastro!I40)</x:f>
      </x:c>
      <x:c r="E40" s="95" t="str">
        <x:f>IF($A40="","",SUMIFS('Movimentações'!$D$2:$D$501,'Movimentações'!$A$2:$A$501,'Parâmetros'!$B$4,'Movimentações'!$B$2:$B$501,$A40,'Movimentações'!$C$2:$C$501,"Falta (dias)"))</x:f>
      </x:c>
      <x:c r="F40" s="95" t="str">
        <x:f>IF($A40="","",SUMIFS('Movimentações'!$D$2:$D$501,'Movimentações'!$A$2:$A$501,'Parâmetros'!$B$4,'Movimentações'!$B$2:$B$501,$A40,'Movimentações'!$C$2:$C$501,"HE 50% (horas)"))</x:f>
      </x:c>
      <x:c r="G40" s="95" t="str">
        <x:f>IF($A40="","",SUMIFS('Movimentações'!$D$2:$D$501,'Movimentações'!$A$2:$A$501,'Parâmetros'!$B$4,'Movimentações'!$B$2:$B$501,$A40,'Movimentações'!$C$2:$C$501,"HE 100% (horas)"))</x:f>
      </x:c>
      <x:c r="H40" s="94" t="str">
        <x:f>IF($A40="","",SUMIFS('Movimentações'!$E$2:$E$501,'Movimentações'!$A$2:$A$501,'Parâmetros'!$B$4,'Movimentações'!$B$2:$B$501,$A40,'Movimentações'!$C$2:$C$501,"Comissão"))</x:f>
      </x:c>
      <x:c r="I40" s="94" t="str">
        <x:f>IF($A40="","",SUMIFS('Movimentações'!$E$2:$E$501,'Movimentações'!$A$2:$A$501,'Parâmetros'!$B$4,'Movimentações'!$B$2:$B$501,$A40,'Movimentações'!$C$2:$C$501,"Bônus/Gratificação"))</x:f>
      </x:c>
      <x:c r="J40" s="94" t="str">
        <x:f>IF($A40="","",SUMIFS('Movimentações'!$E$2:$E$501,'Movimentações'!$A$2:$A$501,'Parâmetros'!$B$4,'Movimentações'!$B$2:$B$501,$A40,'Movimentações'!$C$2:$C$501,"Adicional"))</x:f>
      </x:c>
      <x:c r="K40" s="94" t="str">
        <x:f>IF($A40="","",SUMIFS('Movimentações'!$E$2:$E$501,'Movimentações'!$A$2:$A$501,'Parâmetros'!$B$4,'Movimentações'!$B$2:$B$501,$A40,'Movimentações'!$C$2:$C$501,"Crédito Extra"))</x:f>
      </x:c>
      <x:c r="L40" s="94" t="str">
        <x:f>IF($A40="","",SUMIFS('Movimentações'!$E$2:$E$501,'Movimentações'!$A$2:$A$501,'Parâmetros'!$B$4,'Movimentações'!$B$2:$B$501,$A40,'Movimentações'!$C$2:$C$501,"Desconto Extra"))</x:f>
      </x:c>
      <x:c r="M40" s="96" t="str">
        <x:f>IF($A40="","",D40/IF(Cadastro!J40=0,'Parâmetros'!$B$12,Cadastro!J40))</x:f>
      </x:c>
      <x:c r="N40" s="96" t="str">
        <x:f>IF($A40="","",(D40/'Parâmetros'!$B$7)*E40)</x:f>
      </x:c>
      <x:c r="O40" s="96" t="str">
        <x:f>IF($A40="","",IF(E40&gt;0,D40/'Parâmetros'!$B$7,0))</x:f>
      </x:c>
      <x:c r="P40" s="96" t="str">
        <x:f>IF($A40="","",(M40*'Parâmetros'!$B$10)*F40)</x:f>
      </x:c>
      <x:c r="Q40" s="96" t="str">
        <x:f>IF($A40="","",(M40*'Parâmetros'!$B$11)*G40)</x:f>
      </x:c>
      <x:c r="R40" s="96" t="str">
        <x:f>IF($A40="","",((P40+Q40)/'Parâmetros'!$B$5)*'Parâmetros'!$B$6)</x:f>
      </x:c>
      <x:c r="S40" s="96" t="str">
        <x:f>IF($A40="","",(H40/'Parâmetros'!$B$5)*'Parâmetros'!$B$6)</x:f>
      </x:c>
      <x:c r="T40" s="96" t="str">
        <x:f>IF($A40="","",D40-N40-O40+H40+I40+J40+K40+P40+Q40+R40+S40)</x:f>
      </x:c>
      <x:c r="U40" s="96" t="str">
        <x:f>IF($A40="","",MIN(D40*'Parâmetros'!$B$9,Cadastro!L40))</x:f>
      </x:c>
      <x:c r="V40" s="96" t="str">
        <x:f>IF($A40="","",IF(T40&lt;='Parâmetros'!$C$16,T40*'Parâmetros'!$D$16,IF(T40&lt;='Parâmetros'!$C$17,T40*'Parâmetros'!$D$17-'Parâmetros'!$E$17,IF(T40&lt;='Parâmetros'!$C$18,T40*'Parâmetros'!$D$18-'Parâmetros'!$E$18,IF(T40&lt;='Parâmetros'!$C$19,T40*'Parâmetros'!$D$19-'Parâmetros'!$E$19,'Parâmetros'!$C$19*'Parâmetros'!$D$19-'Parâmetros'!$E$19)))))</x:f>
      </x:c>
      <x:c r="W40" s="96" t="str">
        <x:f>IF($A40="","",MAX(0,((T40-V40-(Cadastro!K40*'Parâmetros'!$H$6))*'Parâmetros'!$H$4)-'Parâmetros'!$H$5))</x:f>
      </x:c>
      <x:c r="X40" s="96" t="str">
        <x:f>IF($A40="","",Cadastro!M40)</x:f>
      </x:c>
      <x:c r="Y40" s="96" t="str">
        <x:f>IF($A40="","",Cadastro!N40)</x:f>
      </x:c>
      <x:c r="Z40" s="96" t="str">
        <x:f>IF($A40="","",Cadastro!O40)</x:f>
      </x:c>
      <x:c r="AA40" s="96" t="str">
        <x:f>IF($A40="","",N40+O40+U40+V40+W40+X40+Y40+Z40+L40)</x:f>
      </x:c>
      <x:c r="AB40" s="96" t="str">
        <x:f>IF($A40="","",T40-(U40+V40+W40+X40+Y40+Z40+L40))</x:f>
      </x:c>
      <x:c r="AC40" s="88" t="str">
        <x:f>IF($A40="","",SUMIFS('Importação Contabilidade'!$T$7:$T$500,'Importação Contabilidade'!$A$7:$A$500,'Parâmetros'!$B$4,'Importação Contabilidade'!$B$7:$B$500,$A40))</x:f>
      </x:c>
      <x:c r="AD40" s="88" t="str">
        <x:f>IF($A40="","",SUMIFS('Importação Contabilidade'!$U$7:$U$500,'Importação Contabilidade'!$A$7:$A$500,'Parâmetros'!$B$4,'Importação Contabilidade'!$B$7:$B$500,$A40))</x:f>
      </x:c>
      <x:c r="AE40" s="88" t="str">
        <x:f>IF($A40="","",SUMIFS('Importação Contabilidade'!$V$7:$V$500,'Importação Contabilidade'!$A$7:$A$500,'Parâmetros'!$B$4,'Importação Contabilidade'!$B$7:$B$500,$A40))</x:f>
      </x:c>
      <x:c r="AF40" s="97" t="str">
        <x:f>IF($A40="","",T40-AC40)</x:f>
      </x:c>
      <x:c r="AG40" s="97" t="str">
        <x:f>IF($A40="","",AA40-AD40)</x:f>
      </x:c>
      <x:c r="AH40" s="97" t="str">
        <x:f>IF($A40="","",AB40-AE40)</x:f>
      </x:c>
      <x:c r="AI40" s="98" t="str">
        <x:f>IF($A40="","",IF(COUNTIFS('Importação Contabilidade'!$A$7:$A$500,'Parâmetros'!$B$4,'Importação Contabilidade'!$B$7:$B$500,$A40)=0,"PENDENTE IMPORTAÇÃO",IF(AND(ABS(AF40)&lt;='Parâmetros'!$B$8,ABS(AG40)&lt;='Parâmetros'!$B$8,ABS(AH40)&lt;='Parâmetros'!$B$8),"OK","REVISAR")))</x:f>
      </x:c>
      <x:c r="AJ40" s="98" t="str">
        <x:f>IF($A40="","",IF(AI40="PENDENTE IMPORTAÇÃO","Funcionário/competência não encontrados na Importação Contabilidade",IF(AI40="OK","Sem divergência relevante",IF(ABS(AH40)&gt;=MAX(ABS(AF40),ABS(AG40)),"Revisar salário líquido",IF(ABS(AF40)&gt;=ABS(AG40),"Revisar bruto/proventos","Revisar descontos")))))</x:f>
      </x:c>
    </x:row>
    <x:row r="41">
      <x:c r="A41" s="93" t="str">
        <x:f>IF(Cadastro!A41="","",Cadastro!A41)</x:f>
      </x:c>
      <x:c r="B41" s="93" t="str">
        <x:f>IF(Cadastro!B41="","",Cadastro!B41)</x:f>
      </x:c>
      <x:c r="C41" s="93" t="str">
        <x:f>IF(Cadastro!F41="","",Cadastro!F41)</x:f>
      </x:c>
      <x:c r="D41" s="94" t="str">
        <x:f>IF(Cadastro!I41="","",Cadastro!I41)</x:f>
      </x:c>
      <x:c r="E41" s="95" t="str">
        <x:f>IF($A41="","",SUMIFS('Movimentações'!$D$2:$D$501,'Movimentações'!$A$2:$A$501,'Parâmetros'!$B$4,'Movimentações'!$B$2:$B$501,$A41,'Movimentações'!$C$2:$C$501,"Falta (dias)"))</x:f>
      </x:c>
      <x:c r="F41" s="95" t="str">
        <x:f>IF($A41="","",SUMIFS('Movimentações'!$D$2:$D$501,'Movimentações'!$A$2:$A$501,'Parâmetros'!$B$4,'Movimentações'!$B$2:$B$501,$A41,'Movimentações'!$C$2:$C$501,"HE 50% (horas)"))</x:f>
      </x:c>
      <x:c r="G41" s="95" t="str">
        <x:f>IF($A41="","",SUMIFS('Movimentações'!$D$2:$D$501,'Movimentações'!$A$2:$A$501,'Parâmetros'!$B$4,'Movimentações'!$B$2:$B$501,$A41,'Movimentações'!$C$2:$C$501,"HE 100% (horas)"))</x:f>
      </x:c>
      <x:c r="H41" s="94" t="str">
        <x:f>IF($A41="","",SUMIFS('Movimentações'!$E$2:$E$501,'Movimentações'!$A$2:$A$501,'Parâmetros'!$B$4,'Movimentações'!$B$2:$B$501,$A41,'Movimentações'!$C$2:$C$501,"Comissão"))</x:f>
      </x:c>
      <x:c r="I41" s="94" t="str">
        <x:f>IF($A41="","",SUMIFS('Movimentações'!$E$2:$E$501,'Movimentações'!$A$2:$A$501,'Parâmetros'!$B$4,'Movimentações'!$B$2:$B$501,$A41,'Movimentações'!$C$2:$C$501,"Bônus/Gratificação"))</x:f>
      </x:c>
      <x:c r="J41" s="94" t="str">
        <x:f>IF($A41="","",SUMIFS('Movimentações'!$E$2:$E$501,'Movimentações'!$A$2:$A$501,'Parâmetros'!$B$4,'Movimentações'!$B$2:$B$501,$A41,'Movimentações'!$C$2:$C$501,"Adicional"))</x:f>
      </x:c>
      <x:c r="K41" s="94" t="str">
        <x:f>IF($A41="","",SUMIFS('Movimentações'!$E$2:$E$501,'Movimentações'!$A$2:$A$501,'Parâmetros'!$B$4,'Movimentações'!$B$2:$B$501,$A41,'Movimentações'!$C$2:$C$501,"Crédito Extra"))</x:f>
      </x:c>
      <x:c r="L41" s="94" t="str">
        <x:f>IF($A41="","",SUMIFS('Movimentações'!$E$2:$E$501,'Movimentações'!$A$2:$A$501,'Parâmetros'!$B$4,'Movimentações'!$B$2:$B$501,$A41,'Movimentações'!$C$2:$C$501,"Desconto Extra"))</x:f>
      </x:c>
      <x:c r="M41" s="96" t="str">
        <x:f>IF($A41="","",D41/IF(Cadastro!J41=0,'Parâmetros'!$B$12,Cadastro!J41))</x:f>
      </x:c>
      <x:c r="N41" s="96" t="str">
        <x:f>IF($A41="","",(D41/'Parâmetros'!$B$7)*E41)</x:f>
      </x:c>
      <x:c r="O41" s="96" t="str">
        <x:f>IF($A41="","",IF(E41&gt;0,D41/'Parâmetros'!$B$7,0))</x:f>
      </x:c>
      <x:c r="P41" s="96" t="str">
        <x:f>IF($A41="","",(M41*'Parâmetros'!$B$10)*F41)</x:f>
      </x:c>
      <x:c r="Q41" s="96" t="str">
        <x:f>IF($A41="","",(M41*'Parâmetros'!$B$11)*G41)</x:f>
      </x:c>
      <x:c r="R41" s="96" t="str">
        <x:f>IF($A41="","",((P41+Q41)/'Parâmetros'!$B$5)*'Parâmetros'!$B$6)</x:f>
      </x:c>
      <x:c r="S41" s="96" t="str">
        <x:f>IF($A41="","",(H41/'Parâmetros'!$B$5)*'Parâmetros'!$B$6)</x:f>
      </x:c>
      <x:c r="T41" s="96" t="str">
        <x:f>IF($A41="","",D41-N41-O41+H41+I41+J41+K41+P41+Q41+R41+S41)</x:f>
      </x:c>
      <x:c r="U41" s="96" t="str">
        <x:f>IF($A41="","",MIN(D41*'Parâmetros'!$B$9,Cadastro!L41))</x:f>
      </x:c>
      <x:c r="V41" s="96" t="str">
        <x:f>IF($A41="","",IF(T41&lt;='Parâmetros'!$C$16,T41*'Parâmetros'!$D$16,IF(T41&lt;='Parâmetros'!$C$17,T41*'Parâmetros'!$D$17-'Parâmetros'!$E$17,IF(T41&lt;='Parâmetros'!$C$18,T41*'Parâmetros'!$D$18-'Parâmetros'!$E$18,IF(T41&lt;='Parâmetros'!$C$19,T41*'Parâmetros'!$D$19-'Parâmetros'!$E$19,'Parâmetros'!$C$19*'Parâmetros'!$D$19-'Parâmetros'!$E$19)))))</x:f>
      </x:c>
      <x:c r="W41" s="96" t="str">
        <x:f>IF($A41="","",MAX(0,((T41-V41-(Cadastro!K41*'Parâmetros'!$H$6))*'Parâmetros'!$H$4)-'Parâmetros'!$H$5))</x:f>
      </x:c>
      <x:c r="X41" s="96" t="str">
        <x:f>IF($A41="","",Cadastro!M41)</x:f>
      </x:c>
      <x:c r="Y41" s="96" t="str">
        <x:f>IF($A41="","",Cadastro!N41)</x:f>
      </x:c>
      <x:c r="Z41" s="96" t="str">
        <x:f>IF($A41="","",Cadastro!O41)</x:f>
      </x:c>
      <x:c r="AA41" s="96" t="str">
        <x:f>IF($A41="","",N41+O41+U41+V41+W41+X41+Y41+Z41+L41)</x:f>
      </x:c>
      <x:c r="AB41" s="96" t="str">
        <x:f>IF($A41="","",T41-(U41+V41+W41+X41+Y41+Z41+L41))</x:f>
      </x:c>
      <x:c r="AC41" s="88" t="str">
        <x:f>IF($A41="","",SUMIFS('Importação Contabilidade'!$T$7:$T$500,'Importação Contabilidade'!$A$7:$A$500,'Parâmetros'!$B$4,'Importação Contabilidade'!$B$7:$B$500,$A41))</x:f>
      </x:c>
      <x:c r="AD41" s="88" t="str">
        <x:f>IF($A41="","",SUMIFS('Importação Contabilidade'!$U$7:$U$500,'Importação Contabilidade'!$A$7:$A$500,'Parâmetros'!$B$4,'Importação Contabilidade'!$B$7:$B$500,$A41))</x:f>
      </x:c>
      <x:c r="AE41" s="88" t="str">
        <x:f>IF($A41="","",SUMIFS('Importação Contabilidade'!$V$7:$V$500,'Importação Contabilidade'!$A$7:$A$500,'Parâmetros'!$B$4,'Importação Contabilidade'!$B$7:$B$500,$A41))</x:f>
      </x:c>
      <x:c r="AF41" s="97" t="str">
        <x:f>IF($A41="","",T41-AC41)</x:f>
      </x:c>
      <x:c r="AG41" s="97" t="str">
        <x:f>IF($A41="","",AA41-AD41)</x:f>
      </x:c>
      <x:c r="AH41" s="97" t="str">
        <x:f>IF($A41="","",AB41-AE41)</x:f>
      </x:c>
      <x:c r="AI41" s="98" t="str">
        <x:f>IF($A41="","",IF(COUNTIFS('Importação Contabilidade'!$A$7:$A$500,'Parâmetros'!$B$4,'Importação Contabilidade'!$B$7:$B$500,$A41)=0,"PENDENTE IMPORTAÇÃO",IF(AND(ABS(AF41)&lt;='Parâmetros'!$B$8,ABS(AG41)&lt;='Parâmetros'!$B$8,ABS(AH41)&lt;='Parâmetros'!$B$8),"OK","REVISAR")))</x:f>
      </x:c>
      <x:c r="AJ41" s="98" t="str">
        <x:f>IF($A41="","",IF(AI41="PENDENTE IMPORTAÇÃO","Funcionário/competência não encontrados na Importação Contabilidade",IF(AI41="OK","Sem divergência relevante",IF(ABS(AH41)&gt;=MAX(ABS(AF41),ABS(AG41)),"Revisar salário líquido",IF(ABS(AF41)&gt;=ABS(AG41),"Revisar bruto/proventos","Revisar descontos")))))</x:f>
      </x:c>
    </x:row>
    <x:row r="42">
      <x:c r="A42" s="93" t="str">
        <x:f>IF(Cadastro!A42="","",Cadastro!A42)</x:f>
      </x:c>
      <x:c r="B42" s="93" t="str">
        <x:f>IF(Cadastro!B42="","",Cadastro!B42)</x:f>
      </x:c>
      <x:c r="C42" s="93" t="str">
        <x:f>IF(Cadastro!F42="","",Cadastro!F42)</x:f>
      </x:c>
      <x:c r="D42" s="94" t="str">
        <x:f>IF(Cadastro!I42="","",Cadastro!I42)</x:f>
      </x:c>
      <x:c r="E42" s="95" t="str">
        <x:f>IF($A42="","",SUMIFS('Movimentações'!$D$2:$D$501,'Movimentações'!$A$2:$A$501,'Parâmetros'!$B$4,'Movimentações'!$B$2:$B$501,$A42,'Movimentações'!$C$2:$C$501,"Falta (dias)"))</x:f>
      </x:c>
      <x:c r="F42" s="95" t="str">
        <x:f>IF($A42="","",SUMIFS('Movimentações'!$D$2:$D$501,'Movimentações'!$A$2:$A$501,'Parâmetros'!$B$4,'Movimentações'!$B$2:$B$501,$A42,'Movimentações'!$C$2:$C$501,"HE 50% (horas)"))</x:f>
      </x:c>
      <x:c r="G42" s="95" t="str">
        <x:f>IF($A42="","",SUMIFS('Movimentações'!$D$2:$D$501,'Movimentações'!$A$2:$A$501,'Parâmetros'!$B$4,'Movimentações'!$B$2:$B$501,$A42,'Movimentações'!$C$2:$C$501,"HE 100% (horas)"))</x:f>
      </x:c>
      <x:c r="H42" s="94" t="str">
        <x:f>IF($A42="","",SUMIFS('Movimentações'!$E$2:$E$501,'Movimentações'!$A$2:$A$501,'Parâmetros'!$B$4,'Movimentações'!$B$2:$B$501,$A42,'Movimentações'!$C$2:$C$501,"Comissão"))</x:f>
      </x:c>
      <x:c r="I42" s="94" t="str">
        <x:f>IF($A42="","",SUMIFS('Movimentações'!$E$2:$E$501,'Movimentações'!$A$2:$A$501,'Parâmetros'!$B$4,'Movimentações'!$B$2:$B$501,$A42,'Movimentações'!$C$2:$C$501,"Bônus/Gratificação"))</x:f>
      </x:c>
      <x:c r="J42" s="94" t="str">
        <x:f>IF($A42="","",SUMIFS('Movimentações'!$E$2:$E$501,'Movimentações'!$A$2:$A$501,'Parâmetros'!$B$4,'Movimentações'!$B$2:$B$501,$A42,'Movimentações'!$C$2:$C$501,"Adicional"))</x:f>
      </x:c>
      <x:c r="K42" s="94" t="str">
        <x:f>IF($A42="","",SUMIFS('Movimentações'!$E$2:$E$501,'Movimentações'!$A$2:$A$501,'Parâmetros'!$B$4,'Movimentações'!$B$2:$B$501,$A42,'Movimentações'!$C$2:$C$501,"Crédito Extra"))</x:f>
      </x:c>
      <x:c r="L42" s="94" t="str">
        <x:f>IF($A42="","",SUMIFS('Movimentações'!$E$2:$E$501,'Movimentações'!$A$2:$A$501,'Parâmetros'!$B$4,'Movimentações'!$B$2:$B$501,$A42,'Movimentações'!$C$2:$C$501,"Desconto Extra"))</x:f>
      </x:c>
      <x:c r="M42" s="96" t="str">
        <x:f>IF($A42="","",D42/IF(Cadastro!J42=0,'Parâmetros'!$B$12,Cadastro!J42))</x:f>
      </x:c>
      <x:c r="N42" s="96" t="str">
        <x:f>IF($A42="","",(D42/'Parâmetros'!$B$7)*E42)</x:f>
      </x:c>
      <x:c r="O42" s="96" t="str">
        <x:f>IF($A42="","",IF(E42&gt;0,D42/'Parâmetros'!$B$7,0))</x:f>
      </x:c>
      <x:c r="P42" s="96" t="str">
        <x:f>IF($A42="","",(M42*'Parâmetros'!$B$10)*F42)</x:f>
      </x:c>
      <x:c r="Q42" s="96" t="str">
        <x:f>IF($A42="","",(M42*'Parâmetros'!$B$11)*G42)</x:f>
      </x:c>
      <x:c r="R42" s="96" t="str">
        <x:f>IF($A42="","",((P42+Q42)/'Parâmetros'!$B$5)*'Parâmetros'!$B$6)</x:f>
      </x:c>
      <x:c r="S42" s="96" t="str">
        <x:f>IF($A42="","",(H42/'Parâmetros'!$B$5)*'Parâmetros'!$B$6)</x:f>
      </x:c>
      <x:c r="T42" s="96" t="str">
        <x:f>IF($A42="","",D42-N42-O42+H42+I42+J42+K42+P42+Q42+R42+S42)</x:f>
      </x:c>
      <x:c r="U42" s="96" t="str">
        <x:f>IF($A42="","",MIN(D42*'Parâmetros'!$B$9,Cadastro!L42))</x:f>
      </x:c>
      <x:c r="V42" s="96" t="str">
        <x:f>IF($A42="","",IF(T42&lt;='Parâmetros'!$C$16,T42*'Parâmetros'!$D$16,IF(T42&lt;='Parâmetros'!$C$17,T42*'Parâmetros'!$D$17-'Parâmetros'!$E$17,IF(T42&lt;='Parâmetros'!$C$18,T42*'Parâmetros'!$D$18-'Parâmetros'!$E$18,IF(T42&lt;='Parâmetros'!$C$19,T42*'Parâmetros'!$D$19-'Parâmetros'!$E$19,'Parâmetros'!$C$19*'Parâmetros'!$D$19-'Parâmetros'!$E$19)))))</x:f>
      </x:c>
      <x:c r="W42" s="96" t="str">
        <x:f>IF($A42="","",MAX(0,((T42-V42-(Cadastro!K42*'Parâmetros'!$H$6))*'Parâmetros'!$H$4)-'Parâmetros'!$H$5))</x:f>
      </x:c>
      <x:c r="X42" s="96" t="str">
        <x:f>IF($A42="","",Cadastro!M42)</x:f>
      </x:c>
      <x:c r="Y42" s="96" t="str">
        <x:f>IF($A42="","",Cadastro!N42)</x:f>
      </x:c>
      <x:c r="Z42" s="96" t="str">
        <x:f>IF($A42="","",Cadastro!O42)</x:f>
      </x:c>
      <x:c r="AA42" s="96" t="str">
        <x:f>IF($A42="","",N42+O42+U42+V42+W42+X42+Y42+Z42+L42)</x:f>
      </x:c>
      <x:c r="AB42" s="96" t="str">
        <x:f>IF($A42="","",T42-(U42+V42+W42+X42+Y42+Z42+L42))</x:f>
      </x:c>
      <x:c r="AC42" s="88" t="str">
        <x:f>IF($A42="","",SUMIFS('Importação Contabilidade'!$T$7:$T$500,'Importação Contabilidade'!$A$7:$A$500,'Parâmetros'!$B$4,'Importação Contabilidade'!$B$7:$B$500,$A42))</x:f>
      </x:c>
      <x:c r="AD42" s="88" t="str">
        <x:f>IF($A42="","",SUMIFS('Importação Contabilidade'!$U$7:$U$500,'Importação Contabilidade'!$A$7:$A$500,'Parâmetros'!$B$4,'Importação Contabilidade'!$B$7:$B$500,$A42))</x:f>
      </x:c>
      <x:c r="AE42" s="88" t="str">
        <x:f>IF($A42="","",SUMIFS('Importação Contabilidade'!$V$7:$V$500,'Importação Contabilidade'!$A$7:$A$500,'Parâmetros'!$B$4,'Importação Contabilidade'!$B$7:$B$500,$A42))</x:f>
      </x:c>
      <x:c r="AF42" s="97" t="str">
        <x:f>IF($A42="","",T42-AC42)</x:f>
      </x:c>
      <x:c r="AG42" s="97" t="str">
        <x:f>IF($A42="","",AA42-AD42)</x:f>
      </x:c>
      <x:c r="AH42" s="97" t="str">
        <x:f>IF($A42="","",AB42-AE42)</x:f>
      </x:c>
      <x:c r="AI42" s="98" t="str">
        <x:f>IF($A42="","",IF(COUNTIFS('Importação Contabilidade'!$A$7:$A$500,'Parâmetros'!$B$4,'Importação Contabilidade'!$B$7:$B$500,$A42)=0,"PENDENTE IMPORTAÇÃO",IF(AND(ABS(AF42)&lt;='Parâmetros'!$B$8,ABS(AG42)&lt;='Parâmetros'!$B$8,ABS(AH42)&lt;='Parâmetros'!$B$8),"OK","REVISAR")))</x:f>
      </x:c>
      <x:c r="AJ42" s="98" t="str">
        <x:f>IF($A42="","",IF(AI42="PENDENTE IMPORTAÇÃO","Funcionário/competência não encontrados na Importação Contabilidade",IF(AI42="OK","Sem divergência relevante",IF(ABS(AH42)&gt;=MAX(ABS(AF42),ABS(AG42)),"Revisar salário líquido",IF(ABS(AF42)&gt;=ABS(AG42),"Revisar bruto/proventos","Revisar descontos")))))</x:f>
      </x:c>
    </x:row>
    <x:row r="43">
      <x:c r="A43" s="93" t="str">
        <x:f>IF(Cadastro!A43="","",Cadastro!A43)</x:f>
      </x:c>
      <x:c r="B43" s="93" t="str">
        <x:f>IF(Cadastro!B43="","",Cadastro!B43)</x:f>
      </x:c>
      <x:c r="C43" s="93" t="str">
        <x:f>IF(Cadastro!F43="","",Cadastro!F43)</x:f>
      </x:c>
      <x:c r="D43" s="94" t="str">
        <x:f>IF(Cadastro!I43="","",Cadastro!I43)</x:f>
      </x:c>
      <x:c r="E43" s="95" t="str">
        <x:f>IF($A43="","",SUMIFS('Movimentações'!$D$2:$D$501,'Movimentações'!$A$2:$A$501,'Parâmetros'!$B$4,'Movimentações'!$B$2:$B$501,$A43,'Movimentações'!$C$2:$C$501,"Falta (dias)"))</x:f>
      </x:c>
      <x:c r="F43" s="95" t="str">
        <x:f>IF($A43="","",SUMIFS('Movimentações'!$D$2:$D$501,'Movimentações'!$A$2:$A$501,'Parâmetros'!$B$4,'Movimentações'!$B$2:$B$501,$A43,'Movimentações'!$C$2:$C$501,"HE 50% (horas)"))</x:f>
      </x:c>
      <x:c r="G43" s="95" t="str">
        <x:f>IF($A43="","",SUMIFS('Movimentações'!$D$2:$D$501,'Movimentações'!$A$2:$A$501,'Parâmetros'!$B$4,'Movimentações'!$B$2:$B$501,$A43,'Movimentações'!$C$2:$C$501,"HE 100% (horas)"))</x:f>
      </x:c>
      <x:c r="H43" s="94" t="str">
        <x:f>IF($A43="","",SUMIFS('Movimentações'!$E$2:$E$501,'Movimentações'!$A$2:$A$501,'Parâmetros'!$B$4,'Movimentações'!$B$2:$B$501,$A43,'Movimentações'!$C$2:$C$501,"Comissão"))</x:f>
      </x:c>
      <x:c r="I43" s="94" t="str">
        <x:f>IF($A43="","",SUMIFS('Movimentações'!$E$2:$E$501,'Movimentações'!$A$2:$A$501,'Parâmetros'!$B$4,'Movimentações'!$B$2:$B$501,$A43,'Movimentações'!$C$2:$C$501,"Bônus/Gratificação"))</x:f>
      </x:c>
      <x:c r="J43" s="94" t="str">
        <x:f>IF($A43="","",SUMIFS('Movimentações'!$E$2:$E$501,'Movimentações'!$A$2:$A$501,'Parâmetros'!$B$4,'Movimentações'!$B$2:$B$501,$A43,'Movimentações'!$C$2:$C$501,"Adicional"))</x:f>
      </x:c>
      <x:c r="K43" s="94" t="str">
        <x:f>IF($A43="","",SUMIFS('Movimentações'!$E$2:$E$501,'Movimentações'!$A$2:$A$501,'Parâmetros'!$B$4,'Movimentações'!$B$2:$B$501,$A43,'Movimentações'!$C$2:$C$501,"Crédito Extra"))</x:f>
      </x:c>
      <x:c r="L43" s="94" t="str">
        <x:f>IF($A43="","",SUMIFS('Movimentações'!$E$2:$E$501,'Movimentações'!$A$2:$A$501,'Parâmetros'!$B$4,'Movimentações'!$B$2:$B$501,$A43,'Movimentações'!$C$2:$C$501,"Desconto Extra"))</x:f>
      </x:c>
      <x:c r="M43" s="96" t="str">
        <x:f>IF($A43="","",D43/IF(Cadastro!J43=0,'Parâmetros'!$B$12,Cadastro!J43))</x:f>
      </x:c>
      <x:c r="N43" s="96" t="str">
        <x:f>IF($A43="","",(D43/'Parâmetros'!$B$7)*E43)</x:f>
      </x:c>
      <x:c r="O43" s="96" t="str">
        <x:f>IF($A43="","",IF(E43&gt;0,D43/'Parâmetros'!$B$7,0))</x:f>
      </x:c>
      <x:c r="P43" s="96" t="str">
        <x:f>IF($A43="","",(M43*'Parâmetros'!$B$10)*F43)</x:f>
      </x:c>
      <x:c r="Q43" s="96" t="str">
        <x:f>IF($A43="","",(M43*'Parâmetros'!$B$11)*G43)</x:f>
      </x:c>
      <x:c r="R43" s="96" t="str">
        <x:f>IF($A43="","",((P43+Q43)/'Parâmetros'!$B$5)*'Parâmetros'!$B$6)</x:f>
      </x:c>
      <x:c r="S43" s="96" t="str">
        <x:f>IF($A43="","",(H43/'Parâmetros'!$B$5)*'Parâmetros'!$B$6)</x:f>
      </x:c>
      <x:c r="T43" s="96" t="str">
        <x:f>IF($A43="","",D43-N43-O43+H43+I43+J43+K43+P43+Q43+R43+S43)</x:f>
      </x:c>
      <x:c r="U43" s="96" t="str">
        <x:f>IF($A43="","",MIN(D43*'Parâmetros'!$B$9,Cadastro!L43))</x:f>
      </x:c>
      <x:c r="V43" s="96" t="str">
        <x:f>IF($A43="","",IF(T43&lt;='Parâmetros'!$C$16,T43*'Parâmetros'!$D$16,IF(T43&lt;='Parâmetros'!$C$17,T43*'Parâmetros'!$D$17-'Parâmetros'!$E$17,IF(T43&lt;='Parâmetros'!$C$18,T43*'Parâmetros'!$D$18-'Parâmetros'!$E$18,IF(T43&lt;='Parâmetros'!$C$19,T43*'Parâmetros'!$D$19-'Parâmetros'!$E$19,'Parâmetros'!$C$19*'Parâmetros'!$D$19-'Parâmetros'!$E$19)))))</x:f>
      </x:c>
      <x:c r="W43" s="96" t="str">
        <x:f>IF($A43="","",MAX(0,((T43-V43-(Cadastro!K43*'Parâmetros'!$H$6))*'Parâmetros'!$H$4)-'Parâmetros'!$H$5))</x:f>
      </x:c>
      <x:c r="X43" s="96" t="str">
        <x:f>IF($A43="","",Cadastro!M43)</x:f>
      </x:c>
      <x:c r="Y43" s="96" t="str">
        <x:f>IF($A43="","",Cadastro!N43)</x:f>
      </x:c>
      <x:c r="Z43" s="96" t="str">
        <x:f>IF($A43="","",Cadastro!O43)</x:f>
      </x:c>
      <x:c r="AA43" s="96" t="str">
        <x:f>IF($A43="","",N43+O43+U43+V43+W43+X43+Y43+Z43+L43)</x:f>
      </x:c>
      <x:c r="AB43" s="96" t="str">
        <x:f>IF($A43="","",T43-(U43+V43+W43+X43+Y43+Z43+L43))</x:f>
      </x:c>
      <x:c r="AC43" s="88" t="str">
        <x:f>IF($A43="","",SUMIFS('Importação Contabilidade'!$T$7:$T$500,'Importação Contabilidade'!$A$7:$A$500,'Parâmetros'!$B$4,'Importação Contabilidade'!$B$7:$B$500,$A43))</x:f>
      </x:c>
      <x:c r="AD43" s="88" t="str">
        <x:f>IF($A43="","",SUMIFS('Importação Contabilidade'!$U$7:$U$500,'Importação Contabilidade'!$A$7:$A$500,'Parâmetros'!$B$4,'Importação Contabilidade'!$B$7:$B$500,$A43))</x:f>
      </x:c>
      <x:c r="AE43" s="88" t="str">
        <x:f>IF($A43="","",SUMIFS('Importação Contabilidade'!$V$7:$V$500,'Importação Contabilidade'!$A$7:$A$500,'Parâmetros'!$B$4,'Importação Contabilidade'!$B$7:$B$500,$A43))</x:f>
      </x:c>
      <x:c r="AF43" s="97" t="str">
        <x:f>IF($A43="","",T43-AC43)</x:f>
      </x:c>
      <x:c r="AG43" s="97" t="str">
        <x:f>IF($A43="","",AA43-AD43)</x:f>
      </x:c>
      <x:c r="AH43" s="97" t="str">
        <x:f>IF($A43="","",AB43-AE43)</x:f>
      </x:c>
      <x:c r="AI43" s="98" t="str">
        <x:f>IF($A43="","",IF(COUNTIFS('Importação Contabilidade'!$A$7:$A$500,'Parâmetros'!$B$4,'Importação Contabilidade'!$B$7:$B$500,$A43)=0,"PENDENTE IMPORTAÇÃO",IF(AND(ABS(AF43)&lt;='Parâmetros'!$B$8,ABS(AG43)&lt;='Parâmetros'!$B$8,ABS(AH43)&lt;='Parâmetros'!$B$8),"OK","REVISAR")))</x:f>
      </x:c>
      <x:c r="AJ43" s="98" t="str">
        <x:f>IF($A43="","",IF(AI43="PENDENTE IMPORTAÇÃO","Funcionário/competência não encontrados na Importação Contabilidade",IF(AI43="OK","Sem divergência relevante",IF(ABS(AH43)&gt;=MAX(ABS(AF43),ABS(AG43)),"Revisar salário líquido",IF(ABS(AF43)&gt;=ABS(AG43),"Revisar bruto/proventos","Revisar descontos")))))</x:f>
      </x:c>
    </x:row>
    <x:row r="44">
      <x:c r="A44" s="93" t="str">
        <x:f>IF(Cadastro!A44="","",Cadastro!A44)</x:f>
      </x:c>
      <x:c r="B44" s="93" t="str">
        <x:f>IF(Cadastro!B44="","",Cadastro!B44)</x:f>
      </x:c>
      <x:c r="C44" s="93" t="str">
        <x:f>IF(Cadastro!F44="","",Cadastro!F44)</x:f>
      </x:c>
      <x:c r="D44" s="94" t="str">
        <x:f>IF(Cadastro!I44="","",Cadastro!I44)</x:f>
      </x:c>
      <x:c r="E44" s="95" t="str">
        <x:f>IF($A44="","",SUMIFS('Movimentações'!$D$2:$D$501,'Movimentações'!$A$2:$A$501,'Parâmetros'!$B$4,'Movimentações'!$B$2:$B$501,$A44,'Movimentações'!$C$2:$C$501,"Falta (dias)"))</x:f>
      </x:c>
      <x:c r="F44" s="95" t="str">
        <x:f>IF($A44="","",SUMIFS('Movimentações'!$D$2:$D$501,'Movimentações'!$A$2:$A$501,'Parâmetros'!$B$4,'Movimentações'!$B$2:$B$501,$A44,'Movimentações'!$C$2:$C$501,"HE 50% (horas)"))</x:f>
      </x:c>
      <x:c r="G44" s="95" t="str">
        <x:f>IF($A44="","",SUMIFS('Movimentações'!$D$2:$D$501,'Movimentações'!$A$2:$A$501,'Parâmetros'!$B$4,'Movimentações'!$B$2:$B$501,$A44,'Movimentações'!$C$2:$C$501,"HE 100% (horas)"))</x:f>
      </x:c>
      <x:c r="H44" s="94" t="str">
        <x:f>IF($A44="","",SUMIFS('Movimentações'!$E$2:$E$501,'Movimentações'!$A$2:$A$501,'Parâmetros'!$B$4,'Movimentações'!$B$2:$B$501,$A44,'Movimentações'!$C$2:$C$501,"Comissão"))</x:f>
      </x:c>
      <x:c r="I44" s="94" t="str">
        <x:f>IF($A44="","",SUMIFS('Movimentações'!$E$2:$E$501,'Movimentações'!$A$2:$A$501,'Parâmetros'!$B$4,'Movimentações'!$B$2:$B$501,$A44,'Movimentações'!$C$2:$C$501,"Bônus/Gratificação"))</x:f>
      </x:c>
      <x:c r="J44" s="94" t="str">
        <x:f>IF($A44="","",SUMIFS('Movimentações'!$E$2:$E$501,'Movimentações'!$A$2:$A$501,'Parâmetros'!$B$4,'Movimentações'!$B$2:$B$501,$A44,'Movimentações'!$C$2:$C$501,"Adicional"))</x:f>
      </x:c>
      <x:c r="K44" s="94" t="str">
        <x:f>IF($A44="","",SUMIFS('Movimentações'!$E$2:$E$501,'Movimentações'!$A$2:$A$501,'Parâmetros'!$B$4,'Movimentações'!$B$2:$B$501,$A44,'Movimentações'!$C$2:$C$501,"Crédito Extra"))</x:f>
      </x:c>
      <x:c r="L44" s="94" t="str">
        <x:f>IF($A44="","",SUMIFS('Movimentações'!$E$2:$E$501,'Movimentações'!$A$2:$A$501,'Parâmetros'!$B$4,'Movimentações'!$B$2:$B$501,$A44,'Movimentações'!$C$2:$C$501,"Desconto Extra"))</x:f>
      </x:c>
      <x:c r="M44" s="96" t="str">
        <x:f>IF($A44="","",D44/IF(Cadastro!J44=0,'Parâmetros'!$B$12,Cadastro!J44))</x:f>
      </x:c>
      <x:c r="N44" s="96" t="str">
        <x:f>IF($A44="","",(D44/'Parâmetros'!$B$7)*E44)</x:f>
      </x:c>
      <x:c r="O44" s="96" t="str">
        <x:f>IF($A44="","",IF(E44&gt;0,D44/'Parâmetros'!$B$7,0))</x:f>
      </x:c>
      <x:c r="P44" s="96" t="str">
        <x:f>IF($A44="","",(M44*'Parâmetros'!$B$10)*F44)</x:f>
      </x:c>
      <x:c r="Q44" s="96" t="str">
        <x:f>IF($A44="","",(M44*'Parâmetros'!$B$11)*G44)</x:f>
      </x:c>
      <x:c r="R44" s="96" t="str">
        <x:f>IF($A44="","",((P44+Q44)/'Parâmetros'!$B$5)*'Parâmetros'!$B$6)</x:f>
      </x:c>
      <x:c r="S44" s="96" t="str">
        <x:f>IF($A44="","",(H44/'Parâmetros'!$B$5)*'Parâmetros'!$B$6)</x:f>
      </x:c>
      <x:c r="T44" s="96" t="str">
        <x:f>IF($A44="","",D44-N44-O44+H44+I44+J44+K44+P44+Q44+R44+S44)</x:f>
      </x:c>
      <x:c r="U44" s="96" t="str">
        <x:f>IF($A44="","",MIN(D44*'Parâmetros'!$B$9,Cadastro!L44))</x:f>
      </x:c>
      <x:c r="V44" s="96" t="str">
        <x:f>IF($A44="","",IF(T44&lt;='Parâmetros'!$C$16,T44*'Parâmetros'!$D$16,IF(T44&lt;='Parâmetros'!$C$17,T44*'Parâmetros'!$D$17-'Parâmetros'!$E$17,IF(T44&lt;='Parâmetros'!$C$18,T44*'Parâmetros'!$D$18-'Parâmetros'!$E$18,IF(T44&lt;='Parâmetros'!$C$19,T44*'Parâmetros'!$D$19-'Parâmetros'!$E$19,'Parâmetros'!$C$19*'Parâmetros'!$D$19-'Parâmetros'!$E$19)))))</x:f>
      </x:c>
      <x:c r="W44" s="96" t="str">
        <x:f>IF($A44="","",MAX(0,((T44-V44-(Cadastro!K44*'Parâmetros'!$H$6))*'Parâmetros'!$H$4)-'Parâmetros'!$H$5))</x:f>
      </x:c>
      <x:c r="X44" s="96" t="str">
        <x:f>IF($A44="","",Cadastro!M44)</x:f>
      </x:c>
      <x:c r="Y44" s="96" t="str">
        <x:f>IF($A44="","",Cadastro!N44)</x:f>
      </x:c>
      <x:c r="Z44" s="96" t="str">
        <x:f>IF($A44="","",Cadastro!O44)</x:f>
      </x:c>
      <x:c r="AA44" s="96" t="str">
        <x:f>IF($A44="","",N44+O44+U44+V44+W44+X44+Y44+Z44+L44)</x:f>
      </x:c>
      <x:c r="AB44" s="96" t="str">
        <x:f>IF($A44="","",T44-(U44+V44+W44+X44+Y44+Z44+L44))</x:f>
      </x:c>
      <x:c r="AC44" s="88" t="str">
        <x:f>IF($A44="","",SUMIFS('Importação Contabilidade'!$T$7:$T$500,'Importação Contabilidade'!$A$7:$A$500,'Parâmetros'!$B$4,'Importação Contabilidade'!$B$7:$B$500,$A44))</x:f>
      </x:c>
      <x:c r="AD44" s="88" t="str">
        <x:f>IF($A44="","",SUMIFS('Importação Contabilidade'!$U$7:$U$500,'Importação Contabilidade'!$A$7:$A$500,'Parâmetros'!$B$4,'Importação Contabilidade'!$B$7:$B$500,$A44))</x:f>
      </x:c>
      <x:c r="AE44" s="88" t="str">
        <x:f>IF($A44="","",SUMIFS('Importação Contabilidade'!$V$7:$V$500,'Importação Contabilidade'!$A$7:$A$500,'Parâmetros'!$B$4,'Importação Contabilidade'!$B$7:$B$500,$A44))</x:f>
      </x:c>
      <x:c r="AF44" s="97" t="str">
        <x:f>IF($A44="","",T44-AC44)</x:f>
      </x:c>
      <x:c r="AG44" s="97" t="str">
        <x:f>IF($A44="","",AA44-AD44)</x:f>
      </x:c>
      <x:c r="AH44" s="97" t="str">
        <x:f>IF($A44="","",AB44-AE44)</x:f>
      </x:c>
      <x:c r="AI44" s="98" t="str">
        <x:f>IF($A44="","",IF(COUNTIFS('Importação Contabilidade'!$A$7:$A$500,'Parâmetros'!$B$4,'Importação Contabilidade'!$B$7:$B$500,$A44)=0,"PENDENTE IMPORTAÇÃO",IF(AND(ABS(AF44)&lt;='Parâmetros'!$B$8,ABS(AG44)&lt;='Parâmetros'!$B$8,ABS(AH44)&lt;='Parâmetros'!$B$8),"OK","REVISAR")))</x:f>
      </x:c>
      <x:c r="AJ44" s="98" t="str">
        <x:f>IF($A44="","",IF(AI44="PENDENTE IMPORTAÇÃO","Funcionário/competência não encontrados na Importação Contabilidade",IF(AI44="OK","Sem divergência relevante",IF(ABS(AH44)&gt;=MAX(ABS(AF44),ABS(AG44)),"Revisar salário líquido",IF(ABS(AF44)&gt;=ABS(AG44),"Revisar bruto/proventos","Revisar descontos")))))</x:f>
      </x:c>
    </x:row>
    <x:row r="45">
      <x:c r="A45" s="93" t="str">
        <x:f>IF(Cadastro!A45="","",Cadastro!A45)</x:f>
      </x:c>
      <x:c r="B45" s="93" t="str">
        <x:f>IF(Cadastro!B45="","",Cadastro!B45)</x:f>
      </x:c>
      <x:c r="C45" s="93" t="str">
        <x:f>IF(Cadastro!F45="","",Cadastro!F45)</x:f>
      </x:c>
      <x:c r="D45" s="94" t="str">
        <x:f>IF(Cadastro!I45="","",Cadastro!I45)</x:f>
      </x:c>
      <x:c r="E45" s="95" t="str">
        <x:f>IF($A45="","",SUMIFS('Movimentações'!$D$2:$D$501,'Movimentações'!$A$2:$A$501,'Parâmetros'!$B$4,'Movimentações'!$B$2:$B$501,$A45,'Movimentações'!$C$2:$C$501,"Falta (dias)"))</x:f>
      </x:c>
      <x:c r="F45" s="95" t="str">
        <x:f>IF($A45="","",SUMIFS('Movimentações'!$D$2:$D$501,'Movimentações'!$A$2:$A$501,'Parâmetros'!$B$4,'Movimentações'!$B$2:$B$501,$A45,'Movimentações'!$C$2:$C$501,"HE 50% (horas)"))</x:f>
      </x:c>
      <x:c r="G45" s="95" t="str">
        <x:f>IF($A45="","",SUMIFS('Movimentações'!$D$2:$D$501,'Movimentações'!$A$2:$A$501,'Parâmetros'!$B$4,'Movimentações'!$B$2:$B$501,$A45,'Movimentações'!$C$2:$C$501,"HE 100% (horas)"))</x:f>
      </x:c>
      <x:c r="H45" s="94" t="str">
        <x:f>IF($A45="","",SUMIFS('Movimentações'!$E$2:$E$501,'Movimentações'!$A$2:$A$501,'Parâmetros'!$B$4,'Movimentações'!$B$2:$B$501,$A45,'Movimentações'!$C$2:$C$501,"Comissão"))</x:f>
      </x:c>
      <x:c r="I45" s="94" t="str">
        <x:f>IF($A45="","",SUMIFS('Movimentações'!$E$2:$E$501,'Movimentações'!$A$2:$A$501,'Parâmetros'!$B$4,'Movimentações'!$B$2:$B$501,$A45,'Movimentações'!$C$2:$C$501,"Bônus/Gratificação"))</x:f>
      </x:c>
      <x:c r="J45" s="94" t="str">
        <x:f>IF($A45="","",SUMIFS('Movimentações'!$E$2:$E$501,'Movimentações'!$A$2:$A$501,'Parâmetros'!$B$4,'Movimentações'!$B$2:$B$501,$A45,'Movimentações'!$C$2:$C$501,"Adicional"))</x:f>
      </x:c>
      <x:c r="K45" s="94" t="str">
        <x:f>IF($A45="","",SUMIFS('Movimentações'!$E$2:$E$501,'Movimentações'!$A$2:$A$501,'Parâmetros'!$B$4,'Movimentações'!$B$2:$B$501,$A45,'Movimentações'!$C$2:$C$501,"Crédito Extra"))</x:f>
      </x:c>
      <x:c r="L45" s="94" t="str">
        <x:f>IF($A45="","",SUMIFS('Movimentações'!$E$2:$E$501,'Movimentações'!$A$2:$A$501,'Parâmetros'!$B$4,'Movimentações'!$B$2:$B$501,$A45,'Movimentações'!$C$2:$C$501,"Desconto Extra"))</x:f>
      </x:c>
      <x:c r="M45" s="96" t="str">
        <x:f>IF($A45="","",D45/IF(Cadastro!J45=0,'Parâmetros'!$B$12,Cadastro!J45))</x:f>
      </x:c>
      <x:c r="N45" s="96" t="str">
        <x:f>IF($A45="","",(D45/'Parâmetros'!$B$7)*E45)</x:f>
      </x:c>
      <x:c r="O45" s="96" t="str">
        <x:f>IF($A45="","",IF(E45&gt;0,D45/'Parâmetros'!$B$7,0))</x:f>
      </x:c>
      <x:c r="P45" s="96" t="str">
        <x:f>IF($A45="","",(M45*'Parâmetros'!$B$10)*F45)</x:f>
      </x:c>
      <x:c r="Q45" s="96" t="str">
        <x:f>IF($A45="","",(M45*'Parâmetros'!$B$11)*G45)</x:f>
      </x:c>
      <x:c r="R45" s="96" t="str">
        <x:f>IF($A45="","",((P45+Q45)/'Parâmetros'!$B$5)*'Parâmetros'!$B$6)</x:f>
      </x:c>
      <x:c r="S45" s="96" t="str">
        <x:f>IF($A45="","",(H45/'Parâmetros'!$B$5)*'Parâmetros'!$B$6)</x:f>
      </x:c>
      <x:c r="T45" s="96" t="str">
        <x:f>IF($A45="","",D45-N45-O45+H45+I45+J45+K45+P45+Q45+R45+S45)</x:f>
      </x:c>
      <x:c r="U45" s="96" t="str">
        <x:f>IF($A45="","",MIN(D45*'Parâmetros'!$B$9,Cadastro!L45))</x:f>
      </x:c>
      <x:c r="V45" s="96" t="str">
        <x:f>IF($A45="","",IF(T45&lt;='Parâmetros'!$C$16,T45*'Parâmetros'!$D$16,IF(T45&lt;='Parâmetros'!$C$17,T45*'Parâmetros'!$D$17-'Parâmetros'!$E$17,IF(T45&lt;='Parâmetros'!$C$18,T45*'Parâmetros'!$D$18-'Parâmetros'!$E$18,IF(T45&lt;='Parâmetros'!$C$19,T45*'Parâmetros'!$D$19-'Parâmetros'!$E$19,'Parâmetros'!$C$19*'Parâmetros'!$D$19-'Parâmetros'!$E$19)))))</x:f>
      </x:c>
      <x:c r="W45" s="96" t="str">
        <x:f>IF($A45="","",MAX(0,((T45-V45-(Cadastro!K45*'Parâmetros'!$H$6))*'Parâmetros'!$H$4)-'Parâmetros'!$H$5))</x:f>
      </x:c>
      <x:c r="X45" s="96" t="str">
        <x:f>IF($A45="","",Cadastro!M45)</x:f>
      </x:c>
      <x:c r="Y45" s="96" t="str">
        <x:f>IF($A45="","",Cadastro!N45)</x:f>
      </x:c>
      <x:c r="Z45" s="96" t="str">
        <x:f>IF($A45="","",Cadastro!O45)</x:f>
      </x:c>
      <x:c r="AA45" s="96" t="str">
        <x:f>IF($A45="","",N45+O45+U45+V45+W45+X45+Y45+Z45+L45)</x:f>
      </x:c>
      <x:c r="AB45" s="96" t="str">
        <x:f>IF($A45="","",T45-(U45+V45+W45+X45+Y45+Z45+L45))</x:f>
      </x:c>
      <x:c r="AC45" s="88" t="str">
        <x:f>IF($A45="","",SUMIFS('Importação Contabilidade'!$T$7:$T$500,'Importação Contabilidade'!$A$7:$A$500,'Parâmetros'!$B$4,'Importação Contabilidade'!$B$7:$B$500,$A45))</x:f>
      </x:c>
      <x:c r="AD45" s="88" t="str">
        <x:f>IF($A45="","",SUMIFS('Importação Contabilidade'!$U$7:$U$500,'Importação Contabilidade'!$A$7:$A$500,'Parâmetros'!$B$4,'Importação Contabilidade'!$B$7:$B$500,$A45))</x:f>
      </x:c>
      <x:c r="AE45" s="88" t="str">
        <x:f>IF($A45="","",SUMIFS('Importação Contabilidade'!$V$7:$V$500,'Importação Contabilidade'!$A$7:$A$500,'Parâmetros'!$B$4,'Importação Contabilidade'!$B$7:$B$500,$A45))</x:f>
      </x:c>
      <x:c r="AF45" s="97" t="str">
        <x:f>IF($A45="","",T45-AC45)</x:f>
      </x:c>
      <x:c r="AG45" s="97" t="str">
        <x:f>IF($A45="","",AA45-AD45)</x:f>
      </x:c>
      <x:c r="AH45" s="97" t="str">
        <x:f>IF($A45="","",AB45-AE45)</x:f>
      </x:c>
      <x:c r="AI45" s="98" t="str">
        <x:f>IF($A45="","",IF(COUNTIFS('Importação Contabilidade'!$A$7:$A$500,'Parâmetros'!$B$4,'Importação Contabilidade'!$B$7:$B$500,$A45)=0,"PENDENTE IMPORTAÇÃO",IF(AND(ABS(AF45)&lt;='Parâmetros'!$B$8,ABS(AG45)&lt;='Parâmetros'!$B$8,ABS(AH45)&lt;='Parâmetros'!$B$8),"OK","REVISAR")))</x:f>
      </x:c>
      <x:c r="AJ45" s="98" t="str">
        <x:f>IF($A45="","",IF(AI45="PENDENTE IMPORTAÇÃO","Funcionário/competência não encontrados na Importação Contabilidade",IF(AI45="OK","Sem divergência relevante",IF(ABS(AH45)&gt;=MAX(ABS(AF45),ABS(AG45)),"Revisar salário líquido",IF(ABS(AF45)&gt;=ABS(AG45),"Revisar bruto/proventos","Revisar descontos")))))</x:f>
      </x:c>
    </x:row>
    <x:row r="46">
      <x:c r="A46" s="93" t="str">
        <x:f>IF(Cadastro!A46="","",Cadastro!A46)</x:f>
      </x:c>
      <x:c r="B46" s="93" t="str">
        <x:f>IF(Cadastro!B46="","",Cadastro!B46)</x:f>
      </x:c>
      <x:c r="C46" s="93" t="str">
        <x:f>IF(Cadastro!F46="","",Cadastro!F46)</x:f>
      </x:c>
      <x:c r="D46" s="94" t="str">
        <x:f>IF(Cadastro!I46="","",Cadastro!I46)</x:f>
      </x:c>
      <x:c r="E46" s="95" t="str">
        <x:f>IF($A46="","",SUMIFS('Movimentações'!$D$2:$D$501,'Movimentações'!$A$2:$A$501,'Parâmetros'!$B$4,'Movimentações'!$B$2:$B$501,$A46,'Movimentações'!$C$2:$C$501,"Falta (dias)"))</x:f>
      </x:c>
      <x:c r="F46" s="95" t="str">
        <x:f>IF($A46="","",SUMIFS('Movimentações'!$D$2:$D$501,'Movimentações'!$A$2:$A$501,'Parâmetros'!$B$4,'Movimentações'!$B$2:$B$501,$A46,'Movimentações'!$C$2:$C$501,"HE 50% (horas)"))</x:f>
      </x:c>
      <x:c r="G46" s="95" t="str">
        <x:f>IF($A46="","",SUMIFS('Movimentações'!$D$2:$D$501,'Movimentações'!$A$2:$A$501,'Parâmetros'!$B$4,'Movimentações'!$B$2:$B$501,$A46,'Movimentações'!$C$2:$C$501,"HE 100% (horas)"))</x:f>
      </x:c>
      <x:c r="H46" s="94" t="str">
        <x:f>IF($A46="","",SUMIFS('Movimentações'!$E$2:$E$501,'Movimentações'!$A$2:$A$501,'Parâmetros'!$B$4,'Movimentações'!$B$2:$B$501,$A46,'Movimentações'!$C$2:$C$501,"Comissão"))</x:f>
      </x:c>
      <x:c r="I46" s="94" t="str">
        <x:f>IF($A46="","",SUMIFS('Movimentações'!$E$2:$E$501,'Movimentações'!$A$2:$A$501,'Parâmetros'!$B$4,'Movimentações'!$B$2:$B$501,$A46,'Movimentações'!$C$2:$C$501,"Bônus/Gratificação"))</x:f>
      </x:c>
      <x:c r="J46" s="94" t="str">
        <x:f>IF($A46="","",SUMIFS('Movimentações'!$E$2:$E$501,'Movimentações'!$A$2:$A$501,'Parâmetros'!$B$4,'Movimentações'!$B$2:$B$501,$A46,'Movimentações'!$C$2:$C$501,"Adicional"))</x:f>
      </x:c>
      <x:c r="K46" s="94" t="str">
        <x:f>IF($A46="","",SUMIFS('Movimentações'!$E$2:$E$501,'Movimentações'!$A$2:$A$501,'Parâmetros'!$B$4,'Movimentações'!$B$2:$B$501,$A46,'Movimentações'!$C$2:$C$501,"Crédito Extra"))</x:f>
      </x:c>
      <x:c r="L46" s="94" t="str">
        <x:f>IF($A46="","",SUMIFS('Movimentações'!$E$2:$E$501,'Movimentações'!$A$2:$A$501,'Parâmetros'!$B$4,'Movimentações'!$B$2:$B$501,$A46,'Movimentações'!$C$2:$C$501,"Desconto Extra"))</x:f>
      </x:c>
      <x:c r="M46" s="96" t="str">
        <x:f>IF($A46="","",D46/IF(Cadastro!J46=0,'Parâmetros'!$B$12,Cadastro!J46))</x:f>
      </x:c>
      <x:c r="N46" s="96" t="str">
        <x:f>IF($A46="","",(D46/'Parâmetros'!$B$7)*E46)</x:f>
      </x:c>
      <x:c r="O46" s="96" t="str">
        <x:f>IF($A46="","",IF(E46&gt;0,D46/'Parâmetros'!$B$7,0))</x:f>
      </x:c>
      <x:c r="P46" s="96" t="str">
        <x:f>IF($A46="","",(M46*'Parâmetros'!$B$10)*F46)</x:f>
      </x:c>
      <x:c r="Q46" s="96" t="str">
        <x:f>IF($A46="","",(M46*'Parâmetros'!$B$11)*G46)</x:f>
      </x:c>
      <x:c r="R46" s="96" t="str">
        <x:f>IF($A46="","",((P46+Q46)/'Parâmetros'!$B$5)*'Parâmetros'!$B$6)</x:f>
      </x:c>
      <x:c r="S46" s="96" t="str">
        <x:f>IF($A46="","",(H46/'Parâmetros'!$B$5)*'Parâmetros'!$B$6)</x:f>
      </x:c>
      <x:c r="T46" s="96" t="str">
        <x:f>IF($A46="","",D46-N46-O46+H46+I46+J46+K46+P46+Q46+R46+S46)</x:f>
      </x:c>
      <x:c r="U46" s="96" t="str">
        <x:f>IF($A46="","",MIN(D46*'Parâmetros'!$B$9,Cadastro!L46))</x:f>
      </x:c>
      <x:c r="V46" s="96" t="str">
        <x:f>IF($A46="","",IF(T46&lt;='Parâmetros'!$C$16,T46*'Parâmetros'!$D$16,IF(T46&lt;='Parâmetros'!$C$17,T46*'Parâmetros'!$D$17-'Parâmetros'!$E$17,IF(T46&lt;='Parâmetros'!$C$18,T46*'Parâmetros'!$D$18-'Parâmetros'!$E$18,IF(T46&lt;='Parâmetros'!$C$19,T46*'Parâmetros'!$D$19-'Parâmetros'!$E$19,'Parâmetros'!$C$19*'Parâmetros'!$D$19-'Parâmetros'!$E$19)))))</x:f>
      </x:c>
      <x:c r="W46" s="96" t="str">
        <x:f>IF($A46="","",MAX(0,((T46-V46-(Cadastro!K46*'Parâmetros'!$H$6))*'Parâmetros'!$H$4)-'Parâmetros'!$H$5))</x:f>
      </x:c>
      <x:c r="X46" s="96" t="str">
        <x:f>IF($A46="","",Cadastro!M46)</x:f>
      </x:c>
      <x:c r="Y46" s="96" t="str">
        <x:f>IF($A46="","",Cadastro!N46)</x:f>
      </x:c>
      <x:c r="Z46" s="96" t="str">
        <x:f>IF($A46="","",Cadastro!O46)</x:f>
      </x:c>
      <x:c r="AA46" s="96" t="str">
        <x:f>IF($A46="","",N46+O46+U46+V46+W46+X46+Y46+Z46+L46)</x:f>
      </x:c>
      <x:c r="AB46" s="96" t="str">
        <x:f>IF($A46="","",T46-(U46+V46+W46+X46+Y46+Z46+L46))</x:f>
      </x:c>
      <x:c r="AC46" s="88" t="str">
        <x:f>IF($A46="","",SUMIFS('Importação Contabilidade'!$T$7:$T$500,'Importação Contabilidade'!$A$7:$A$500,'Parâmetros'!$B$4,'Importação Contabilidade'!$B$7:$B$500,$A46))</x:f>
      </x:c>
      <x:c r="AD46" s="88" t="str">
        <x:f>IF($A46="","",SUMIFS('Importação Contabilidade'!$U$7:$U$500,'Importação Contabilidade'!$A$7:$A$500,'Parâmetros'!$B$4,'Importação Contabilidade'!$B$7:$B$500,$A46))</x:f>
      </x:c>
      <x:c r="AE46" s="88" t="str">
        <x:f>IF($A46="","",SUMIFS('Importação Contabilidade'!$V$7:$V$500,'Importação Contabilidade'!$A$7:$A$500,'Parâmetros'!$B$4,'Importação Contabilidade'!$B$7:$B$500,$A46))</x:f>
      </x:c>
      <x:c r="AF46" s="97" t="str">
        <x:f>IF($A46="","",T46-AC46)</x:f>
      </x:c>
      <x:c r="AG46" s="97" t="str">
        <x:f>IF($A46="","",AA46-AD46)</x:f>
      </x:c>
      <x:c r="AH46" s="97" t="str">
        <x:f>IF($A46="","",AB46-AE46)</x:f>
      </x:c>
      <x:c r="AI46" s="98" t="str">
        <x:f>IF($A46="","",IF(COUNTIFS('Importação Contabilidade'!$A$7:$A$500,'Parâmetros'!$B$4,'Importação Contabilidade'!$B$7:$B$500,$A46)=0,"PENDENTE IMPORTAÇÃO",IF(AND(ABS(AF46)&lt;='Parâmetros'!$B$8,ABS(AG46)&lt;='Parâmetros'!$B$8,ABS(AH46)&lt;='Parâmetros'!$B$8),"OK","REVISAR")))</x:f>
      </x:c>
      <x:c r="AJ46" s="98" t="str">
        <x:f>IF($A46="","",IF(AI46="PENDENTE IMPORTAÇÃO","Funcionário/competência não encontrados na Importação Contabilidade",IF(AI46="OK","Sem divergência relevante",IF(ABS(AH46)&gt;=MAX(ABS(AF46),ABS(AG46)),"Revisar salário líquido",IF(ABS(AF46)&gt;=ABS(AG46),"Revisar bruto/proventos","Revisar descontos")))))</x:f>
      </x:c>
    </x:row>
    <x:row r="47">
      <x:c r="A47" s="93" t="str">
        <x:f>IF(Cadastro!A47="","",Cadastro!A47)</x:f>
      </x:c>
      <x:c r="B47" s="93" t="str">
        <x:f>IF(Cadastro!B47="","",Cadastro!B47)</x:f>
      </x:c>
      <x:c r="C47" s="93" t="str">
        <x:f>IF(Cadastro!F47="","",Cadastro!F47)</x:f>
      </x:c>
      <x:c r="D47" s="94" t="str">
        <x:f>IF(Cadastro!I47="","",Cadastro!I47)</x:f>
      </x:c>
      <x:c r="E47" s="95" t="str">
        <x:f>IF($A47="","",SUMIFS('Movimentações'!$D$2:$D$501,'Movimentações'!$A$2:$A$501,'Parâmetros'!$B$4,'Movimentações'!$B$2:$B$501,$A47,'Movimentações'!$C$2:$C$501,"Falta (dias)"))</x:f>
      </x:c>
      <x:c r="F47" s="95" t="str">
        <x:f>IF($A47="","",SUMIFS('Movimentações'!$D$2:$D$501,'Movimentações'!$A$2:$A$501,'Parâmetros'!$B$4,'Movimentações'!$B$2:$B$501,$A47,'Movimentações'!$C$2:$C$501,"HE 50% (horas)"))</x:f>
      </x:c>
      <x:c r="G47" s="95" t="str">
        <x:f>IF($A47="","",SUMIFS('Movimentações'!$D$2:$D$501,'Movimentações'!$A$2:$A$501,'Parâmetros'!$B$4,'Movimentações'!$B$2:$B$501,$A47,'Movimentações'!$C$2:$C$501,"HE 100% (horas)"))</x:f>
      </x:c>
      <x:c r="H47" s="94" t="str">
        <x:f>IF($A47="","",SUMIFS('Movimentações'!$E$2:$E$501,'Movimentações'!$A$2:$A$501,'Parâmetros'!$B$4,'Movimentações'!$B$2:$B$501,$A47,'Movimentações'!$C$2:$C$501,"Comissão"))</x:f>
      </x:c>
      <x:c r="I47" s="94" t="str">
        <x:f>IF($A47="","",SUMIFS('Movimentações'!$E$2:$E$501,'Movimentações'!$A$2:$A$501,'Parâmetros'!$B$4,'Movimentações'!$B$2:$B$501,$A47,'Movimentações'!$C$2:$C$501,"Bônus/Gratificação"))</x:f>
      </x:c>
      <x:c r="J47" s="94" t="str">
        <x:f>IF($A47="","",SUMIFS('Movimentações'!$E$2:$E$501,'Movimentações'!$A$2:$A$501,'Parâmetros'!$B$4,'Movimentações'!$B$2:$B$501,$A47,'Movimentações'!$C$2:$C$501,"Adicional"))</x:f>
      </x:c>
      <x:c r="K47" s="94" t="str">
        <x:f>IF($A47="","",SUMIFS('Movimentações'!$E$2:$E$501,'Movimentações'!$A$2:$A$501,'Parâmetros'!$B$4,'Movimentações'!$B$2:$B$501,$A47,'Movimentações'!$C$2:$C$501,"Crédito Extra"))</x:f>
      </x:c>
      <x:c r="L47" s="94" t="str">
        <x:f>IF($A47="","",SUMIFS('Movimentações'!$E$2:$E$501,'Movimentações'!$A$2:$A$501,'Parâmetros'!$B$4,'Movimentações'!$B$2:$B$501,$A47,'Movimentações'!$C$2:$C$501,"Desconto Extra"))</x:f>
      </x:c>
      <x:c r="M47" s="96" t="str">
        <x:f>IF($A47="","",D47/IF(Cadastro!J47=0,'Parâmetros'!$B$12,Cadastro!J47))</x:f>
      </x:c>
      <x:c r="N47" s="96" t="str">
        <x:f>IF($A47="","",(D47/'Parâmetros'!$B$7)*E47)</x:f>
      </x:c>
      <x:c r="O47" s="96" t="str">
        <x:f>IF($A47="","",IF(E47&gt;0,D47/'Parâmetros'!$B$7,0))</x:f>
      </x:c>
      <x:c r="P47" s="96" t="str">
        <x:f>IF($A47="","",(M47*'Parâmetros'!$B$10)*F47)</x:f>
      </x:c>
      <x:c r="Q47" s="96" t="str">
        <x:f>IF($A47="","",(M47*'Parâmetros'!$B$11)*G47)</x:f>
      </x:c>
      <x:c r="R47" s="96" t="str">
        <x:f>IF($A47="","",((P47+Q47)/'Parâmetros'!$B$5)*'Parâmetros'!$B$6)</x:f>
      </x:c>
      <x:c r="S47" s="96" t="str">
        <x:f>IF($A47="","",(H47/'Parâmetros'!$B$5)*'Parâmetros'!$B$6)</x:f>
      </x:c>
      <x:c r="T47" s="96" t="str">
        <x:f>IF($A47="","",D47-N47-O47+H47+I47+J47+K47+P47+Q47+R47+S47)</x:f>
      </x:c>
      <x:c r="U47" s="96" t="str">
        <x:f>IF($A47="","",MIN(D47*'Parâmetros'!$B$9,Cadastro!L47))</x:f>
      </x:c>
      <x:c r="V47" s="96" t="str">
        <x:f>IF($A47="","",IF(T47&lt;='Parâmetros'!$C$16,T47*'Parâmetros'!$D$16,IF(T47&lt;='Parâmetros'!$C$17,T47*'Parâmetros'!$D$17-'Parâmetros'!$E$17,IF(T47&lt;='Parâmetros'!$C$18,T47*'Parâmetros'!$D$18-'Parâmetros'!$E$18,IF(T47&lt;='Parâmetros'!$C$19,T47*'Parâmetros'!$D$19-'Parâmetros'!$E$19,'Parâmetros'!$C$19*'Parâmetros'!$D$19-'Parâmetros'!$E$19)))))</x:f>
      </x:c>
      <x:c r="W47" s="96" t="str">
        <x:f>IF($A47="","",MAX(0,((T47-V47-(Cadastro!K47*'Parâmetros'!$H$6))*'Parâmetros'!$H$4)-'Parâmetros'!$H$5))</x:f>
      </x:c>
      <x:c r="X47" s="96" t="str">
        <x:f>IF($A47="","",Cadastro!M47)</x:f>
      </x:c>
      <x:c r="Y47" s="96" t="str">
        <x:f>IF($A47="","",Cadastro!N47)</x:f>
      </x:c>
      <x:c r="Z47" s="96" t="str">
        <x:f>IF($A47="","",Cadastro!O47)</x:f>
      </x:c>
      <x:c r="AA47" s="96" t="str">
        <x:f>IF($A47="","",N47+O47+U47+V47+W47+X47+Y47+Z47+L47)</x:f>
      </x:c>
      <x:c r="AB47" s="96" t="str">
        <x:f>IF($A47="","",T47-(U47+V47+W47+X47+Y47+Z47+L47))</x:f>
      </x:c>
      <x:c r="AC47" s="88" t="str">
        <x:f>IF($A47="","",SUMIFS('Importação Contabilidade'!$T$7:$T$500,'Importação Contabilidade'!$A$7:$A$500,'Parâmetros'!$B$4,'Importação Contabilidade'!$B$7:$B$500,$A47))</x:f>
      </x:c>
      <x:c r="AD47" s="88" t="str">
        <x:f>IF($A47="","",SUMIFS('Importação Contabilidade'!$U$7:$U$500,'Importação Contabilidade'!$A$7:$A$500,'Parâmetros'!$B$4,'Importação Contabilidade'!$B$7:$B$500,$A47))</x:f>
      </x:c>
      <x:c r="AE47" s="88" t="str">
        <x:f>IF($A47="","",SUMIFS('Importação Contabilidade'!$V$7:$V$500,'Importação Contabilidade'!$A$7:$A$500,'Parâmetros'!$B$4,'Importação Contabilidade'!$B$7:$B$500,$A47))</x:f>
      </x:c>
      <x:c r="AF47" s="97" t="str">
        <x:f>IF($A47="","",T47-AC47)</x:f>
      </x:c>
      <x:c r="AG47" s="97" t="str">
        <x:f>IF($A47="","",AA47-AD47)</x:f>
      </x:c>
      <x:c r="AH47" s="97" t="str">
        <x:f>IF($A47="","",AB47-AE47)</x:f>
      </x:c>
      <x:c r="AI47" s="98" t="str">
        <x:f>IF($A47="","",IF(COUNTIFS('Importação Contabilidade'!$A$7:$A$500,'Parâmetros'!$B$4,'Importação Contabilidade'!$B$7:$B$500,$A47)=0,"PENDENTE IMPORTAÇÃO",IF(AND(ABS(AF47)&lt;='Parâmetros'!$B$8,ABS(AG47)&lt;='Parâmetros'!$B$8,ABS(AH47)&lt;='Parâmetros'!$B$8),"OK","REVISAR")))</x:f>
      </x:c>
      <x:c r="AJ47" s="98" t="str">
        <x:f>IF($A47="","",IF(AI47="PENDENTE IMPORTAÇÃO","Funcionário/competência não encontrados na Importação Contabilidade",IF(AI47="OK","Sem divergência relevante",IF(ABS(AH47)&gt;=MAX(ABS(AF47),ABS(AG47)),"Revisar salário líquido",IF(ABS(AF47)&gt;=ABS(AG47),"Revisar bruto/proventos","Revisar descontos")))))</x:f>
      </x:c>
    </x:row>
    <x:row r="48">
      <x:c r="A48" s="93" t="str">
        <x:f>IF(Cadastro!A48="","",Cadastro!A48)</x:f>
      </x:c>
      <x:c r="B48" s="93" t="str">
        <x:f>IF(Cadastro!B48="","",Cadastro!B48)</x:f>
      </x:c>
      <x:c r="C48" s="93" t="str">
        <x:f>IF(Cadastro!F48="","",Cadastro!F48)</x:f>
      </x:c>
      <x:c r="D48" s="94" t="str">
        <x:f>IF(Cadastro!I48="","",Cadastro!I48)</x:f>
      </x:c>
      <x:c r="E48" s="95" t="str">
        <x:f>IF($A48="","",SUMIFS('Movimentações'!$D$2:$D$501,'Movimentações'!$A$2:$A$501,'Parâmetros'!$B$4,'Movimentações'!$B$2:$B$501,$A48,'Movimentações'!$C$2:$C$501,"Falta (dias)"))</x:f>
      </x:c>
      <x:c r="F48" s="95" t="str">
        <x:f>IF($A48="","",SUMIFS('Movimentações'!$D$2:$D$501,'Movimentações'!$A$2:$A$501,'Parâmetros'!$B$4,'Movimentações'!$B$2:$B$501,$A48,'Movimentações'!$C$2:$C$501,"HE 50% (horas)"))</x:f>
      </x:c>
      <x:c r="G48" s="95" t="str">
        <x:f>IF($A48="","",SUMIFS('Movimentações'!$D$2:$D$501,'Movimentações'!$A$2:$A$501,'Parâmetros'!$B$4,'Movimentações'!$B$2:$B$501,$A48,'Movimentações'!$C$2:$C$501,"HE 100% (horas)"))</x:f>
      </x:c>
      <x:c r="H48" s="94" t="str">
        <x:f>IF($A48="","",SUMIFS('Movimentações'!$E$2:$E$501,'Movimentações'!$A$2:$A$501,'Parâmetros'!$B$4,'Movimentações'!$B$2:$B$501,$A48,'Movimentações'!$C$2:$C$501,"Comissão"))</x:f>
      </x:c>
      <x:c r="I48" s="94" t="str">
        <x:f>IF($A48="","",SUMIFS('Movimentações'!$E$2:$E$501,'Movimentações'!$A$2:$A$501,'Parâmetros'!$B$4,'Movimentações'!$B$2:$B$501,$A48,'Movimentações'!$C$2:$C$501,"Bônus/Gratificação"))</x:f>
      </x:c>
      <x:c r="J48" s="94" t="str">
        <x:f>IF($A48="","",SUMIFS('Movimentações'!$E$2:$E$501,'Movimentações'!$A$2:$A$501,'Parâmetros'!$B$4,'Movimentações'!$B$2:$B$501,$A48,'Movimentações'!$C$2:$C$501,"Adicional"))</x:f>
      </x:c>
      <x:c r="K48" s="94" t="str">
        <x:f>IF($A48="","",SUMIFS('Movimentações'!$E$2:$E$501,'Movimentações'!$A$2:$A$501,'Parâmetros'!$B$4,'Movimentações'!$B$2:$B$501,$A48,'Movimentações'!$C$2:$C$501,"Crédito Extra"))</x:f>
      </x:c>
      <x:c r="L48" s="94" t="str">
        <x:f>IF($A48="","",SUMIFS('Movimentações'!$E$2:$E$501,'Movimentações'!$A$2:$A$501,'Parâmetros'!$B$4,'Movimentações'!$B$2:$B$501,$A48,'Movimentações'!$C$2:$C$501,"Desconto Extra"))</x:f>
      </x:c>
      <x:c r="M48" s="96" t="str">
        <x:f>IF($A48="","",D48/IF(Cadastro!J48=0,'Parâmetros'!$B$12,Cadastro!J48))</x:f>
      </x:c>
      <x:c r="N48" s="96" t="str">
        <x:f>IF($A48="","",(D48/'Parâmetros'!$B$7)*E48)</x:f>
      </x:c>
      <x:c r="O48" s="96" t="str">
        <x:f>IF($A48="","",IF(E48&gt;0,D48/'Parâmetros'!$B$7,0))</x:f>
      </x:c>
      <x:c r="P48" s="96" t="str">
        <x:f>IF($A48="","",(M48*'Parâmetros'!$B$10)*F48)</x:f>
      </x:c>
      <x:c r="Q48" s="96" t="str">
        <x:f>IF($A48="","",(M48*'Parâmetros'!$B$11)*G48)</x:f>
      </x:c>
      <x:c r="R48" s="96" t="str">
        <x:f>IF($A48="","",((P48+Q48)/'Parâmetros'!$B$5)*'Parâmetros'!$B$6)</x:f>
      </x:c>
      <x:c r="S48" s="96" t="str">
        <x:f>IF($A48="","",(H48/'Parâmetros'!$B$5)*'Parâmetros'!$B$6)</x:f>
      </x:c>
      <x:c r="T48" s="96" t="str">
        <x:f>IF($A48="","",D48-N48-O48+H48+I48+J48+K48+P48+Q48+R48+S48)</x:f>
      </x:c>
      <x:c r="U48" s="96" t="str">
        <x:f>IF($A48="","",MIN(D48*'Parâmetros'!$B$9,Cadastro!L48))</x:f>
      </x:c>
      <x:c r="V48" s="96" t="str">
        <x:f>IF($A48="","",IF(T48&lt;='Parâmetros'!$C$16,T48*'Parâmetros'!$D$16,IF(T48&lt;='Parâmetros'!$C$17,T48*'Parâmetros'!$D$17-'Parâmetros'!$E$17,IF(T48&lt;='Parâmetros'!$C$18,T48*'Parâmetros'!$D$18-'Parâmetros'!$E$18,IF(T48&lt;='Parâmetros'!$C$19,T48*'Parâmetros'!$D$19-'Parâmetros'!$E$19,'Parâmetros'!$C$19*'Parâmetros'!$D$19-'Parâmetros'!$E$19)))))</x:f>
      </x:c>
      <x:c r="W48" s="96" t="str">
        <x:f>IF($A48="","",MAX(0,((T48-V48-(Cadastro!K48*'Parâmetros'!$H$6))*'Parâmetros'!$H$4)-'Parâmetros'!$H$5))</x:f>
      </x:c>
      <x:c r="X48" s="96" t="str">
        <x:f>IF($A48="","",Cadastro!M48)</x:f>
      </x:c>
      <x:c r="Y48" s="96" t="str">
        <x:f>IF($A48="","",Cadastro!N48)</x:f>
      </x:c>
      <x:c r="Z48" s="96" t="str">
        <x:f>IF($A48="","",Cadastro!O48)</x:f>
      </x:c>
      <x:c r="AA48" s="96" t="str">
        <x:f>IF($A48="","",N48+O48+U48+V48+W48+X48+Y48+Z48+L48)</x:f>
      </x:c>
      <x:c r="AB48" s="96" t="str">
        <x:f>IF($A48="","",T48-(U48+V48+W48+X48+Y48+Z48+L48))</x:f>
      </x:c>
      <x:c r="AC48" s="88" t="str">
        <x:f>IF($A48="","",SUMIFS('Importação Contabilidade'!$T$7:$T$500,'Importação Contabilidade'!$A$7:$A$500,'Parâmetros'!$B$4,'Importação Contabilidade'!$B$7:$B$500,$A48))</x:f>
      </x:c>
      <x:c r="AD48" s="88" t="str">
        <x:f>IF($A48="","",SUMIFS('Importação Contabilidade'!$U$7:$U$500,'Importação Contabilidade'!$A$7:$A$500,'Parâmetros'!$B$4,'Importação Contabilidade'!$B$7:$B$500,$A48))</x:f>
      </x:c>
      <x:c r="AE48" s="88" t="str">
        <x:f>IF($A48="","",SUMIFS('Importação Contabilidade'!$V$7:$V$500,'Importação Contabilidade'!$A$7:$A$500,'Parâmetros'!$B$4,'Importação Contabilidade'!$B$7:$B$500,$A48))</x:f>
      </x:c>
      <x:c r="AF48" s="97" t="str">
        <x:f>IF($A48="","",T48-AC48)</x:f>
      </x:c>
      <x:c r="AG48" s="97" t="str">
        <x:f>IF($A48="","",AA48-AD48)</x:f>
      </x:c>
      <x:c r="AH48" s="97" t="str">
        <x:f>IF($A48="","",AB48-AE48)</x:f>
      </x:c>
      <x:c r="AI48" s="98" t="str">
        <x:f>IF($A48="","",IF(COUNTIFS('Importação Contabilidade'!$A$7:$A$500,'Parâmetros'!$B$4,'Importação Contabilidade'!$B$7:$B$500,$A48)=0,"PENDENTE IMPORTAÇÃO",IF(AND(ABS(AF48)&lt;='Parâmetros'!$B$8,ABS(AG48)&lt;='Parâmetros'!$B$8,ABS(AH48)&lt;='Parâmetros'!$B$8),"OK","REVISAR")))</x:f>
      </x:c>
      <x:c r="AJ48" s="98" t="str">
        <x:f>IF($A48="","",IF(AI48="PENDENTE IMPORTAÇÃO","Funcionário/competência não encontrados na Importação Contabilidade",IF(AI48="OK","Sem divergência relevante",IF(ABS(AH48)&gt;=MAX(ABS(AF48),ABS(AG48)),"Revisar salário líquido",IF(ABS(AF48)&gt;=ABS(AG48),"Revisar bruto/proventos","Revisar descontos")))))</x:f>
      </x:c>
    </x:row>
    <x:row r="49">
      <x:c r="A49" s="93" t="str">
        <x:f>IF(Cadastro!A49="","",Cadastro!A49)</x:f>
      </x:c>
      <x:c r="B49" s="93" t="str">
        <x:f>IF(Cadastro!B49="","",Cadastro!B49)</x:f>
      </x:c>
      <x:c r="C49" s="93" t="str">
        <x:f>IF(Cadastro!F49="","",Cadastro!F49)</x:f>
      </x:c>
      <x:c r="D49" s="94" t="str">
        <x:f>IF(Cadastro!I49="","",Cadastro!I49)</x:f>
      </x:c>
      <x:c r="E49" s="95" t="str">
        <x:f>IF($A49="","",SUMIFS('Movimentações'!$D$2:$D$501,'Movimentações'!$A$2:$A$501,'Parâmetros'!$B$4,'Movimentações'!$B$2:$B$501,$A49,'Movimentações'!$C$2:$C$501,"Falta (dias)"))</x:f>
      </x:c>
      <x:c r="F49" s="95" t="str">
        <x:f>IF($A49="","",SUMIFS('Movimentações'!$D$2:$D$501,'Movimentações'!$A$2:$A$501,'Parâmetros'!$B$4,'Movimentações'!$B$2:$B$501,$A49,'Movimentações'!$C$2:$C$501,"HE 50% (horas)"))</x:f>
      </x:c>
      <x:c r="G49" s="95" t="str">
        <x:f>IF($A49="","",SUMIFS('Movimentações'!$D$2:$D$501,'Movimentações'!$A$2:$A$501,'Parâmetros'!$B$4,'Movimentações'!$B$2:$B$501,$A49,'Movimentações'!$C$2:$C$501,"HE 100% (horas)"))</x:f>
      </x:c>
      <x:c r="H49" s="94" t="str">
        <x:f>IF($A49="","",SUMIFS('Movimentações'!$E$2:$E$501,'Movimentações'!$A$2:$A$501,'Parâmetros'!$B$4,'Movimentações'!$B$2:$B$501,$A49,'Movimentações'!$C$2:$C$501,"Comissão"))</x:f>
      </x:c>
      <x:c r="I49" s="94" t="str">
        <x:f>IF($A49="","",SUMIFS('Movimentações'!$E$2:$E$501,'Movimentações'!$A$2:$A$501,'Parâmetros'!$B$4,'Movimentações'!$B$2:$B$501,$A49,'Movimentações'!$C$2:$C$501,"Bônus/Gratificação"))</x:f>
      </x:c>
      <x:c r="J49" s="94" t="str">
        <x:f>IF($A49="","",SUMIFS('Movimentações'!$E$2:$E$501,'Movimentações'!$A$2:$A$501,'Parâmetros'!$B$4,'Movimentações'!$B$2:$B$501,$A49,'Movimentações'!$C$2:$C$501,"Adicional"))</x:f>
      </x:c>
      <x:c r="K49" s="94" t="str">
        <x:f>IF($A49="","",SUMIFS('Movimentações'!$E$2:$E$501,'Movimentações'!$A$2:$A$501,'Parâmetros'!$B$4,'Movimentações'!$B$2:$B$501,$A49,'Movimentações'!$C$2:$C$501,"Crédito Extra"))</x:f>
      </x:c>
      <x:c r="L49" s="94" t="str">
        <x:f>IF($A49="","",SUMIFS('Movimentações'!$E$2:$E$501,'Movimentações'!$A$2:$A$501,'Parâmetros'!$B$4,'Movimentações'!$B$2:$B$501,$A49,'Movimentações'!$C$2:$C$501,"Desconto Extra"))</x:f>
      </x:c>
      <x:c r="M49" s="96" t="str">
        <x:f>IF($A49="","",D49/IF(Cadastro!J49=0,'Parâmetros'!$B$12,Cadastro!J49))</x:f>
      </x:c>
      <x:c r="N49" s="96" t="str">
        <x:f>IF($A49="","",(D49/'Parâmetros'!$B$7)*E49)</x:f>
      </x:c>
      <x:c r="O49" s="96" t="str">
        <x:f>IF($A49="","",IF(E49&gt;0,D49/'Parâmetros'!$B$7,0))</x:f>
      </x:c>
      <x:c r="P49" s="96" t="str">
        <x:f>IF($A49="","",(M49*'Parâmetros'!$B$10)*F49)</x:f>
      </x:c>
      <x:c r="Q49" s="96" t="str">
        <x:f>IF($A49="","",(M49*'Parâmetros'!$B$11)*G49)</x:f>
      </x:c>
      <x:c r="R49" s="96" t="str">
        <x:f>IF($A49="","",((P49+Q49)/'Parâmetros'!$B$5)*'Parâmetros'!$B$6)</x:f>
      </x:c>
      <x:c r="S49" s="96" t="str">
        <x:f>IF($A49="","",(H49/'Parâmetros'!$B$5)*'Parâmetros'!$B$6)</x:f>
      </x:c>
      <x:c r="T49" s="96" t="str">
        <x:f>IF($A49="","",D49-N49-O49+H49+I49+J49+K49+P49+Q49+R49+S49)</x:f>
      </x:c>
      <x:c r="U49" s="96" t="str">
        <x:f>IF($A49="","",MIN(D49*'Parâmetros'!$B$9,Cadastro!L49))</x:f>
      </x:c>
      <x:c r="V49" s="96" t="str">
        <x:f>IF($A49="","",IF(T49&lt;='Parâmetros'!$C$16,T49*'Parâmetros'!$D$16,IF(T49&lt;='Parâmetros'!$C$17,T49*'Parâmetros'!$D$17-'Parâmetros'!$E$17,IF(T49&lt;='Parâmetros'!$C$18,T49*'Parâmetros'!$D$18-'Parâmetros'!$E$18,IF(T49&lt;='Parâmetros'!$C$19,T49*'Parâmetros'!$D$19-'Parâmetros'!$E$19,'Parâmetros'!$C$19*'Parâmetros'!$D$19-'Parâmetros'!$E$19)))))</x:f>
      </x:c>
      <x:c r="W49" s="96" t="str">
        <x:f>IF($A49="","",MAX(0,((T49-V49-(Cadastro!K49*'Parâmetros'!$H$6))*'Parâmetros'!$H$4)-'Parâmetros'!$H$5))</x:f>
      </x:c>
      <x:c r="X49" s="96" t="str">
        <x:f>IF($A49="","",Cadastro!M49)</x:f>
      </x:c>
      <x:c r="Y49" s="96" t="str">
        <x:f>IF($A49="","",Cadastro!N49)</x:f>
      </x:c>
      <x:c r="Z49" s="96" t="str">
        <x:f>IF($A49="","",Cadastro!O49)</x:f>
      </x:c>
      <x:c r="AA49" s="96" t="str">
        <x:f>IF($A49="","",N49+O49+U49+V49+W49+X49+Y49+Z49+L49)</x:f>
      </x:c>
      <x:c r="AB49" s="96" t="str">
        <x:f>IF($A49="","",T49-(U49+V49+W49+X49+Y49+Z49+L49))</x:f>
      </x:c>
      <x:c r="AC49" s="88" t="str">
        <x:f>IF($A49="","",SUMIFS('Importação Contabilidade'!$T$7:$T$500,'Importação Contabilidade'!$A$7:$A$500,'Parâmetros'!$B$4,'Importação Contabilidade'!$B$7:$B$500,$A49))</x:f>
      </x:c>
      <x:c r="AD49" s="88" t="str">
        <x:f>IF($A49="","",SUMIFS('Importação Contabilidade'!$U$7:$U$500,'Importação Contabilidade'!$A$7:$A$500,'Parâmetros'!$B$4,'Importação Contabilidade'!$B$7:$B$500,$A49))</x:f>
      </x:c>
      <x:c r="AE49" s="88" t="str">
        <x:f>IF($A49="","",SUMIFS('Importação Contabilidade'!$V$7:$V$500,'Importação Contabilidade'!$A$7:$A$500,'Parâmetros'!$B$4,'Importação Contabilidade'!$B$7:$B$500,$A49))</x:f>
      </x:c>
      <x:c r="AF49" s="97" t="str">
        <x:f>IF($A49="","",T49-AC49)</x:f>
      </x:c>
      <x:c r="AG49" s="97" t="str">
        <x:f>IF($A49="","",AA49-AD49)</x:f>
      </x:c>
      <x:c r="AH49" s="97" t="str">
        <x:f>IF($A49="","",AB49-AE49)</x:f>
      </x:c>
      <x:c r="AI49" s="98" t="str">
        <x:f>IF($A49="","",IF(COUNTIFS('Importação Contabilidade'!$A$7:$A$500,'Parâmetros'!$B$4,'Importação Contabilidade'!$B$7:$B$500,$A49)=0,"PENDENTE IMPORTAÇÃO",IF(AND(ABS(AF49)&lt;='Parâmetros'!$B$8,ABS(AG49)&lt;='Parâmetros'!$B$8,ABS(AH49)&lt;='Parâmetros'!$B$8),"OK","REVISAR")))</x:f>
      </x:c>
      <x:c r="AJ49" s="98" t="str">
        <x:f>IF($A49="","",IF(AI49="PENDENTE IMPORTAÇÃO","Funcionário/competência não encontrados na Importação Contabilidade",IF(AI49="OK","Sem divergência relevante",IF(ABS(AH49)&gt;=MAX(ABS(AF49),ABS(AG49)),"Revisar salário líquido",IF(ABS(AF49)&gt;=ABS(AG49),"Revisar bruto/proventos","Revisar descontos")))))</x:f>
      </x:c>
    </x:row>
    <x:row r="50">
      <x:c r="A50" s="93" t="str">
        <x:f>IF(Cadastro!A50="","",Cadastro!A50)</x:f>
      </x:c>
      <x:c r="B50" s="93" t="str">
        <x:f>IF(Cadastro!B50="","",Cadastro!B50)</x:f>
      </x:c>
      <x:c r="C50" s="93" t="str">
        <x:f>IF(Cadastro!F50="","",Cadastro!F50)</x:f>
      </x:c>
      <x:c r="D50" s="94" t="str">
        <x:f>IF(Cadastro!I50="","",Cadastro!I50)</x:f>
      </x:c>
      <x:c r="E50" s="95" t="str">
        <x:f>IF($A50="","",SUMIFS('Movimentações'!$D$2:$D$501,'Movimentações'!$A$2:$A$501,'Parâmetros'!$B$4,'Movimentações'!$B$2:$B$501,$A50,'Movimentações'!$C$2:$C$501,"Falta (dias)"))</x:f>
      </x:c>
      <x:c r="F50" s="95" t="str">
        <x:f>IF($A50="","",SUMIFS('Movimentações'!$D$2:$D$501,'Movimentações'!$A$2:$A$501,'Parâmetros'!$B$4,'Movimentações'!$B$2:$B$501,$A50,'Movimentações'!$C$2:$C$501,"HE 50% (horas)"))</x:f>
      </x:c>
      <x:c r="G50" s="95" t="str">
        <x:f>IF($A50="","",SUMIFS('Movimentações'!$D$2:$D$501,'Movimentações'!$A$2:$A$501,'Parâmetros'!$B$4,'Movimentações'!$B$2:$B$501,$A50,'Movimentações'!$C$2:$C$501,"HE 100% (horas)"))</x:f>
      </x:c>
      <x:c r="H50" s="94" t="str">
        <x:f>IF($A50="","",SUMIFS('Movimentações'!$E$2:$E$501,'Movimentações'!$A$2:$A$501,'Parâmetros'!$B$4,'Movimentações'!$B$2:$B$501,$A50,'Movimentações'!$C$2:$C$501,"Comissão"))</x:f>
      </x:c>
      <x:c r="I50" s="94" t="str">
        <x:f>IF($A50="","",SUMIFS('Movimentações'!$E$2:$E$501,'Movimentações'!$A$2:$A$501,'Parâmetros'!$B$4,'Movimentações'!$B$2:$B$501,$A50,'Movimentações'!$C$2:$C$501,"Bônus/Gratificação"))</x:f>
      </x:c>
      <x:c r="J50" s="94" t="str">
        <x:f>IF($A50="","",SUMIFS('Movimentações'!$E$2:$E$501,'Movimentações'!$A$2:$A$501,'Parâmetros'!$B$4,'Movimentações'!$B$2:$B$501,$A50,'Movimentações'!$C$2:$C$501,"Adicional"))</x:f>
      </x:c>
      <x:c r="K50" s="94" t="str">
        <x:f>IF($A50="","",SUMIFS('Movimentações'!$E$2:$E$501,'Movimentações'!$A$2:$A$501,'Parâmetros'!$B$4,'Movimentações'!$B$2:$B$501,$A50,'Movimentações'!$C$2:$C$501,"Crédito Extra"))</x:f>
      </x:c>
      <x:c r="L50" s="94" t="str">
        <x:f>IF($A50="","",SUMIFS('Movimentações'!$E$2:$E$501,'Movimentações'!$A$2:$A$501,'Parâmetros'!$B$4,'Movimentações'!$B$2:$B$501,$A50,'Movimentações'!$C$2:$C$501,"Desconto Extra"))</x:f>
      </x:c>
      <x:c r="M50" s="96" t="str">
        <x:f>IF($A50="","",D50/IF(Cadastro!J50=0,'Parâmetros'!$B$12,Cadastro!J50))</x:f>
      </x:c>
      <x:c r="N50" s="96" t="str">
        <x:f>IF($A50="","",(D50/'Parâmetros'!$B$7)*E50)</x:f>
      </x:c>
      <x:c r="O50" s="96" t="str">
        <x:f>IF($A50="","",IF(E50&gt;0,D50/'Parâmetros'!$B$7,0))</x:f>
      </x:c>
      <x:c r="P50" s="96" t="str">
        <x:f>IF($A50="","",(M50*'Parâmetros'!$B$10)*F50)</x:f>
      </x:c>
      <x:c r="Q50" s="96" t="str">
        <x:f>IF($A50="","",(M50*'Parâmetros'!$B$11)*G50)</x:f>
      </x:c>
      <x:c r="R50" s="96" t="str">
        <x:f>IF($A50="","",((P50+Q50)/'Parâmetros'!$B$5)*'Parâmetros'!$B$6)</x:f>
      </x:c>
      <x:c r="S50" s="96" t="str">
        <x:f>IF($A50="","",(H50/'Parâmetros'!$B$5)*'Parâmetros'!$B$6)</x:f>
      </x:c>
      <x:c r="T50" s="96" t="str">
        <x:f>IF($A50="","",D50-N50-O50+H50+I50+J50+K50+P50+Q50+R50+S50)</x:f>
      </x:c>
      <x:c r="U50" s="96" t="str">
        <x:f>IF($A50="","",MIN(D50*'Parâmetros'!$B$9,Cadastro!L50))</x:f>
      </x:c>
      <x:c r="V50" s="96" t="str">
        <x:f>IF($A50="","",IF(T50&lt;='Parâmetros'!$C$16,T50*'Parâmetros'!$D$16,IF(T50&lt;='Parâmetros'!$C$17,T50*'Parâmetros'!$D$17-'Parâmetros'!$E$17,IF(T50&lt;='Parâmetros'!$C$18,T50*'Parâmetros'!$D$18-'Parâmetros'!$E$18,IF(T50&lt;='Parâmetros'!$C$19,T50*'Parâmetros'!$D$19-'Parâmetros'!$E$19,'Parâmetros'!$C$19*'Parâmetros'!$D$19-'Parâmetros'!$E$19)))))</x:f>
      </x:c>
      <x:c r="W50" s="96" t="str">
        <x:f>IF($A50="","",MAX(0,((T50-V50-(Cadastro!K50*'Parâmetros'!$H$6))*'Parâmetros'!$H$4)-'Parâmetros'!$H$5))</x:f>
      </x:c>
      <x:c r="X50" s="96" t="str">
        <x:f>IF($A50="","",Cadastro!M50)</x:f>
      </x:c>
      <x:c r="Y50" s="96" t="str">
        <x:f>IF($A50="","",Cadastro!N50)</x:f>
      </x:c>
      <x:c r="Z50" s="96" t="str">
        <x:f>IF($A50="","",Cadastro!O50)</x:f>
      </x:c>
      <x:c r="AA50" s="96" t="str">
        <x:f>IF($A50="","",N50+O50+U50+V50+W50+X50+Y50+Z50+L50)</x:f>
      </x:c>
      <x:c r="AB50" s="96" t="str">
        <x:f>IF($A50="","",T50-(U50+V50+W50+X50+Y50+Z50+L50))</x:f>
      </x:c>
      <x:c r="AC50" s="88" t="str">
        <x:f>IF($A50="","",SUMIFS('Importação Contabilidade'!$T$7:$T$500,'Importação Contabilidade'!$A$7:$A$500,'Parâmetros'!$B$4,'Importação Contabilidade'!$B$7:$B$500,$A50))</x:f>
      </x:c>
      <x:c r="AD50" s="88" t="str">
        <x:f>IF($A50="","",SUMIFS('Importação Contabilidade'!$U$7:$U$500,'Importação Contabilidade'!$A$7:$A$500,'Parâmetros'!$B$4,'Importação Contabilidade'!$B$7:$B$500,$A50))</x:f>
      </x:c>
      <x:c r="AE50" s="88" t="str">
        <x:f>IF($A50="","",SUMIFS('Importação Contabilidade'!$V$7:$V$500,'Importação Contabilidade'!$A$7:$A$500,'Parâmetros'!$B$4,'Importação Contabilidade'!$B$7:$B$500,$A50))</x:f>
      </x:c>
      <x:c r="AF50" s="97" t="str">
        <x:f>IF($A50="","",T50-AC50)</x:f>
      </x:c>
      <x:c r="AG50" s="97" t="str">
        <x:f>IF($A50="","",AA50-AD50)</x:f>
      </x:c>
      <x:c r="AH50" s="97" t="str">
        <x:f>IF($A50="","",AB50-AE50)</x:f>
      </x:c>
      <x:c r="AI50" s="98" t="str">
        <x:f>IF($A50="","",IF(COUNTIFS('Importação Contabilidade'!$A$7:$A$500,'Parâmetros'!$B$4,'Importação Contabilidade'!$B$7:$B$500,$A50)=0,"PENDENTE IMPORTAÇÃO",IF(AND(ABS(AF50)&lt;='Parâmetros'!$B$8,ABS(AG50)&lt;='Parâmetros'!$B$8,ABS(AH50)&lt;='Parâmetros'!$B$8),"OK","REVISAR")))</x:f>
      </x:c>
      <x:c r="AJ50" s="98" t="str">
        <x:f>IF($A50="","",IF(AI50="PENDENTE IMPORTAÇÃO","Funcionário/competência não encontrados na Importação Contabilidade",IF(AI50="OK","Sem divergência relevante",IF(ABS(AH50)&gt;=MAX(ABS(AF50),ABS(AG50)),"Revisar salário líquido",IF(ABS(AF50)&gt;=ABS(AG50),"Revisar bruto/proventos","Revisar descontos")))))</x:f>
      </x:c>
    </x:row>
    <x:row r="51">
      <x:c r="A51" s="93" t="str">
        <x:f>IF(Cadastro!A51="","",Cadastro!A51)</x:f>
      </x:c>
      <x:c r="B51" s="93" t="str">
        <x:f>IF(Cadastro!B51="","",Cadastro!B51)</x:f>
      </x:c>
      <x:c r="C51" s="93" t="str">
        <x:f>IF(Cadastro!F51="","",Cadastro!F51)</x:f>
      </x:c>
      <x:c r="D51" s="94" t="str">
        <x:f>IF(Cadastro!I51="","",Cadastro!I51)</x:f>
      </x:c>
      <x:c r="E51" s="95" t="str">
        <x:f>IF($A51="","",SUMIFS('Movimentações'!$D$2:$D$501,'Movimentações'!$A$2:$A$501,'Parâmetros'!$B$4,'Movimentações'!$B$2:$B$501,$A51,'Movimentações'!$C$2:$C$501,"Falta (dias)"))</x:f>
      </x:c>
      <x:c r="F51" s="95" t="str">
        <x:f>IF($A51="","",SUMIFS('Movimentações'!$D$2:$D$501,'Movimentações'!$A$2:$A$501,'Parâmetros'!$B$4,'Movimentações'!$B$2:$B$501,$A51,'Movimentações'!$C$2:$C$501,"HE 50% (horas)"))</x:f>
      </x:c>
      <x:c r="G51" s="95" t="str">
        <x:f>IF($A51="","",SUMIFS('Movimentações'!$D$2:$D$501,'Movimentações'!$A$2:$A$501,'Parâmetros'!$B$4,'Movimentações'!$B$2:$B$501,$A51,'Movimentações'!$C$2:$C$501,"HE 100% (horas)"))</x:f>
      </x:c>
      <x:c r="H51" s="94" t="str">
        <x:f>IF($A51="","",SUMIFS('Movimentações'!$E$2:$E$501,'Movimentações'!$A$2:$A$501,'Parâmetros'!$B$4,'Movimentações'!$B$2:$B$501,$A51,'Movimentações'!$C$2:$C$501,"Comissão"))</x:f>
      </x:c>
      <x:c r="I51" s="94" t="str">
        <x:f>IF($A51="","",SUMIFS('Movimentações'!$E$2:$E$501,'Movimentações'!$A$2:$A$501,'Parâmetros'!$B$4,'Movimentações'!$B$2:$B$501,$A51,'Movimentações'!$C$2:$C$501,"Bônus/Gratificação"))</x:f>
      </x:c>
      <x:c r="J51" s="94" t="str">
        <x:f>IF($A51="","",SUMIFS('Movimentações'!$E$2:$E$501,'Movimentações'!$A$2:$A$501,'Parâmetros'!$B$4,'Movimentações'!$B$2:$B$501,$A51,'Movimentações'!$C$2:$C$501,"Adicional"))</x:f>
      </x:c>
      <x:c r="K51" s="94" t="str">
        <x:f>IF($A51="","",SUMIFS('Movimentações'!$E$2:$E$501,'Movimentações'!$A$2:$A$501,'Parâmetros'!$B$4,'Movimentações'!$B$2:$B$501,$A51,'Movimentações'!$C$2:$C$501,"Crédito Extra"))</x:f>
      </x:c>
      <x:c r="L51" s="94" t="str">
        <x:f>IF($A51="","",SUMIFS('Movimentações'!$E$2:$E$501,'Movimentações'!$A$2:$A$501,'Parâmetros'!$B$4,'Movimentações'!$B$2:$B$501,$A51,'Movimentações'!$C$2:$C$501,"Desconto Extra"))</x:f>
      </x:c>
      <x:c r="M51" s="96" t="str">
        <x:f>IF($A51="","",D51/IF(Cadastro!J51=0,'Parâmetros'!$B$12,Cadastro!J51))</x:f>
      </x:c>
      <x:c r="N51" s="96" t="str">
        <x:f>IF($A51="","",(D51/'Parâmetros'!$B$7)*E51)</x:f>
      </x:c>
      <x:c r="O51" s="96" t="str">
        <x:f>IF($A51="","",IF(E51&gt;0,D51/'Parâmetros'!$B$7,0))</x:f>
      </x:c>
      <x:c r="P51" s="96" t="str">
        <x:f>IF($A51="","",(M51*'Parâmetros'!$B$10)*F51)</x:f>
      </x:c>
      <x:c r="Q51" s="96" t="str">
        <x:f>IF($A51="","",(M51*'Parâmetros'!$B$11)*G51)</x:f>
      </x:c>
      <x:c r="R51" s="96" t="str">
        <x:f>IF($A51="","",((P51+Q51)/'Parâmetros'!$B$5)*'Parâmetros'!$B$6)</x:f>
      </x:c>
      <x:c r="S51" s="96" t="str">
        <x:f>IF($A51="","",(H51/'Parâmetros'!$B$5)*'Parâmetros'!$B$6)</x:f>
      </x:c>
      <x:c r="T51" s="96" t="str">
        <x:f>IF($A51="","",D51-N51-O51+H51+I51+J51+K51+P51+Q51+R51+S51)</x:f>
      </x:c>
      <x:c r="U51" s="96" t="str">
        <x:f>IF($A51="","",MIN(D51*'Parâmetros'!$B$9,Cadastro!L51))</x:f>
      </x:c>
      <x:c r="V51" s="96" t="str">
        <x:f>IF($A51="","",IF(T51&lt;='Parâmetros'!$C$16,T51*'Parâmetros'!$D$16,IF(T51&lt;='Parâmetros'!$C$17,T51*'Parâmetros'!$D$17-'Parâmetros'!$E$17,IF(T51&lt;='Parâmetros'!$C$18,T51*'Parâmetros'!$D$18-'Parâmetros'!$E$18,IF(T51&lt;='Parâmetros'!$C$19,T51*'Parâmetros'!$D$19-'Parâmetros'!$E$19,'Parâmetros'!$C$19*'Parâmetros'!$D$19-'Parâmetros'!$E$19)))))</x:f>
      </x:c>
      <x:c r="W51" s="96" t="str">
        <x:f>IF($A51="","",MAX(0,((T51-V51-(Cadastro!K51*'Parâmetros'!$H$6))*'Parâmetros'!$H$4)-'Parâmetros'!$H$5))</x:f>
      </x:c>
      <x:c r="X51" s="96" t="str">
        <x:f>IF($A51="","",Cadastro!M51)</x:f>
      </x:c>
      <x:c r="Y51" s="96" t="str">
        <x:f>IF($A51="","",Cadastro!N51)</x:f>
      </x:c>
      <x:c r="Z51" s="96" t="str">
        <x:f>IF($A51="","",Cadastro!O51)</x:f>
      </x:c>
      <x:c r="AA51" s="96" t="str">
        <x:f>IF($A51="","",N51+O51+U51+V51+W51+X51+Y51+Z51+L51)</x:f>
      </x:c>
      <x:c r="AB51" s="96" t="str">
        <x:f>IF($A51="","",T51-(U51+V51+W51+X51+Y51+Z51+L51))</x:f>
      </x:c>
      <x:c r="AC51" s="88" t="str">
        <x:f>IF($A51="","",SUMIFS('Importação Contabilidade'!$T$7:$T$500,'Importação Contabilidade'!$A$7:$A$500,'Parâmetros'!$B$4,'Importação Contabilidade'!$B$7:$B$500,$A51))</x:f>
      </x:c>
      <x:c r="AD51" s="88" t="str">
        <x:f>IF($A51="","",SUMIFS('Importação Contabilidade'!$U$7:$U$500,'Importação Contabilidade'!$A$7:$A$500,'Parâmetros'!$B$4,'Importação Contabilidade'!$B$7:$B$500,$A51))</x:f>
      </x:c>
      <x:c r="AE51" s="88" t="str">
        <x:f>IF($A51="","",SUMIFS('Importação Contabilidade'!$V$7:$V$500,'Importação Contabilidade'!$A$7:$A$500,'Parâmetros'!$B$4,'Importação Contabilidade'!$B$7:$B$500,$A51))</x:f>
      </x:c>
      <x:c r="AF51" s="97" t="str">
        <x:f>IF($A51="","",T51-AC51)</x:f>
      </x:c>
      <x:c r="AG51" s="97" t="str">
        <x:f>IF($A51="","",AA51-AD51)</x:f>
      </x:c>
      <x:c r="AH51" s="97" t="str">
        <x:f>IF($A51="","",AB51-AE51)</x:f>
      </x:c>
      <x:c r="AI51" s="98" t="str">
        <x:f>IF($A51="","",IF(COUNTIFS('Importação Contabilidade'!$A$7:$A$500,'Parâmetros'!$B$4,'Importação Contabilidade'!$B$7:$B$500,$A51)=0,"PENDENTE IMPORTAÇÃO",IF(AND(ABS(AF51)&lt;='Parâmetros'!$B$8,ABS(AG51)&lt;='Parâmetros'!$B$8,ABS(AH51)&lt;='Parâmetros'!$B$8),"OK","REVISAR")))</x:f>
      </x:c>
      <x:c r="AJ51" s="98" t="str">
        <x:f>IF($A51="","",IF(AI51="PENDENTE IMPORTAÇÃO","Funcionário/competência não encontrados na Importação Contabilidade",IF(AI51="OK","Sem divergência relevante",IF(ABS(AH51)&gt;=MAX(ABS(AF51),ABS(AG51)),"Revisar salário líquido",IF(ABS(AF51)&gt;=ABS(AG51),"Revisar bruto/proventos","Revisar descontos")))))</x:f>
      </x:c>
    </x:row>
    <x:row r="52">
      <x:c r="A52" s="93" t="str">
        <x:f>IF(Cadastro!A52="","",Cadastro!A52)</x:f>
      </x:c>
      <x:c r="B52" s="93" t="str">
        <x:f>IF(Cadastro!B52="","",Cadastro!B52)</x:f>
      </x:c>
      <x:c r="C52" s="93" t="str">
        <x:f>IF(Cadastro!F52="","",Cadastro!F52)</x:f>
      </x:c>
      <x:c r="D52" s="94" t="str">
        <x:f>IF(Cadastro!I52="","",Cadastro!I52)</x:f>
      </x:c>
      <x:c r="E52" s="95" t="str">
        <x:f>IF($A52="","",SUMIFS('Movimentações'!$D$2:$D$501,'Movimentações'!$A$2:$A$501,'Parâmetros'!$B$4,'Movimentações'!$B$2:$B$501,$A52,'Movimentações'!$C$2:$C$501,"Falta (dias)"))</x:f>
      </x:c>
      <x:c r="F52" s="95" t="str">
        <x:f>IF($A52="","",SUMIFS('Movimentações'!$D$2:$D$501,'Movimentações'!$A$2:$A$501,'Parâmetros'!$B$4,'Movimentações'!$B$2:$B$501,$A52,'Movimentações'!$C$2:$C$501,"HE 50% (horas)"))</x:f>
      </x:c>
      <x:c r="G52" s="95" t="str">
        <x:f>IF($A52="","",SUMIFS('Movimentações'!$D$2:$D$501,'Movimentações'!$A$2:$A$501,'Parâmetros'!$B$4,'Movimentações'!$B$2:$B$501,$A52,'Movimentações'!$C$2:$C$501,"HE 100% (horas)"))</x:f>
      </x:c>
      <x:c r="H52" s="94" t="str">
        <x:f>IF($A52="","",SUMIFS('Movimentações'!$E$2:$E$501,'Movimentações'!$A$2:$A$501,'Parâmetros'!$B$4,'Movimentações'!$B$2:$B$501,$A52,'Movimentações'!$C$2:$C$501,"Comissão"))</x:f>
      </x:c>
      <x:c r="I52" s="94" t="str">
        <x:f>IF($A52="","",SUMIFS('Movimentações'!$E$2:$E$501,'Movimentações'!$A$2:$A$501,'Parâmetros'!$B$4,'Movimentações'!$B$2:$B$501,$A52,'Movimentações'!$C$2:$C$501,"Bônus/Gratificação"))</x:f>
      </x:c>
      <x:c r="J52" s="94" t="str">
        <x:f>IF($A52="","",SUMIFS('Movimentações'!$E$2:$E$501,'Movimentações'!$A$2:$A$501,'Parâmetros'!$B$4,'Movimentações'!$B$2:$B$501,$A52,'Movimentações'!$C$2:$C$501,"Adicional"))</x:f>
      </x:c>
      <x:c r="K52" s="94" t="str">
        <x:f>IF($A52="","",SUMIFS('Movimentações'!$E$2:$E$501,'Movimentações'!$A$2:$A$501,'Parâmetros'!$B$4,'Movimentações'!$B$2:$B$501,$A52,'Movimentações'!$C$2:$C$501,"Crédito Extra"))</x:f>
      </x:c>
      <x:c r="L52" s="94" t="str">
        <x:f>IF($A52="","",SUMIFS('Movimentações'!$E$2:$E$501,'Movimentações'!$A$2:$A$501,'Parâmetros'!$B$4,'Movimentações'!$B$2:$B$501,$A52,'Movimentações'!$C$2:$C$501,"Desconto Extra"))</x:f>
      </x:c>
      <x:c r="M52" s="96" t="str">
        <x:f>IF($A52="","",D52/IF(Cadastro!J52=0,'Parâmetros'!$B$12,Cadastro!J52))</x:f>
      </x:c>
      <x:c r="N52" s="96" t="str">
        <x:f>IF($A52="","",(D52/'Parâmetros'!$B$7)*E52)</x:f>
      </x:c>
      <x:c r="O52" s="96" t="str">
        <x:f>IF($A52="","",IF(E52&gt;0,D52/'Parâmetros'!$B$7,0))</x:f>
      </x:c>
      <x:c r="P52" s="96" t="str">
        <x:f>IF($A52="","",(M52*'Parâmetros'!$B$10)*F52)</x:f>
      </x:c>
      <x:c r="Q52" s="96" t="str">
        <x:f>IF($A52="","",(M52*'Parâmetros'!$B$11)*G52)</x:f>
      </x:c>
      <x:c r="R52" s="96" t="str">
        <x:f>IF($A52="","",((P52+Q52)/'Parâmetros'!$B$5)*'Parâmetros'!$B$6)</x:f>
      </x:c>
      <x:c r="S52" s="96" t="str">
        <x:f>IF($A52="","",(H52/'Parâmetros'!$B$5)*'Parâmetros'!$B$6)</x:f>
      </x:c>
      <x:c r="T52" s="96" t="str">
        <x:f>IF($A52="","",D52-N52-O52+H52+I52+J52+K52+P52+Q52+R52+S52)</x:f>
      </x:c>
      <x:c r="U52" s="96" t="str">
        <x:f>IF($A52="","",MIN(D52*'Parâmetros'!$B$9,Cadastro!L52))</x:f>
      </x:c>
      <x:c r="V52" s="96" t="str">
        <x:f>IF($A52="","",IF(T52&lt;='Parâmetros'!$C$16,T52*'Parâmetros'!$D$16,IF(T52&lt;='Parâmetros'!$C$17,T52*'Parâmetros'!$D$17-'Parâmetros'!$E$17,IF(T52&lt;='Parâmetros'!$C$18,T52*'Parâmetros'!$D$18-'Parâmetros'!$E$18,IF(T52&lt;='Parâmetros'!$C$19,T52*'Parâmetros'!$D$19-'Parâmetros'!$E$19,'Parâmetros'!$C$19*'Parâmetros'!$D$19-'Parâmetros'!$E$19)))))</x:f>
      </x:c>
      <x:c r="W52" s="96" t="str">
        <x:f>IF($A52="","",MAX(0,((T52-V52-(Cadastro!K52*'Parâmetros'!$H$6))*'Parâmetros'!$H$4)-'Parâmetros'!$H$5))</x:f>
      </x:c>
      <x:c r="X52" s="96" t="str">
        <x:f>IF($A52="","",Cadastro!M52)</x:f>
      </x:c>
      <x:c r="Y52" s="96" t="str">
        <x:f>IF($A52="","",Cadastro!N52)</x:f>
      </x:c>
      <x:c r="Z52" s="96" t="str">
        <x:f>IF($A52="","",Cadastro!O52)</x:f>
      </x:c>
      <x:c r="AA52" s="96" t="str">
        <x:f>IF($A52="","",N52+O52+U52+V52+W52+X52+Y52+Z52+L52)</x:f>
      </x:c>
      <x:c r="AB52" s="96" t="str">
        <x:f>IF($A52="","",T52-(U52+V52+W52+X52+Y52+Z52+L52))</x:f>
      </x:c>
      <x:c r="AC52" s="88" t="str">
        <x:f>IF($A52="","",SUMIFS('Importação Contabilidade'!$T$7:$T$500,'Importação Contabilidade'!$A$7:$A$500,'Parâmetros'!$B$4,'Importação Contabilidade'!$B$7:$B$500,$A52))</x:f>
      </x:c>
      <x:c r="AD52" s="88" t="str">
        <x:f>IF($A52="","",SUMIFS('Importação Contabilidade'!$U$7:$U$500,'Importação Contabilidade'!$A$7:$A$500,'Parâmetros'!$B$4,'Importação Contabilidade'!$B$7:$B$500,$A52))</x:f>
      </x:c>
      <x:c r="AE52" s="88" t="str">
        <x:f>IF($A52="","",SUMIFS('Importação Contabilidade'!$V$7:$V$500,'Importação Contabilidade'!$A$7:$A$500,'Parâmetros'!$B$4,'Importação Contabilidade'!$B$7:$B$500,$A52))</x:f>
      </x:c>
      <x:c r="AF52" s="97" t="str">
        <x:f>IF($A52="","",T52-AC52)</x:f>
      </x:c>
      <x:c r="AG52" s="97" t="str">
        <x:f>IF($A52="","",AA52-AD52)</x:f>
      </x:c>
      <x:c r="AH52" s="97" t="str">
        <x:f>IF($A52="","",AB52-AE52)</x:f>
      </x:c>
      <x:c r="AI52" s="98" t="str">
        <x:f>IF($A52="","",IF(COUNTIFS('Importação Contabilidade'!$A$7:$A$500,'Parâmetros'!$B$4,'Importação Contabilidade'!$B$7:$B$500,$A52)=0,"PENDENTE IMPORTAÇÃO",IF(AND(ABS(AF52)&lt;='Parâmetros'!$B$8,ABS(AG52)&lt;='Parâmetros'!$B$8,ABS(AH52)&lt;='Parâmetros'!$B$8),"OK","REVISAR")))</x:f>
      </x:c>
      <x:c r="AJ52" s="98" t="str">
        <x:f>IF($A52="","",IF(AI52="PENDENTE IMPORTAÇÃO","Funcionário/competência não encontrados na Importação Contabilidade",IF(AI52="OK","Sem divergência relevante",IF(ABS(AH52)&gt;=MAX(ABS(AF52),ABS(AG52)),"Revisar salário líquido",IF(ABS(AF52)&gt;=ABS(AG52),"Revisar bruto/proventos","Revisar descontos")))))</x:f>
      </x:c>
    </x:row>
    <x:row r="53">
      <x:c r="A53" s="93" t="str">
        <x:f>IF(Cadastro!A53="","",Cadastro!A53)</x:f>
      </x:c>
      <x:c r="B53" s="93" t="str">
        <x:f>IF(Cadastro!B53="","",Cadastro!B53)</x:f>
      </x:c>
      <x:c r="C53" s="93" t="str">
        <x:f>IF(Cadastro!F53="","",Cadastro!F53)</x:f>
      </x:c>
      <x:c r="D53" s="94" t="str">
        <x:f>IF(Cadastro!I53="","",Cadastro!I53)</x:f>
      </x:c>
      <x:c r="E53" s="95" t="str">
        <x:f>IF($A53="","",SUMIFS('Movimentações'!$D$2:$D$501,'Movimentações'!$A$2:$A$501,'Parâmetros'!$B$4,'Movimentações'!$B$2:$B$501,$A53,'Movimentações'!$C$2:$C$501,"Falta (dias)"))</x:f>
      </x:c>
      <x:c r="F53" s="95" t="str">
        <x:f>IF($A53="","",SUMIFS('Movimentações'!$D$2:$D$501,'Movimentações'!$A$2:$A$501,'Parâmetros'!$B$4,'Movimentações'!$B$2:$B$501,$A53,'Movimentações'!$C$2:$C$501,"HE 50% (horas)"))</x:f>
      </x:c>
      <x:c r="G53" s="95" t="str">
        <x:f>IF($A53="","",SUMIFS('Movimentações'!$D$2:$D$501,'Movimentações'!$A$2:$A$501,'Parâmetros'!$B$4,'Movimentações'!$B$2:$B$501,$A53,'Movimentações'!$C$2:$C$501,"HE 100% (horas)"))</x:f>
      </x:c>
      <x:c r="H53" s="94" t="str">
        <x:f>IF($A53="","",SUMIFS('Movimentações'!$E$2:$E$501,'Movimentações'!$A$2:$A$501,'Parâmetros'!$B$4,'Movimentações'!$B$2:$B$501,$A53,'Movimentações'!$C$2:$C$501,"Comissão"))</x:f>
      </x:c>
      <x:c r="I53" s="94" t="str">
        <x:f>IF($A53="","",SUMIFS('Movimentações'!$E$2:$E$501,'Movimentações'!$A$2:$A$501,'Parâmetros'!$B$4,'Movimentações'!$B$2:$B$501,$A53,'Movimentações'!$C$2:$C$501,"Bônus/Gratificação"))</x:f>
      </x:c>
      <x:c r="J53" s="94" t="str">
        <x:f>IF($A53="","",SUMIFS('Movimentações'!$E$2:$E$501,'Movimentações'!$A$2:$A$501,'Parâmetros'!$B$4,'Movimentações'!$B$2:$B$501,$A53,'Movimentações'!$C$2:$C$501,"Adicional"))</x:f>
      </x:c>
      <x:c r="K53" s="94" t="str">
        <x:f>IF($A53="","",SUMIFS('Movimentações'!$E$2:$E$501,'Movimentações'!$A$2:$A$501,'Parâmetros'!$B$4,'Movimentações'!$B$2:$B$501,$A53,'Movimentações'!$C$2:$C$501,"Crédito Extra"))</x:f>
      </x:c>
      <x:c r="L53" s="94" t="str">
        <x:f>IF($A53="","",SUMIFS('Movimentações'!$E$2:$E$501,'Movimentações'!$A$2:$A$501,'Parâmetros'!$B$4,'Movimentações'!$B$2:$B$501,$A53,'Movimentações'!$C$2:$C$501,"Desconto Extra"))</x:f>
      </x:c>
      <x:c r="M53" s="96" t="str">
        <x:f>IF($A53="","",D53/IF(Cadastro!J53=0,'Parâmetros'!$B$12,Cadastro!J53))</x:f>
      </x:c>
      <x:c r="N53" s="96" t="str">
        <x:f>IF($A53="","",(D53/'Parâmetros'!$B$7)*E53)</x:f>
      </x:c>
      <x:c r="O53" s="96" t="str">
        <x:f>IF($A53="","",IF(E53&gt;0,D53/'Parâmetros'!$B$7,0))</x:f>
      </x:c>
      <x:c r="P53" s="96" t="str">
        <x:f>IF($A53="","",(M53*'Parâmetros'!$B$10)*F53)</x:f>
      </x:c>
      <x:c r="Q53" s="96" t="str">
        <x:f>IF($A53="","",(M53*'Parâmetros'!$B$11)*G53)</x:f>
      </x:c>
      <x:c r="R53" s="96" t="str">
        <x:f>IF($A53="","",((P53+Q53)/'Parâmetros'!$B$5)*'Parâmetros'!$B$6)</x:f>
      </x:c>
      <x:c r="S53" s="96" t="str">
        <x:f>IF($A53="","",(H53/'Parâmetros'!$B$5)*'Parâmetros'!$B$6)</x:f>
      </x:c>
      <x:c r="T53" s="96" t="str">
        <x:f>IF($A53="","",D53-N53-O53+H53+I53+J53+K53+P53+Q53+R53+S53)</x:f>
      </x:c>
      <x:c r="U53" s="96" t="str">
        <x:f>IF($A53="","",MIN(D53*'Parâmetros'!$B$9,Cadastro!L53))</x:f>
      </x:c>
      <x:c r="V53" s="96" t="str">
        <x:f>IF($A53="","",IF(T53&lt;='Parâmetros'!$C$16,T53*'Parâmetros'!$D$16,IF(T53&lt;='Parâmetros'!$C$17,T53*'Parâmetros'!$D$17-'Parâmetros'!$E$17,IF(T53&lt;='Parâmetros'!$C$18,T53*'Parâmetros'!$D$18-'Parâmetros'!$E$18,IF(T53&lt;='Parâmetros'!$C$19,T53*'Parâmetros'!$D$19-'Parâmetros'!$E$19,'Parâmetros'!$C$19*'Parâmetros'!$D$19-'Parâmetros'!$E$19)))))</x:f>
      </x:c>
      <x:c r="W53" s="96" t="str">
        <x:f>IF($A53="","",MAX(0,((T53-V53-(Cadastro!K53*'Parâmetros'!$H$6))*'Parâmetros'!$H$4)-'Parâmetros'!$H$5))</x:f>
      </x:c>
      <x:c r="X53" s="96" t="str">
        <x:f>IF($A53="","",Cadastro!M53)</x:f>
      </x:c>
      <x:c r="Y53" s="96" t="str">
        <x:f>IF($A53="","",Cadastro!N53)</x:f>
      </x:c>
      <x:c r="Z53" s="96" t="str">
        <x:f>IF($A53="","",Cadastro!O53)</x:f>
      </x:c>
      <x:c r="AA53" s="96" t="str">
        <x:f>IF($A53="","",N53+O53+U53+V53+W53+X53+Y53+Z53+L53)</x:f>
      </x:c>
      <x:c r="AB53" s="96" t="str">
        <x:f>IF($A53="","",T53-(U53+V53+W53+X53+Y53+Z53+L53))</x:f>
      </x:c>
      <x:c r="AC53" s="88" t="str">
        <x:f>IF($A53="","",SUMIFS('Importação Contabilidade'!$T$7:$T$500,'Importação Contabilidade'!$A$7:$A$500,'Parâmetros'!$B$4,'Importação Contabilidade'!$B$7:$B$500,$A53))</x:f>
      </x:c>
      <x:c r="AD53" s="88" t="str">
        <x:f>IF($A53="","",SUMIFS('Importação Contabilidade'!$U$7:$U$500,'Importação Contabilidade'!$A$7:$A$500,'Parâmetros'!$B$4,'Importação Contabilidade'!$B$7:$B$500,$A53))</x:f>
      </x:c>
      <x:c r="AE53" s="88" t="str">
        <x:f>IF($A53="","",SUMIFS('Importação Contabilidade'!$V$7:$V$500,'Importação Contabilidade'!$A$7:$A$500,'Parâmetros'!$B$4,'Importação Contabilidade'!$B$7:$B$500,$A53))</x:f>
      </x:c>
      <x:c r="AF53" s="97" t="str">
        <x:f>IF($A53="","",T53-AC53)</x:f>
      </x:c>
      <x:c r="AG53" s="97" t="str">
        <x:f>IF($A53="","",AA53-AD53)</x:f>
      </x:c>
      <x:c r="AH53" s="97" t="str">
        <x:f>IF($A53="","",AB53-AE53)</x:f>
      </x:c>
      <x:c r="AI53" s="98" t="str">
        <x:f>IF($A53="","",IF(COUNTIFS('Importação Contabilidade'!$A$7:$A$500,'Parâmetros'!$B$4,'Importação Contabilidade'!$B$7:$B$500,$A53)=0,"PENDENTE IMPORTAÇÃO",IF(AND(ABS(AF53)&lt;='Parâmetros'!$B$8,ABS(AG53)&lt;='Parâmetros'!$B$8,ABS(AH53)&lt;='Parâmetros'!$B$8),"OK","REVISAR")))</x:f>
      </x:c>
      <x:c r="AJ53" s="98" t="str">
        <x:f>IF($A53="","",IF(AI53="PENDENTE IMPORTAÇÃO","Funcionário/competência não encontrados na Importação Contabilidade",IF(AI53="OK","Sem divergência relevante",IF(ABS(AH53)&gt;=MAX(ABS(AF53),ABS(AG53)),"Revisar salário líquido",IF(ABS(AF53)&gt;=ABS(AG53),"Revisar bruto/proventos","Revisar descontos")))))</x:f>
      </x:c>
    </x:row>
    <x:row r="54">
      <x:c r="A54" s="93" t="str">
        <x:f>IF(Cadastro!A54="","",Cadastro!A54)</x:f>
      </x:c>
      <x:c r="B54" s="93" t="str">
        <x:f>IF(Cadastro!B54="","",Cadastro!B54)</x:f>
      </x:c>
      <x:c r="C54" s="93" t="str">
        <x:f>IF(Cadastro!F54="","",Cadastro!F54)</x:f>
      </x:c>
      <x:c r="D54" s="94" t="str">
        <x:f>IF(Cadastro!I54="","",Cadastro!I54)</x:f>
      </x:c>
      <x:c r="E54" s="95" t="str">
        <x:f>IF($A54="","",SUMIFS('Movimentações'!$D$2:$D$501,'Movimentações'!$A$2:$A$501,'Parâmetros'!$B$4,'Movimentações'!$B$2:$B$501,$A54,'Movimentações'!$C$2:$C$501,"Falta (dias)"))</x:f>
      </x:c>
      <x:c r="F54" s="95" t="str">
        <x:f>IF($A54="","",SUMIFS('Movimentações'!$D$2:$D$501,'Movimentações'!$A$2:$A$501,'Parâmetros'!$B$4,'Movimentações'!$B$2:$B$501,$A54,'Movimentações'!$C$2:$C$501,"HE 50% (horas)"))</x:f>
      </x:c>
      <x:c r="G54" s="95" t="str">
        <x:f>IF($A54="","",SUMIFS('Movimentações'!$D$2:$D$501,'Movimentações'!$A$2:$A$501,'Parâmetros'!$B$4,'Movimentações'!$B$2:$B$501,$A54,'Movimentações'!$C$2:$C$501,"HE 100% (horas)"))</x:f>
      </x:c>
      <x:c r="H54" s="94" t="str">
        <x:f>IF($A54="","",SUMIFS('Movimentações'!$E$2:$E$501,'Movimentações'!$A$2:$A$501,'Parâmetros'!$B$4,'Movimentações'!$B$2:$B$501,$A54,'Movimentações'!$C$2:$C$501,"Comissão"))</x:f>
      </x:c>
      <x:c r="I54" s="94" t="str">
        <x:f>IF($A54="","",SUMIFS('Movimentações'!$E$2:$E$501,'Movimentações'!$A$2:$A$501,'Parâmetros'!$B$4,'Movimentações'!$B$2:$B$501,$A54,'Movimentações'!$C$2:$C$501,"Bônus/Gratificação"))</x:f>
      </x:c>
      <x:c r="J54" s="94" t="str">
        <x:f>IF($A54="","",SUMIFS('Movimentações'!$E$2:$E$501,'Movimentações'!$A$2:$A$501,'Parâmetros'!$B$4,'Movimentações'!$B$2:$B$501,$A54,'Movimentações'!$C$2:$C$501,"Adicional"))</x:f>
      </x:c>
      <x:c r="K54" s="94" t="str">
        <x:f>IF($A54="","",SUMIFS('Movimentações'!$E$2:$E$501,'Movimentações'!$A$2:$A$501,'Parâmetros'!$B$4,'Movimentações'!$B$2:$B$501,$A54,'Movimentações'!$C$2:$C$501,"Crédito Extra"))</x:f>
      </x:c>
      <x:c r="L54" s="94" t="str">
        <x:f>IF($A54="","",SUMIFS('Movimentações'!$E$2:$E$501,'Movimentações'!$A$2:$A$501,'Parâmetros'!$B$4,'Movimentações'!$B$2:$B$501,$A54,'Movimentações'!$C$2:$C$501,"Desconto Extra"))</x:f>
      </x:c>
      <x:c r="M54" s="96" t="str">
        <x:f>IF($A54="","",D54/IF(Cadastro!J54=0,'Parâmetros'!$B$12,Cadastro!J54))</x:f>
      </x:c>
      <x:c r="N54" s="96" t="str">
        <x:f>IF($A54="","",(D54/'Parâmetros'!$B$7)*E54)</x:f>
      </x:c>
      <x:c r="O54" s="96" t="str">
        <x:f>IF($A54="","",IF(E54&gt;0,D54/'Parâmetros'!$B$7,0))</x:f>
      </x:c>
      <x:c r="P54" s="96" t="str">
        <x:f>IF($A54="","",(M54*'Parâmetros'!$B$10)*F54)</x:f>
      </x:c>
      <x:c r="Q54" s="96" t="str">
        <x:f>IF($A54="","",(M54*'Parâmetros'!$B$11)*G54)</x:f>
      </x:c>
      <x:c r="R54" s="96" t="str">
        <x:f>IF($A54="","",((P54+Q54)/'Parâmetros'!$B$5)*'Parâmetros'!$B$6)</x:f>
      </x:c>
      <x:c r="S54" s="96" t="str">
        <x:f>IF($A54="","",(H54/'Parâmetros'!$B$5)*'Parâmetros'!$B$6)</x:f>
      </x:c>
      <x:c r="T54" s="96" t="str">
        <x:f>IF($A54="","",D54-N54-O54+H54+I54+J54+K54+P54+Q54+R54+S54)</x:f>
      </x:c>
      <x:c r="U54" s="96" t="str">
        <x:f>IF($A54="","",MIN(D54*'Parâmetros'!$B$9,Cadastro!L54))</x:f>
      </x:c>
      <x:c r="V54" s="96" t="str">
        <x:f>IF($A54="","",IF(T54&lt;='Parâmetros'!$C$16,T54*'Parâmetros'!$D$16,IF(T54&lt;='Parâmetros'!$C$17,T54*'Parâmetros'!$D$17-'Parâmetros'!$E$17,IF(T54&lt;='Parâmetros'!$C$18,T54*'Parâmetros'!$D$18-'Parâmetros'!$E$18,IF(T54&lt;='Parâmetros'!$C$19,T54*'Parâmetros'!$D$19-'Parâmetros'!$E$19,'Parâmetros'!$C$19*'Parâmetros'!$D$19-'Parâmetros'!$E$19)))))</x:f>
      </x:c>
      <x:c r="W54" s="96" t="str">
        <x:f>IF($A54="","",MAX(0,((T54-V54-(Cadastro!K54*'Parâmetros'!$H$6))*'Parâmetros'!$H$4)-'Parâmetros'!$H$5))</x:f>
      </x:c>
      <x:c r="X54" s="96" t="str">
        <x:f>IF($A54="","",Cadastro!M54)</x:f>
      </x:c>
      <x:c r="Y54" s="96" t="str">
        <x:f>IF($A54="","",Cadastro!N54)</x:f>
      </x:c>
      <x:c r="Z54" s="96" t="str">
        <x:f>IF($A54="","",Cadastro!O54)</x:f>
      </x:c>
      <x:c r="AA54" s="96" t="str">
        <x:f>IF($A54="","",N54+O54+U54+V54+W54+X54+Y54+Z54+L54)</x:f>
      </x:c>
      <x:c r="AB54" s="96" t="str">
        <x:f>IF($A54="","",T54-(U54+V54+W54+X54+Y54+Z54+L54))</x:f>
      </x:c>
      <x:c r="AC54" s="88" t="str">
        <x:f>IF($A54="","",SUMIFS('Importação Contabilidade'!$T$7:$T$500,'Importação Contabilidade'!$A$7:$A$500,'Parâmetros'!$B$4,'Importação Contabilidade'!$B$7:$B$500,$A54))</x:f>
      </x:c>
      <x:c r="AD54" s="88" t="str">
        <x:f>IF($A54="","",SUMIFS('Importação Contabilidade'!$U$7:$U$500,'Importação Contabilidade'!$A$7:$A$500,'Parâmetros'!$B$4,'Importação Contabilidade'!$B$7:$B$500,$A54))</x:f>
      </x:c>
      <x:c r="AE54" s="88" t="str">
        <x:f>IF($A54="","",SUMIFS('Importação Contabilidade'!$V$7:$V$500,'Importação Contabilidade'!$A$7:$A$500,'Parâmetros'!$B$4,'Importação Contabilidade'!$B$7:$B$500,$A54))</x:f>
      </x:c>
      <x:c r="AF54" s="97" t="str">
        <x:f>IF($A54="","",T54-AC54)</x:f>
      </x:c>
      <x:c r="AG54" s="97" t="str">
        <x:f>IF($A54="","",AA54-AD54)</x:f>
      </x:c>
      <x:c r="AH54" s="97" t="str">
        <x:f>IF($A54="","",AB54-AE54)</x:f>
      </x:c>
      <x:c r="AI54" s="98" t="str">
        <x:f>IF($A54="","",IF(COUNTIFS('Importação Contabilidade'!$A$7:$A$500,'Parâmetros'!$B$4,'Importação Contabilidade'!$B$7:$B$500,$A54)=0,"PENDENTE IMPORTAÇÃO",IF(AND(ABS(AF54)&lt;='Parâmetros'!$B$8,ABS(AG54)&lt;='Parâmetros'!$B$8,ABS(AH54)&lt;='Parâmetros'!$B$8),"OK","REVISAR")))</x:f>
      </x:c>
      <x:c r="AJ54" s="98" t="str">
        <x:f>IF($A54="","",IF(AI54="PENDENTE IMPORTAÇÃO","Funcionário/competência não encontrados na Importação Contabilidade",IF(AI54="OK","Sem divergência relevante",IF(ABS(AH54)&gt;=MAX(ABS(AF54),ABS(AG54)),"Revisar salário líquido",IF(ABS(AF54)&gt;=ABS(AG54),"Revisar bruto/proventos","Revisar descontos")))))</x:f>
      </x:c>
    </x:row>
    <x:row r="55">
      <x:c r="A55" s="93" t="str">
        <x:f>IF(Cadastro!A55="","",Cadastro!A55)</x:f>
      </x:c>
      <x:c r="B55" s="93" t="str">
        <x:f>IF(Cadastro!B55="","",Cadastro!B55)</x:f>
      </x:c>
      <x:c r="C55" s="93" t="str">
        <x:f>IF(Cadastro!F55="","",Cadastro!F55)</x:f>
      </x:c>
      <x:c r="D55" s="94" t="str">
        <x:f>IF(Cadastro!I55="","",Cadastro!I55)</x:f>
      </x:c>
      <x:c r="E55" s="95" t="str">
        <x:f>IF($A55="","",SUMIFS('Movimentações'!$D$2:$D$501,'Movimentações'!$A$2:$A$501,'Parâmetros'!$B$4,'Movimentações'!$B$2:$B$501,$A55,'Movimentações'!$C$2:$C$501,"Falta (dias)"))</x:f>
      </x:c>
      <x:c r="F55" s="95" t="str">
        <x:f>IF($A55="","",SUMIFS('Movimentações'!$D$2:$D$501,'Movimentações'!$A$2:$A$501,'Parâmetros'!$B$4,'Movimentações'!$B$2:$B$501,$A55,'Movimentações'!$C$2:$C$501,"HE 50% (horas)"))</x:f>
      </x:c>
      <x:c r="G55" s="95" t="str">
        <x:f>IF($A55="","",SUMIFS('Movimentações'!$D$2:$D$501,'Movimentações'!$A$2:$A$501,'Parâmetros'!$B$4,'Movimentações'!$B$2:$B$501,$A55,'Movimentações'!$C$2:$C$501,"HE 100% (horas)"))</x:f>
      </x:c>
      <x:c r="H55" s="94" t="str">
        <x:f>IF($A55="","",SUMIFS('Movimentações'!$E$2:$E$501,'Movimentações'!$A$2:$A$501,'Parâmetros'!$B$4,'Movimentações'!$B$2:$B$501,$A55,'Movimentações'!$C$2:$C$501,"Comissão"))</x:f>
      </x:c>
      <x:c r="I55" s="94" t="str">
        <x:f>IF($A55="","",SUMIFS('Movimentações'!$E$2:$E$501,'Movimentações'!$A$2:$A$501,'Parâmetros'!$B$4,'Movimentações'!$B$2:$B$501,$A55,'Movimentações'!$C$2:$C$501,"Bônus/Gratificação"))</x:f>
      </x:c>
      <x:c r="J55" s="94" t="str">
        <x:f>IF($A55="","",SUMIFS('Movimentações'!$E$2:$E$501,'Movimentações'!$A$2:$A$501,'Parâmetros'!$B$4,'Movimentações'!$B$2:$B$501,$A55,'Movimentações'!$C$2:$C$501,"Adicional"))</x:f>
      </x:c>
      <x:c r="K55" s="94" t="str">
        <x:f>IF($A55="","",SUMIFS('Movimentações'!$E$2:$E$501,'Movimentações'!$A$2:$A$501,'Parâmetros'!$B$4,'Movimentações'!$B$2:$B$501,$A55,'Movimentações'!$C$2:$C$501,"Crédito Extra"))</x:f>
      </x:c>
      <x:c r="L55" s="94" t="str">
        <x:f>IF($A55="","",SUMIFS('Movimentações'!$E$2:$E$501,'Movimentações'!$A$2:$A$501,'Parâmetros'!$B$4,'Movimentações'!$B$2:$B$501,$A55,'Movimentações'!$C$2:$C$501,"Desconto Extra"))</x:f>
      </x:c>
      <x:c r="M55" s="96" t="str">
        <x:f>IF($A55="","",D55/IF(Cadastro!J55=0,'Parâmetros'!$B$12,Cadastro!J55))</x:f>
      </x:c>
      <x:c r="N55" s="96" t="str">
        <x:f>IF($A55="","",(D55/'Parâmetros'!$B$7)*E55)</x:f>
      </x:c>
      <x:c r="O55" s="96" t="str">
        <x:f>IF($A55="","",IF(E55&gt;0,D55/'Parâmetros'!$B$7,0))</x:f>
      </x:c>
      <x:c r="P55" s="96" t="str">
        <x:f>IF($A55="","",(M55*'Parâmetros'!$B$10)*F55)</x:f>
      </x:c>
      <x:c r="Q55" s="96" t="str">
        <x:f>IF($A55="","",(M55*'Parâmetros'!$B$11)*G55)</x:f>
      </x:c>
      <x:c r="R55" s="96" t="str">
        <x:f>IF($A55="","",((P55+Q55)/'Parâmetros'!$B$5)*'Parâmetros'!$B$6)</x:f>
      </x:c>
      <x:c r="S55" s="96" t="str">
        <x:f>IF($A55="","",(H55/'Parâmetros'!$B$5)*'Parâmetros'!$B$6)</x:f>
      </x:c>
      <x:c r="T55" s="96" t="str">
        <x:f>IF($A55="","",D55-N55-O55+H55+I55+J55+K55+P55+Q55+R55+S55)</x:f>
      </x:c>
      <x:c r="U55" s="96" t="str">
        <x:f>IF($A55="","",MIN(D55*'Parâmetros'!$B$9,Cadastro!L55))</x:f>
      </x:c>
      <x:c r="V55" s="96" t="str">
        <x:f>IF($A55="","",IF(T55&lt;='Parâmetros'!$C$16,T55*'Parâmetros'!$D$16,IF(T55&lt;='Parâmetros'!$C$17,T55*'Parâmetros'!$D$17-'Parâmetros'!$E$17,IF(T55&lt;='Parâmetros'!$C$18,T55*'Parâmetros'!$D$18-'Parâmetros'!$E$18,IF(T55&lt;='Parâmetros'!$C$19,T55*'Parâmetros'!$D$19-'Parâmetros'!$E$19,'Parâmetros'!$C$19*'Parâmetros'!$D$19-'Parâmetros'!$E$19)))))</x:f>
      </x:c>
      <x:c r="W55" s="96" t="str">
        <x:f>IF($A55="","",MAX(0,((T55-V55-(Cadastro!K55*'Parâmetros'!$H$6))*'Parâmetros'!$H$4)-'Parâmetros'!$H$5))</x:f>
      </x:c>
      <x:c r="X55" s="96" t="str">
        <x:f>IF($A55="","",Cadastro!M55)</x:f>
      </x:c>
      <x:c r="Y55" s="96" t="str">
        <x:f>IF($A55="","",Cadastro!N55)</x:f>
      </x:c>
      <x:c r="Z55" s="96" t="str">
        <x:f>IF($A55="","",Cadastro!O55)</x:f>
      </x:c>
      <x:c r="AA55" s="96" t="str">
        <x:f>IF($A55="","",N55+O55+U55+V55+W55+X55+Y55+Z55+L55)</x:f>
      </x:c>
      <x:c r="AB55" s="96" t="str">
        <x:f>IF($A55="","",T55-(U55+V55+W55+X55+Y55+Z55+L55))</x:f>
      </x:c>
      <x:c r="AC55" s="88" t="str">
        <x:f>IF($A55="","",SUMIFS('Importação Contabilidade'!$T$7:$T$500,'Importação Contabilidade'!$A$7:$A$500,'Parâmetros'!$B$4,'Importação Contabilidade'!$B$7:$B$500,$A55))</x:f>
      </x:c>
      <x:c r="AD55" s="88" t="str">
        <x:f>IF($A55="","",SUMIFS('Importação Contabilidade'!$U$7:$U$500,'Importação Contabilidade'!$A$7:$A$500,'Parâmetros'!$B$4,'Importação Contabilidade'!$B$7:$B$500,$A55))</x:f>
      </x:c>
      <x:c r="AE55" s="88" t="str">
        <x:f>IF($A55="","",SUMIFS('Importação Contabilidade'!$V$7:$V$500,'Importação Contabilidade'!$A$7:$A$500,'Parâmetros'!$B$4,'Importação Contabilidade'!$B$7:$B$500,$A55))</x:f>
      </x:c>
      <x:c r="AF55" s="97" t="str">
        <x:f>IF($A55="","",T55-AC55)</x:f>
      </x:c>
      <x:c r="AG55" s="97" t="str">
        <x:f>IF($A55="","",AA55-AD55)</x:f>
      </x:c>
      <x:c r="AH55" s="97" t="str">
        <x:f>IF($A55="","",AB55-AE55)</x:f>
      </x:c>
      <x:c r="AI55" s="98" t="str">
        <x:f>IF($A55="","",IF(COUNTIFS('Importação Contabilidade'!$A$7:$A$500,'Parâmetros'!$B$4,'Importação Contabilidade'!$B$7:$B$500,$A55)=0,"PENDENTE IMPORTAÇÃO",IF(AND(ABS(AF55)&lt;='Parâmetros'!$B$8,ABS(AG55)&lt;='Parâmetros'!$B$8,ABS(AH55)&lt;='Parâmetros'!$B$8),"OK","REVISAR")))</x:f>
      </x:c>
      <x:c r="AJ55" s="98" t="str">
        <x:f>IF($A55="","",IF(AI55="PENDENTE IMPORTAÇÃO","Funcionário/competência não encontrados na Importação Contabilidade",IF(AI55="OK","Sem divergência relevante",IF(ABS(AH55)&gt;=MAX(ABS(AF55),ABS(AG55)),"Revisar salário líquido",IF(ABS(AF55)&gt;=ABS(AG55),"Revisar bruto/proventos","Revisar descontos")))))</x:f>
      </x:c>
    </x:row>
    <x:row r="56">
      <x:c r="A56" s="93" t="str">
        <x:f>IF(Cadastro!A56="","",Cadastro!A56)</x:f>
      </x:c>
      <x:c r="B56" s="93" t="str">
        <x:f>IF(Cadastro!B56="","",Cadastro!B56)</x:f>
      </x:c>
      <x:c r="C56" s="93" t="str">
        <x:f>IF(Cadastro!F56="","",Cadastro!F56)</x:f>
      </x:c>
      <x:c r="D56" s="94" t="str">
        <x:f>IF(Cadastro!I56="","",Cadastro!I56)</x:f>
      </x:c>
      <x:c r="E56" s="95" t="str">
        <x:f>IF($A56="","",SUMIFS('Movimentações'!$D$2:$D$501,'Movimentações'!$A$2:$A$501,'Parâmetros'!$B$4,'Movimentações'!$B$2:$B$501,$A56,'Movimentações'!$C$2:$C$501,"Falta (dias)"))</x:f>
      </x:c>
      <x:c r="F56" s="95" t="str">
        <x:f>IF($A56="","",SUMIFS('Movimentações'!$D$2:$D$501,'Movimentações'!$A$2:$A$501,'Parâmetros'!$B$4,'Movimentações'!$B$2:$B$501,$A56,'Movimentações'!$C$2:$C$501,"HE 50% (horas)"))</x:f>
      </x:c>
      <x:c r="G56" s="95" t="str">
        <x:f>IF($A56="","",SUMIFS('Movimentações'!$D$2:$D$501,'Movimentações'!$A$2:$A$501,'Parâmetros'!$B$4,'Movimentações'!$B$2:$B$501,$A56,'Movimentações'!$C$2:$C$501,"HE 100% (horas)"))</x:f>
      </x:c>
      <x:c r="H56" s="94" t="str">
        <x:f>IF($A56="","",SUMIFS('Movimentações'!$E$2:$E$501,'Movimentações'!$A$2:$A$501,'Parâmetros'!$B$4,'Movimentações'!$B$2:$B$501,$A56,'Movimentações'!$C$2:$C$501,"Comissão"))</x:f>
      </x:c>
      <x:c r="I56" s="94" t="str">
        <x:f>IF($A56="","",SUMIFS('Movimentações'!$E$2:$E$501,'Movimentações'!$A$2:$A$501,'Parâmetros'!$B$4,'Movimentações'!$B$2:$B$501,$A56,'Movimentações'!$C$2:$C$501,"Bônus/Gratificação"))</x:f>
      </x:c>
      <x:c r="J56" s="94" t="str">
        <x:f>IF($A56="","",SUMIFS('Movimentações'!$E$2:$E$501,'Movimentações'!$A$2:$A$501,'Parâmetros'!$B$4,'Movimentações'!$B$2:$B$501,$A56,'Movimentações'!$C$2:$C$501,"Adicional"))</x:f>
      </x:c>
      <x:c r="K56" s="94" t="str">
        <x:f>IF($A56="","",SUMIFS('Movimentações'!$E$2:$E$501,'Movimentações'!$A$2:$A$501,'Parâmetros'!$B$4,'Movimentações'!$B$2:$B$501,$A56,'Movimentações'!$C$2:$C$501,"Crédito Extra"))</x:f>
      </x:c>
      <x:c r="L56" s="94" t="str">
        <x:f>IF($A56="","",SUMIFS('Movimentações'!$E$2:$E$501,'Movimentações'!$A$2:$A$501,'Parâmetros'!$B$4,'Movimentações'!$B$2:$B$501,$A56,'Movimentações'!$C$2:$C$501,"Desconto Extra"))</x:f>
      </x:c>
      <x:c r="M56" s="96" t="str">
        <x:f>IF($A56="","",D56/IF(Cadastro!J56=0,'Parâmetros'!$B$12,Cadastro!J56))</x:f>
      </x:c>
      <x:c r="N56" s="96" t="str">
        <x:f>IF($A56="","",(D56/'Parâmetros'!$B$7)*E56)</x:f>
      </x:c>
      <x:c r="O56" s="96" t="str">
        <x:f>IF($A56="","",IF(E56&gt;0,D56/'Parâmetros'!$B$7,0))</x:f>
      </x:c>
      <x:c r="P56" s="96" t="str">
        <x:f>IF($A56="","",(M56*'Parâmetros'!$B$10)*F56)</x:f>
      </x:c>
      <x:c r="Q56" s="96" t="str">
        <x:f>IF($A56="","",(M56*'Parâmetros'!$B$11)*G56)</x:f>
      </x:c>
      <x:c r="R56" s="96" t="str">
        <x:f>IF($A56="","",((P56+Q56)/'Parâmetros'!$B$5)*'Parâmetros'!$B$6)</x:f>
      </x:c>
      <x:c r="S56" s="96" t="str">
        <x:f>IF($A56="","",(H56/'Parâmetros'!$B$5)*'Parâmetros'!$B$6)</x:f>
      </x:c>
      <x:c r="T56" s="96" t="str">
        <x:f>IF($A56="","",D56-N56-O56+H56+I56+J56+K56+P56+Q56+R56+S56)</x:f>
      </x:c>
      <x:c r="U56" s="96" t="str">
        <x:f>IF($A56="","",MIN(D56*'Parâmetros'!$B$9,Cadastro!L56))</x:f>
      </x:c>
      <x:c r="V56" s="96" t="str">
        <x:f>IF($A56="","",IF(T56&lt;='Parâmetros'!$C$16,T56*'Parâmetros'!$D$16,IF(T56&lt;='Parâmetros'!$C$17,T56*'Parâmetros'!$D$17-'Parâmetros'!$E$17,IF(T56&lt;='Parâmetros'!$C$18,T56*'Parâmetros'!$D$18-'Parâmetros'!$E$18,IF(T56&lt;='Parâmetros'!$C$19,T56*'Parâmetros'!$D$19-'Parâmetros'!$E$19,'Parâmetros'!$C$19*'Parâmetros'!$D$19-'Parâmetros'!$E$19)))))</x:f>
      </x:c>
      <x:c r="W56" s="96" t="str">
        <x:f>IF($A56="","",MAX(0,((T56-V56-(Cadastro!K56*'Parâmetros'!$H$6))*'Parâmetros'!$H$4)-'Parâmetros'!$H$5))</x:f>
      </x:c>
      <x:c r="X56" s="96" t="str">
        <x:f>IF($A56="","",Cadastro!M56)</x:f>
      </x:c>
      <x:c r="Y56" s="96" t="str">
        <x:f>IF($A56="","",Cadastro!N56)</x:f>
      </x:c>
      <x:c r="Z56" s="96" t="str">
        <x:f>IF($A56="","",Cadastro!O56)</x:f>
      </x:c>
      <x:c r="AA56" s="96" t="str">
        <x:f>IF($A56="","",N56+O56+U56+V56+W56+X56+Y56+Z56+L56)</x:f>
      </x:c>
      <x:c r="AB56" s="96" t="str">
        <x:f>IF($A56="","",T56-(U56+V56+W56+X56+Y56+Z56+L56))</x:f>
      </x:c>
      <x:c r="AC56" s="88" t="str">
        <x:f>IF($A56="","",SUMIFS('Importação Contabilidade'!$T$7:$T$500,'Importação Contabilidade'!$A$7:$A$500,'Parâmetros'!$B$4,'Importação Contabilidade'!$B$7:$B$500,$A56))</x:f>
      </x:c>
      <x:c r="AD56" s="88" t="str">
        <x:f>IF($A56="","",SUMIFS('Importação Contabilidade'!$U$7:$U$500,'Importação Contabilidade'!$A$7:$A$500,'Parâmetros'!$B$4,'Importação Contabilidade'!$B$7:$B$500,$A56))</x:f>
      </x:c>
      <x:c r="AE56" s="88" t="str">
        <x:f>IF($A56="","",SUMIFS('Importação Contabilidade'!$V$7:$V$500,'Importação Contabilidade'!$A$7:$A$500,'Parâmetros'!$B$4,'Importação Contabilidade'!$B$7:$B$500,$A56))</x:f>
      </x:c>
      <x:c r="AF56" s="97" t="str">
        <x:f>IF($A56="","",T56-AC56)</x:f>
      </x:c>
      <x:c r="AG56" s="97" t="str">
        <x:f>IF($A56="","",AA56-AD56)</x:f>
      </x:c>
      <x:c r="AH56" s="97" t="str">
        <x:f>IF($A56="","",AB56-AE56)</x:f>
      </x:c>
      <x:c r="AI56" s="98" t="str">
        <x:f>IF($A56="","",IF(COUNTIFS('Importação Contabilidade'!$A$7:$A$500,'Parâmetros'!$B$4,'Importação Contabilidade'!$B$7:$B$500,$A56)=0,"PENDENTE IMPORTAÇÃO",IF(AND(ABS(AF56)&lt;='Parâmetros'!$B$8,ABS(AG56)&lt;='Parâmetros'!$B$8,ABS(AH56)&lt;='Parâmetros'!$B$8),"OK","REVISAR")))</x:f>
      </x:c>
      <x:c r="AJ56" s="98" t="str">
        <x:f>IF($A56="","",IF(AI56="PENDENTE IMPORTAÇÃO","Funcionário/competência não encontrados na Importação Contabilidade",IF(AI56="OK","Sem divergência relevante",IF(ABS(AH56)&gt;=MAX(ABS(AF56),ABS(AG56)),"Revisar salário líquido",IF(ABS(AF56)&gt;=ABS(AG56),"Revisar bruto/proventos","Revisar descontos")))))</x:f>
      </x:c>
    </x:row>
    <x:row r="57">
      <x:c r="A57" s="93" t="str">
        <x:f>IF(Cadastro!A57="","",Cadastro!A57)</x:f>
      </x:c>
      <x:c r="B57" s="93" t="str">
        <x:f>IF(Cadastro!B57="","",Cadastro!B57)</x:f>
      </x:c>
      <x:c r="C57" s="93" t="str">
        <x:f>IF(Cadastro!F57="","",Cadastro!F57)</x:f>
      </x:c>
      <x:c r="D57" s="94" t="str">
        <x:f>IF(Cadastro!I57="","",Cadastro!I57)</x:f>
      </x:c>
      <x:c r="E57" s="95" t="str">
        <x:f>IF($A57="","",SUMIFS('Movimentações'!$D$2:$D$501,'Movimentações'!$A$2:$A$501,'Parâmetros'!$B$4,'Movimentações'!$B$2:$B$501,$A57,'Movimentações'!$C$2:$C$501,"Falta (dias)"))</x:f>
      </x:c>
      <x:c r="F57" s="95" t="str">
        <x:f>IF($A57="","",SUMIFS('Movimentações'!$D$2:$D$501,'Movimentações'!$A$2:$A$501,'Parâmetros'!$B$4,'Movimentações'!$B$2:$B$501,$A57,'Movimentações'!$C$2:$C$501,"HE 50% (horas)"))</x:f>
      </x:c>
      <x:c r="G57" s="95" t="str">
        <x:f>IF($A57="","",SUMIFS('Movimentações'!$D$2:$D$501,'Movimentações'!$A$2:$A$501,'Parâmetros'!$B$4,'Movimentações'!$B$2:$B$501,$A57,'Movimentações'!$C$2:$C$501,"HE 100% (horas)"))</x:f>
      </x:c>
      <x:c r="H57" s="94" t="str">
        <x:f>IF($A57="","",SUMIFS('Movimentações'!$E$2:$E$501,'Movimentações'!$A$2:$A$501,'Parâmetros'!$B$4,'Movimentações'!$B$2:$B$501,$A57,'Movimentações'!$C$2:$C$501,"Comissão"))</x:f>
      </x:c>
      <x:c r="I57" s="94" t="str">
        <x:f>IF($A57="","",SUMIFS('Movimentações'!$E$2:$E$501,'Movimentações'!$A$2:$A$501,'Parâmetros'!$B$4,'Movimentações'!$B$2:$B$501,$A57,'Movimentações'!$C$2:$C$501,"Bônus/Gratificação"))</x:f>
      </x:c>
      <x:c r="J57" s="94" t="str">
        <x:f>IF($A57="","",SUMIFS('Movimentações'!$E$2:$E$501,'Movimentações'!$A$2:$A$501,'Parâmetros'!$B$4,'Movimentações'!$B$2:$B$501,$A57,'Movimentações'!$C$2:$C$501,"Adicional"))</x:f>
      </x:c>
      <x:c r="K57" s="94" t="str">
        <x:f>IF($A57="","",SUMIFS('Movimentações'!$E$2:$E$501,'Movimentações'!$A$2:$A$501,'Parâmetros'!$B$4,'Movimentações'!$B$2:$B$501,$A57,'Movimentações'!$C$2:$C$501,"Crédito Extra"))</x:f>
      </x:c>
      <x:c r="L57" s="94" t="str">
        <x:f>IF($A57="","",SUMIFS('Movimentações'!$E$2:$E$501,'Movimentações'!$A$2:$A$501,'Parâmetros'!$B$4,'Movimentações'!$B$2:$B$501,$A57,'Movimentações'!$C$2:$C$501,"Desconto Extra"))</x:f>
      </x:c>
      <x:c r="M57" s="96" t="str">
        <x:f>IF($A57="","",D57/IF(Cadastro!J57=0,'Parâmetros'!$B$12,Cadastro!J57))</x:f>
      </x:c>
      <x:c r="N57" s="96" t="str">
        <x:f>IF($A57="","",(D57/'Parâmetros'!$B$7)*E57)</x:f>
      </x:c>
      <x:c r="O57" s="96" t="str">
        <x:f>IF($A57="","",IF(E57&gt;0,D57/'Parâmetros'!$B$7,0))</x:f>
      </x:c>
      <x:c r="P57" s="96" t="str">
        <x:f>IF($A57="","",(M57*'Parâmetros'!$B$10)*F57)</x:f>
      </x:c>
      <x:c r="Q57" s="96" t="str">
        <x:f>IF($A57="","",(M57*'Parâmetros'!$B$11)*G57)</x:f>
      </x:c>
      <x:c r="R57" s="96" t="str">
        <x:f>IF($A57="","",((P57+Q57)/'Parâmetros'!$B$5)*'Parâmetros'!$B$6)</x:f>
      </x:c>
      <x:c r="S57" s="96" t="str">
        <x:f>IF($A57="","",(H57/'Parâmetros'!$B$5)*'Parâmetros'!$B$6)</x:f>
      </x:c>
      <x:c r="T57" s="96" t="str">
        <x:f>IF($A57="","",D57-N57-O57+H57+I57+J57+K57+P57+Q57+R57+S57)</x:f>
      </x:c>
      <x:c r="U57" s="96" t="str">
        <x:f>IF($A57="","",MIN(D57*'Parâmetros'!$B$9,Cadastro!L57))</x:f>
      </x:c>
      <x:c r="V57" s="96" t="str">
        <x:f>IF($A57="","",IF(T57&lt;='Parâmetros'!$C$16,T57*'Parâmetros'!$D$16,IF(T57&lt;='Parâmetros'!$C$17,T57*'Parâmetros'!$D$17-'Parâmetros'!$E$17,IF(T57&lt;='Parâmetros'!$C$18,T57*'Parâmetros'!$D$18-'Parâmetros'!$E$18,IF(T57&lt;='Parâmetros'!$C$19,T57*'Parâmetros'!$D$19-'Parâmetros'!$E$19,'Parâmetros'!$C$19*'Parâmetros'!$D$19-'Parâmetros'!$E$19)))))</x:f>
      </x:c>
      <x:c r="W57" s="96" t="str">
        <x:f>IF($A57="","",MAX(0,((T57-V57-(Cadastro!K57*'Parâmetros'!$H$6))*'Parâmetros'!$H$4)-'Parâmetros'!$H$5))</x:f>
      </x:c>
      <x:c r="X57" s="96" t="str">
        <x:f>IF($A57="","",Cadastro!M57)</x:f>
      </x:c>
      <x:c r="Y57" s="96" t="str">
        <x:f>IF($A57="","",Cadastro!N57)</x:f>
      </x:c>
      <x:c r="Z57" s="96" t="str">
        <x:f>IF($A57="","",Cadastro!O57)</x:f>
      </x:c>
      <x:c r="AA57" s="96" t="str">
        <x:f>IF($A57="","",N57+O57+U57+V57+W57+X57+Y57+Z57+L57)</x:f>
      </x:c>
      <x:c r="AB57" s="96" t="str">
        <x:f>IF($A57="","",T57-(U57+V57+W57+X57+Y57+Z57+L57))</x:f>
      </x:c>
      <x:c r="AC57" s="88" t="str">
        <x:f>IF($A57="","",SUMIFS('Importação Contabilidade'!$T$7:$T$500,'Importação Contabilidade'!$A$7:$A$500,'Parâmetros'!$B$4,'Importação Contabilidade'!$B$7:$B$500,$A57))</x:f>
      </x:c>
      <x:c r="AD57" s="88" t="str">
        <x:f>IF($A57="","",SUMIFS('Importação Contabilidade'!$U$7:$U$500,'Importação Contabilidade'!$A$7:$A$500,'Parâmetros'!$B$4,'Importação Contabilidade'!$B$7:$B$500,$A57))</x:f>
      </x:c>
      <x:c r="AE57" s="88" t="str">
        <x:f>IF($A57="","",SUMIFS('Importação Contabilidade'!$V$7:$V$500,'Importação Contabilidade'!$A$7:$A$500,'Parâmetros'!$B$4,'Importação Contabilidade'!$B$7:$B$500,$A57))</x:f>
      </x:c>
      <x:c r="AF57" s="97" t="str">
        <x:f>IF($A57="","",T57-AC57)</x:f>
      </x:c>
      <x:c r="AG57" s="97" t="str">
        <x:f>IF($A57="","",AA57-AD57)</x:f>
      </x:c>
      <x:c r="AH57" s="97" t="str">
        <x:f>IF($A57="","",AB57-AE57)</x:f>
      </x:c>
      <x:c r="AI57" s="98" t="str">
        <x:f>IF($A57="","",IF(COUNTIFS('Importação Contabilidade'!$A$7:$A$500,'Parâmetros'!$B$4,'Importação Contabilidade'!$B$7:$B$500,$A57)=0,"PENDENTE IMPORTAÇÃO",IF(AND(ABS(AF57)&lt;='Parâmetros'!$B$8,ABS(AG57)&lt;='Parâmetros'!$B$8,ABS(AH57)&lt;='Parâmetros'!$B$8),"OK","REVISAR")))</x:f>
      </x:c>
      <x:c r="AJ57" s="98" t="str">
        <x:f>IF($A57="","",IF(AI57="PENDENTE IMPORTAÇÃO","Funcionário/competência não encontrados na Importação Contabilidade",IF(AI57="OK","Sem divergência relevante",IF(ABS(AH57)&gt;=MAX(ABS(AF57),ABS(AG57)),"Revisar salário líquido",IF(ABS(AF57)&gt;=ABS(AG57),"Revisar bruto/proventos","Revisar descontos")))))</x:f>
      </x:c>
    </x:row>
    <x:row r="58">
      <x:c r="A58" s="93" t="str">
        <x:f>IF(Cadastro!A58="","",Cadastro!A58)</x:f>
      </x:c>
      <x:c r="B58" s="93" t="str">
        <x:f>IF(Cadastro!B58="","",Cadastro!B58)</x:f>
      </x:c>
      <x:c r="C58" s="93" t="str">
        <x:f>IF(Cadastro!F58="","",Cadastro!F58)</x:f>
      </x:c>
      <x:c r="D58" s="94" t="str">
        <x:f>IF(Cadastro!I58="","",Cadastro!I58)</x:f>
      </x:c>
      <x:c r="E58" s="95" t="str">
        <x:f>IF($A58="","",SUMIFS('Movimentações'!$D$2:$D$501,'Movimentações'!$A$2:$A$501,'Parâmetros'!$B$4,'Movimentações'!$B$2:$B$501,$A58,'Movimentações'!$C$2:$C$501,"Falta (dias)"))</x:f>
      </x:c>
      <x:c r="F58" s="95" t="str">
        <x:f>IF($A58="","",SUMIFS('Movimentações'!$D$2:$D$501,'Movimentações'!$A$2:$A$501,'Parâmetros'!$B$4,'Movimentações'!$B$2:$B$501,$A58,'Movimentações'!$C$2:$C$501,"HE 50% (horas)"))</x:f>
      </x:c>
      <x:c r="G58" s="95" t="str">
        <x:f>IF($A58="","",SUMIFS('Movimentações'!$D$2:$D$501,'Movimentações'!$A$2:$A$501,'Parâmetros'!$B$4,'Movimentações'!$B$2:$B$501,$A58,'Movimentações'!$C$2:$C$501,"HE 100% (horas)"))</x:f>
      </x:c>
      <x:c r="H58" s="94" t="str">
        <x:f>IF($A58="","",SUMIFS('Movimentações'!$E$2:$E$501,'Movimentações'!$A$2:$A$501,'Parâmetros'!$B$4,'Movimentações'!$B$2:$B$501,$A58,'Movimentações'!$C$2:$C$501,"Comissão"))</x:f>
      </x:c>
      <x:c r="I58" s="94" t="str">
        <x:f>IF($A58="","",SUMIFS('Movimentações'!$E$2:$E$501,'Movimentações'!$A$2:$A$501,'Parâmetros'!$B$4,'Movimentações'!$B$2:$B$501,$A58,'Movimentações'!$C$2:$C$501,"Bônus/Gratificação"))</x:f>
      </x:c>
      <x:c r="J58" s="94" t="str">
        <x:f>IF($A58="","",SUMIFS('Movimentações'!$E$2:$E$501,'Movimentações'!$A$2:$A$501,'Parâmetros'!$B$4,'Movimentações'!$B$2:$B$501,$A58,'Movimentações'!$C$2:$C$501,"Adicional"))</x:f>
      </x:c>
      <x:c r="K58" s="94" t="str">
        <x:f>IF($A58="","",SUMIFS('Movimentações'!$E$2:$E$501,'Movimentações'!$A$2:$A$501,'Parâmetros'!$B$4,'Movimentações'!$B$2:$B$501,$A58,'Movimentações'!$C$2:$C$501,"Crédito Extra"))</x:f>
      </x:c>
      <x:c r="L58" s="94" t="str">
        <x:f>IF($A58="","",SUMIFS('Movimentações'!$E$2:$E$501,'Movimentações'!$A$2:$A$501,'Parâmetros'!$B$4,'Movimentações'!$B$2:$B$501,$A58,'Movimentações'!$C$2:$C$501,"Desconto Extra"))</x:f>
      </x:c>
      <x:c r="M58" s="96" t="str">
        <x:f>IF($A58="","",D58/IF(Cadastro!J58=0,'Parâmetros'!$B$12,Cadastro!J58))</x:f>
      </x:c>
      <x:c r="N58" s="96" t="str">
        <x:f>IF($A58="","",(D58/'Parâmetros'!$B$7)*E58)</x:f>
      </x:c>
      <x:c r="O58" s="96" t="str">
        <x:f>IF($A58="","",IF(E58&gt;0,D58/'Parâmetros'!$B$7,0))</x:f>
      </x:c>
      <x:c r="P58" s="96" t="str">
        <x:f>IF($A58="","",(M58*'Parâmetros'!$B$10)*F58)</x:f>
      </x:c>
      <x:c r="Q58" s="96" t="str">
        <x:f>IF($A58="","",(M58*'Parâmetros'!$B$11)*G58)</x:f>
      </x:c>
      <x:c r="R58" s="96" t="str">
        <x:f>IF($A58="","",((P58+Q58)/'Parâmetros'!$B$5)*'Parâmetros'!$B$6)</x:f>
      </x:c>
      <x:c r="S58" s="96" t="str">
        <x:f>IF($A58="","",(H58/'Parâmetros'!$B$5)*'Parâmetros'!$B$6)</x:f>
      </x:c>
      <x:c r="T58" s="96" t="str">
        <x:f>IF($A58="","",D58-N58-O58+H58+I58+J58+K58+P58+Q58+R58+S58)</x:f>
      </x:c>
      <x:c r="U58" s="96" t="str">
        <x:f>IF($A58="","",MIN(D58*'Parâmetros'!$B$9,Cadastro!L58))</x:f>
      </x:c>
      <x:c r="V58" s="96" t="str">
        <x:f>IF($A58="","",IF(T58&lt;='Parâmetros'!$C$16,T58*'Parâmetros'!$D$16,IF(T58&lt;='Parâmetros'!$C$17,T58*'Parâmetros'!$D$17-'Parâmetros'!$E$17,IF(T58&lt;='Parâmetros'!$C$18,T58*'Parâmetros'!$D$18-'Parâmetros'!$E$18,IF(T58&lt;='Parâmetros'!$C$19,T58*'Parâmetros'!$D$19-'Parâmetros'!$E$19,'Parâmetros'!$C$19*'Parâmetros'!$D$19-'Parâmetros'!$E$19)))))</x:f>
      </x:c>
      <x:c r="W58" s="96" t="str">
        <x:f>IF($A58="","",MAX(0,((T58-V58-(Cadastro!K58*'Parâmetros'!$H$6))*'Parâmetros'!$H$4)-'Parâmetros'!$H$5))</x:f>
      </x:c>
      <x:c r="X58" s="96" t="str">
        <x:f>IF($A58="","",Cadastro!M58)</x:f>
      </x:c>
      <x:c r="Y58" s="96" t="str">
        <x:f>IF($A58="","",Cadastro!N58)</x:f>
      </x:c>
      <x:c r="Z58" s="96" t="str">
        <x:f>IF($A58="","",Cadastro!O58)</x:f>
      </x:c>
      <x:c r="AA58" s="96" t="str">
        <x:f>IF($A58="","",N58+O58+U58+V58+W58+X58+Y58+Z58+L58)</x:f>
      </x:c>
      <x:c r="AB58" s="96" t="str">
        <x:f>IF($A58="","",T58-(U58+V58+W58+X58+Y58+Z58+L58))</x:f>
      </x:c>
      <x:c r="AC58" s="88" t="str">
        <x:f>IF($A58="","",SUMIFS('Importação Contabilidade'!$T$7:$T$500,'Importação Contabilidade'!$A$7:$A$500,'Parâmetros'!$B$4,'Importação Contabilidade'!$B$7:$B$500,$A58))</x:f>
      </x:c>
      <x:c r="AD58" s="88" t="str">
        <x:f>IF($A58="","",SUMIFS('Importação Contabilidade'!$U$7:$U$500,'Importação Contabilidade'!$A$7:$A$500,'Parâmetros'!$B$4,'Importação Contabilidade'!$B$7:$B$500,$A58))</x:f>
      </x:c>
      <x:c r="AE58" s="88" t="str">
        <x:f>IF($A58="","",SUMIFS('Importação Contabilidade'!$V$7:$V$500,'Importação Contabilidade'!$A$7:$A$500,'Parâmetros'!$B$4,'Importação Contabilidade'!$B$7:$B$500,$A58))</x:f>
      </x:c>
      <x:c r="AF58" s="97" t="str">
        <x:f>IF($A58="","",T58-AC58)</x:f>
      </x:c>
      <x:c r="AG58" s="97" t="str">
        <x:f>IF($A58="","",AA58-AD58)</x:f>
      </x:c>
      <x:c r="AH58" s="97" t="str">
        <x:f>IF($A58="","",AB58-AE58)</x:f>
      </x:c>
      <x:c r="AI58" s="98" t="str">
        <x:f>IF($A58="","",IF(COUNTIFS('Importação Contabilidade'!$A$7:$A$500,'Parâmetros'!$B$4,'Importação Contabilidade'!$B$7:$B$500,$A58)=0,"PENDENTE IMPORTAÇÃO",IF(AND(ABS(AF58)&lt;='Parâmetros'!$B$8,ABS(AG58)&lt;='Parâmetros'!$B$8,ABS(AH58)&lt;='Parâmetros'!$B$8),"OK","REVISAR")))</x:f>
      </x:c>
      <x:c r="AJ58" s="98" t="str">
        <x:f>IF($A58="","",IF(AI58="PENDENTE IMPORTAÇÃO","Funcionário/competência não encontrados na Importação Contabilidade",IF(AI58="OK","Sem divergência relevante",IF(ABS(AH58)&gt;=MAX(ABS(AF58),ABS(AG58)),"Revisar salário líquido",IF(ABS(AF58)&gt;=ABS(AG58),"Revisar bruto/proventos","Revisar descontos")))))</x:f>
      </x:c>
    </x:row>
    <x:row r="59">
      <x:c r="A59" s="93" t="str">
        <x:f>IF(Cadastro!A59="","",Cadastro!A59)</x:f>
      </x:c>
      <x:c r="B59" s="93" t="str">
        <x:f>IF(Cadastro!B59="","",Cadastro!B59)</x:f>
      </x:c>
      <x:c r="C59" s="93" t="str">
        <x:f>IF(Cadastro!F59="","",Cadastro!F59)</x:f>
      </x:c>
      <x:c r="D59" s="94" t="str">
        <x:f>IF(Cadastro!I59="","",Cadastro!I59)</x:f>
      </x:c>
      <x:c r="E59" s="95" t="str">
        <x:f>IF($A59="","",SUMIFS('Movimentações'!$D$2:$D$501,'Movimentações'!$A$2:$A$501,'Parâmetros'!$B$4,'Movimentações'!$B$2:$B$501,$A59,'Movimentações'!$C$2:$C$501,"Falta (dias)"))</x:f>
      </x:c>
      <x:c r="F59" s="95" t="str">
        <x:f>IF($A59="","",SUMIFS('Movimentações'!$D$2:$D$501,'Movimentações'!$A$2:$A$501,'Parâmetros'!$B$4,'Movimentações'!$B$2:$B$501,$A59,'Movimentações'!$C$2:$C$501,"HE 50% (horas)"))</x:f>
      </x:c>
      <x:c r="G59" s="95" t="str">
        <x:f>IF($A59="","",SUMIFS('Movimentações'!$D$2:$D$501,'Movimentações'!$A$2:$A$501,'Parâmetros'!$B$4,'Movimentações'!$B$2:$B$501,$A59,'Movimentações'!$C$2:$C$501,"HE 100% (horas)"))</x:f>
      </x:c>
      <x:c r="H59" s="94" t="str">
        <x:f>IF($A59="","",SUMIFS('Movimentações'!$E$2:$E$501,'Movimentações'!$A$2:$A$501,'Parâmetros'!$B$4,'Movimentações'!$B$2:$B$501,$A59,'Movimentações'!$C$2:$C$501,"Comissão"))</x:f>
      </x:c>
      <x:c r="I59" s="94" t="str">
        <x:f>IF($A59="","",SUMIFS('Movimentações'!$E$2:$E$501,'Movimentações'!$A$2:$A$501,'Parâmetros'!$B$4,'Movimentações'!$B$2:$B$501,$A59,'Movimentações'!$C$2:$C$501,"Bônus/Gratificação"))</x:f>
      </x:c>
      <x:c r="J59" s="94" t="str">
        <x:f>IF($A59="","",SUMIFS('Movimentações'!$E$2:$E$501,'Movimentações'!$A$2:$A$501,'Parâmetros'!$B$4,'Movimentações'!$B$2:$B$501,$A59,'Movimentações'!$C$2:$C$501,"Adicional"))</x:f>
      </x:c>
      <x:c r="K59" s="94" t="str">
        <x:f>IF($A59="","",SUMIFS('Movimentações'!$E$2:$E$501,'Movimentações'!$A$2:$A$501,'Parâmetros'!$B$4,'Movimentações'!$B$2:$B$501,$A59,'Movimentações'!$C$2:$C$501,"Crédito Extra"))</x:f>
      </x:c>
      <x:c r="L59" s="94" t="str">
        <x:f>IF($A59="","",SUMIFS('Movimentações'!$E$2:$E$501,'Movimentações'!$A$2:$A$501,'Parâmetros'!$B$4,'Movimentações'!$B$2:$B$501,$A59,'Movimentações'!$C$2:$C$501,"Desconto Extra"))</x:f>
      </x:c>
      <x:c r="M59" s="96" t="str">
        <x:f>IF($A59="","",D59/IF(Cadastro!J59=0,'Parâmetros'!$B$12,Cadastro!J59))</x:f>
      </x:c>
      <x:c r="N59" s="96" t="str">
        <x:f>IF($A59="","",(D59/'Parâmetros'!$B$7)*E59)</x:f>
      </x:c>
      <x:c r="O59" s="96" t="str">
        <x:f>IF($A59="","",IF(E59&gt;0,D59/'Parâmetros'!$B$7,0))</x:f>
      </x:c>
      <x:c r="P59" s="96" t="str">
        <x:f>IF($A59="","",(M59*'Parâmetros'!$B$10)*F59)</x:f>
      </x:c>
      <x:c r="Q59" s="96" t="str">
        <x:f>IF($A59="","",(M59*'Parâmetros'!$B$11)*G59)</x:f>
      </x:c>
      <x:c r="R59" s="96" t="str">
        <x:f>IF($A59="","",((P59+Q59)/'Parâmetros'!$B$5)*'Parâmetros'!$B$6)</x:f>
      </x:c>
      <x:c r="S59" s="96" t="str">
        <x:f>IF($A59="","",(H59/'Parâmetros'!$B$5)*'Parâmetros'!$B$6)</x:f>
      </x:c>
      <x:c r="T59" s="96" t="str">
        <x:f>IF($A59="","",D59-N59-O59+H59+I59+J59+K59+P59+Q59+R59+S59)</x:f>
      </x:c>
      <x:c r="U59" s="96" t="str">
        <x:f>IF($A59="","",MIN(D59*'Parâmetros'!$B$9,Cadastro!L59))</x:f>
      </x:c>
      <x:c r="V59" s="96" t="str">
        <x:f>IF($A59="","",IF(T59&lt;='Parâmetros'!$C$16,T59*'Parâmetros'!$D$16,IF(T59&lt;='Parâmetros'!$C$17,T59*'Parâmetros'!$D$17-'Parâmetros'!$E$17,IF(T59&lt;='Parâmetros'!$C$18,T59*'Parâmetros'!$D$18-'Parâmetros'!$E$18,IF(T59&lt;='Parâmetros'!$C$19,T59*'Parâmetros'!$D$19-'Parâmetros'!$E$19,'Parâmetros'!$C$19*'Parâmetros'!$D$19-'Parâmetros'!$E$19)))))</x:f>
      </x:c>
      <x:c r="W59" s="96" t="str">
        <x:f>IF($A59="","",MAX(0,((T59-V59-(Cadastro!K59*'Parâmetros'!$H$6))*'Parâmetros'!$H$4)-'Parâmetros'!$H$5))</x:f>
      </x:c>
      <x:c r="X59" s="96" t="str">
        <x:f>IF($A59="","",Cadastro!M59)</x:f>
      </x:c>
      <x:c r="Y59" s="96" t="str">
        <x:f>IF($A59="","",Cadastro!N59)</x:f>
      </x:c>
      <x:c r="Z59" s="96" t="str">
        <x:f>IF($A59="","",Cadastro!O59)</x:f>
      </x:c>
      <x:c r="AA59" s="96" t="str">
        <x:f>IF($A59="","",N59+O59+U59+V59+W59+X59+Y59+Z59+L59)</x:f>
      </x:c>
      <x:c r="AB59" s="96" t="str">
        <x:f>IF($A59="","",T59-(U59+V59+W59+X59+Y59+Z59+L59))</x:f>
      </x:c>
      <x:c r="AC59" s="88" t="str">
        <x:f>IF($A59="","",SUMIFS('Importação Contabilidade'!$T$7:$T$500,'Importação Contabilidade'!$A$7:$A$500,'Parâmetros'!$B$4,'Importação Contabilidade'!$B$7:$B$500,$A59))</x:f>
      </x:c>
      <x:c r="AD59" s="88" t="str">
        <x:f>IF($A59="","",SUMIFS('Importação Contabilidade'!$U$7:$U$500,'Importação Contabilidade'!$A$7:$A$500,'Parâmetros'!$B$4,'Importação Contabilidade'!$B$7:$B$500,$A59))</x:f>
      </x:c>
      <x:c r="AE59" s="88" t="str">
        <x:f>IF($A59="","",SUMIFS('Importação Contabilidade'!$V$7:$V$500,'Importação Contabilidade'!$A$7:$A$500,'Parâmetros'!$B$4,'Importação Contabilidade'!$B$7:$B$500,$A59))</x:f>
      </x:c>
      <x:c r="AF59" s="97" t="str">
        <x:f>IF($A59="","",T59-AC59)</x:f>
      </x:c>
      <x:c r="AG59" s="97" t="str">
        <x:f>IF($A59="","",AA59-AD59)</x:f>
      </x:c>
      <x:c r="AH59" s="97" t="str">
        <x:f>IF($A59="","",AB59-AE59)</x:f>
      </x:c>
      <x:c r="AI59" s="98" t="str">
        <x:f>IF($A59="","",IF(COUNTIFS('Importação Contabilidade'!$A$7:$A$500,'Parâmetros'!$B$4,'Importação Contabilidade'!$B$7:$B$500,$A59)=0,"PENDENTE IMPORTAÇÃO",IF(AND(ABS(AF59)&lt;='Parâmetros'!$B$8,ABS(AG59)&lt;='Parâmetros'!$B$8,ABS(AH59)&lt;='Parâmetros'!$B$8),"OK","REVISAR")))</x:f>
      </x:c>
      <x:c r="AJ59" s="98" t="str">
        <x:f>IF($A59="","",IF(AI59="PENDENTE IMPORTAÇÃO","Funcionário/competência não encontrados na Importação Contabilidade",IF(AI59="OK","Sem divergência relevante",IF(ABS(AH59)&gt;=MAX(ABS(AF59),ABS(AG59)),"Revisar salário líquido",IF(ABS(AF59)&gt;=ABS(AG59),"Revisar bruto/proventos","Revisar descontos")))))</x:f>
      </x:c>
    </x:row>
    <x:row r="60">
      <x:c r="A60" s="93" t="str">
        <x:f>IF(Cadastro!A60="","",Cadastro!A60)</x:f>
      </x:c>
      <x:c r="B60" s="93" t="str">
        <x:f>IF(Cadastro!B60="","",Cadastro!B60)</x:f>
      </x:c>
      <x:c r="C60" s="93" t="str">
        <x:f>IF(Cadastro!F60="","",Cadastro!F60)</x:f>
      </x:c>
      <x:c r="D60" s="94" t="str">
        <x:f>IF(Cadastro!I60="","",Cadastro!I60)</x:f>
      </x:c>
      <x:c r="E60" s="95" t="str">
        <x:f>IF($A60="","",SUMIFS('Movimentações'!$D$2:$D$501,'Movimentações'!$A$2:$A$501,'Parâmetros'!$B$4,'Movimentações'!$B$2:$B$501,$A60,'Movimentações'!$C$2:$C$501,"Falta (dias)"))</x:f>
      </x:c>
      <x:c r="F60" s="95" t="str">
        <x:f>IF($A60="","",SUMIFS('Movimentações'!$D$2:$D$501,'Movimentações'!$A$2:$A$501,'Parâmetros'!$B$4,'Movimentações'!$B$2:$B$501,$A60,'Movimentações'!$C$2:$C$501,"HE 50% (horas)"))</x:f>
      </x:c>
      <x:c r="G60" s="95" t="str">
        <x:f>IF($A60="","",SUMIFS('Movimentações'!$D$2:$D$501,'Movimentações'!$A$2:$A$501,'Parâmetros'!$B$4,'Movimentações'!$B$2:$B$501,$A60,'Movimentações'!$C$2:$C$501,"HE 100% (horas)"))</x:f>
      </x:c>
      <x:c r="H60" s="94" t="str">
        <x:f>IF($A60="","",SUMIFS('Movimentações'!$E$2:$E$501,'Movimentações'!$A$2:$A$501,'Parâmetros'!$B$4,'Movimentações'!$B$2:$B$501,$A60,'Movimentações'!$C$2:$C$501,"Comissão"))</x:f>
      </x:c>
      <x:c r="I60" s="94" t="str">
        <x:f>IF($A60="","",SUMIFS('Movimentações'!$E$2:$E$501,'Movimentações'!$A$2:$A$501,'Parâmetros'!$B$4,'Movimentações'!$B$2:$B$501,$A60,'Movimentações'!$C$2:$C$501,"Bônus/Gratificação"))</x:f>
      </x:c>
      <x:c r="J60" s="94" t="str">
        <x:f>IF($A60="","",SUMIFS('Movimentações'!$E$2:$E$501,'Movimentações'!$A$2:$A$501,'Parâmetros'!$B$4,'Movimentações'!$B$2:$B$501,$A60,'Movimentações'!$C$2:$C$501,"Adicional"))</x:f>
      </x:c>
      <x:c r="K60" s="94" t="str">
        <x:f>IF($A60="","",SUMIFS('Movimentações'!$E$2:$E$501,'Movimentações'!$A$2:$A$501,'Parâmetros'!$B$4,'Movimentações'!$B$2:$B$501,$A60,'Movimentações'!$C$2:$C$501,"Crédito Extra"))</x:f>
      </x:c>
      <x:c r="L60" s="94" t="str">
        <x:f>IF($A60="","",SUMIFS('Movimentações'!$E$2:$E$501,'Movimentações'!$A$2:$A$501,'Parâmetros'!$B$4,'Movimentações'!$B$2:$B$501,$A60,'Movimentações'!$C$2:$C$501,"Desconto Extra"))</x:f>
      </x:c>
      <x:c r="M60" s="96" t="str">
        <x:f>IF($A60="","",D60/IF(Cadastro!J60=0,'Parâmetros'!$B$12,Cadastro!J60))</x:f>
      </x:c>
      <x:c r="N60" s="96" t="str">
        <x:f>IF($A60="","",(D60/'Parâmetros'!$B$7)*E60)</x:f>
      </x:c>
      <x:c r="O60" s="96" t="str">
        <x:f>IF($A60="","",IF(E60&gt;0,D60/'Parâmetros'!$B$7,0))</x:f>
      </x:c>
      <x:c r="P60" s="96" t="str">
        <x:f>IF($A60="","",(M60*'Parâmetros'!$B$10)*F60)</x:f>
      </x:c>
      <x:c r="Q60" s="96" t="str">
        <x:f>IF($A60="","",(M60*'Parâmetros'!$B$11)*G60)</x:f>
      </x:c>
      <x:c r="R60" s="96" t="str">
        <x:f>IF($A60="","",((P60+Q60)/'Parâmetros'!$B$5)*'Parâmetros'!$B$6)</x:f>
      </x:c>
      <x:c r="S60" s="96" t="str">
        <x:f>IF($A60="","",(H60/'Parâmetros'!$B$5)*'Parâmetros'!$B$6)</x:f>
      </x:c>
      <x:c r="T60" s="96" t="str">
        <x:f>IF($A60="","",D60-N60-O60+H60+I60+J60+K60+P60+Q60+R60+S60)</x:f>
      </x:c>
      <x:c r="U60" s="96" t="str">
        <x:f>IF($A60="","",MIN(D60*'Parâmetros'!$B$9,Cadastro!L60))</x:f>
      </x:c>
      <x:c r="V60" s="96" t="str">
        <x:f>IF($A60="","",IF(T60&lt;='Parâmetros'!$C$16,T60*'Parâmetros'!$D$16,IF(T60&lt;='Parâmetros'!$C$17,T60*'Parâmetros'!$D$17-'Parâmetros'!$E$17,IF(T60&lt;='Parâmetros'!$C$18,T60*'Parâmetros'!$D$18-'Parâmetros'!$E$18,IF(T60&lt;='Parâmetros'!$C$19,T60*'Parâmetros'!$D$19-'Parâmetros'!$E$19,'Parâmetros'!$C$19*'Parâmetros'!$D$19-'Parâmetros'!$E$19)))))</x:f>
      </x:c>
      <x:c r="W60" s="96" t="str">
        <x:f>IF($A60="","",MAX(0,((T60-V60-(Cadastro!K60*'Parâmetros'!$H$6))*'Parâmetros'!$H$4)-'Parâmetros'!$H$5))</x:f>
      </x:c>
      <x:c r="X60" s="96" t="str">
        <x:f>IF($A60="","",Cadastro!M60)</x:f>
      </x:c>
      <x:c r="Y60" s="96" t="str">
        <x:f>IF($A60="","",Cadastro!N60)</x:f>
      </x:c>
      <x:c r="Z60" s="96" t="str">
        <x:f>IF($A60="","",Cadastro!O60)</x:f>
      </x:c>
      <x:c r="AA60" s="96" t="str">
        <x:f>IF($A60="","",N60+O60+U60+V60+W60+X60+Y60+Z60+L60)</x:f>
      </x:c>
      <x:c r="AB60" s="96" t="str">
        <x:f>IF($A60="","",T60-(U60+V60+W60+X60+Y60+Z60+L60))</x:f>
      </x:c>
      <x:c r="AC60" s="88" t="str">
        <x:f>IF($A60="","",SUMIFS('Importação Contabilidade'!$T$7:$T$500,'Importação Contabilidade'!$A$7:$A$500,'Parâmetros'!$B$4,'Importação Contabilidade'!$B$7:$B$500,$A60))</x:f>
      </x:c>
      <x:c r="AD60" s="88" t="str">
        <x:f>IF($A60="","",SUMIFS('Importação Contabilidade'!$U$7:$U$500,'Importação Contabilidade'!$A$7:$A$500,'Parâmetros'!$B$4,'Importação Contabilidade'!$B$7:$B$500,$A60))</x:f>
      </x:c>
      <x:c r="AE60" s="88" t="str">
        <x:f>IF($A60="","",SUMIFS('Importação Contabilidade'!$V$7:$V$500,'Importação Contabilidade'!$A$7:$A$500,'Parâmetros'!$B$4,'Importação Contabilidade'!$B$7:$B$500,$A60))</x:f>
      </x:c>
      <x:c r="AF60" s="97" t="str">
        <x:f>IF($A60="","",T60-AC60)</x:f>
      </x:c>
      <x:c r="AG60" s="97" t="str">
        <x:f>IF($A60="","",AA60-AD60)</x:f>
      </x:c>
      <x:c r="AH60" s="97" t="str">
        <x:f>IF($A60="","",AB60-AE60)</x:f>
      </x:c>
      <x:c r="AI60" s="98" t="str">
        <x:f>IF($A60="","",IF(COUNTIFS('Importação Contabilidade'!$A$7:$A$500,'Parâmetros'!$B$4,'Importação Contabilidade'!$B$7:$B$500,$A60)=0,"PENDENTE IMPORTAÇÃO",IF(AND(ABS(AF60)&lt;='Parâmetros'!$B$8,ABS(AG60)&lt;='Parâmetros'!$B$8,ABS(AH60)&lt;='Parâmetros'!$B$8),"OK","REVISAR")))</x:f>
      </x:c>
      <x:c r="AJ60" s="98" t="str">
        <x:f>IF($A60="","",IF(AI60="PENDENTE IMPORTAÇÃO","Funcionário/competência não encontrados na Importação Contabilidade",IF(AI60="OK","Sem divergência relevante",IF(ABS(AH60)&gt;=MAX(ABS(AF60),ABS(AG60)),"Revisar salário líquido",IF(ABS(AF60)&gt;=ABS(AG60),"Revisar bruto/proventos","Revisar descontos")))))</x:f>
      </x:c>
    </x:row>
    <x:row r="61">
      <x:c r="A61" s="93" t="str">
        <x:f>IF(Cadastro!A61="","",Cadastro!A61)</x:f>
      </x:c>
      <x:c r="B61" s="93" t="str">
        <x:f>IF(Cadastro!B61="","",Cadastro!B61)</x:f>
      </x:c>
      <x:c r="C61" s="93" t="str">
        <x:f>IF(Cadastro!F61="","",Cadastro!F61)</x:f>
      </x:c>
      <x:c r="D61" s="94" t="str">
        <x:f>IF(Cadastro!I61="","",Cadastro!I61)</x:f>
      </x:c>
      <x:c r="E61" s="95" t="str">
        <x:f>IF($A61="","",SUMIFS('Movimentações'!$D$2:$D$501,'Movimentações'!$A$2:$A$501,'Parâmetros'!$B$4,'Movimentações'!$B$2:$B$501,$A61,'Movimentações'!$C$2:$C$501,"Falta (dias)"))</x:f>
      </x:c>
      <x:c r="F61" s="95" t="str">
        <x:f>IF($A61="","",SUMIFS('Movimentações'!$D$2:$D$501,'Movimentações'!$A$2:$A$501,'Parâmetros'!$B$4,'Movimentações'!$B$2:$B$501,$A61,'Movimentações'!$C$2:$C$501,"HE 50% (horas)"))</x:f>
      </x:c>
      <x:c r="G61" s="95" t="str">
        <x:f>IF($A61="","",SUMIFS('Movimentações'!$D$2:$D$501,'Movimentações'!$A$2:$A$501,'Parâmetros'!$B$4,'Movimentações'!$B$2:$B$501,$A61,'Movimentações'!$C$2:$C$501,"HE 100% (horas)"))</x:f>
      </x:c>
      <x:c r="H61" s="94" t="str">
        <x:f>IF($A61="","",SUMIFS('Movimentações'!$E$2:$E$501,'Movimentações'!$A$2:$A$501,'Parâmetros'!$B$4,'Movimentações'!$B$2:$B$501,$A61,'Movimentações'!$C$2:$C$501,"Comissão"))</x:f>
      </x:c>
      <x:c r="I61" s="94" t="str">
        <x:f>IF($A61="","",SUMIFS('Movimentações'!$E$2:$E$501,'Movimentações'!$A$2:$A$501,'Parâmetros'!$B$4,'Movimentações'!$B$2:$B$501,$A61,'Movimentações'!$C$2:$C$501,"Bônus/Gratificação"))</x:f>
      </x:c>
      <x:c r="J61" s="94" t="str">
        <x:f>IF($A61="","",SUMIFS('Movimentações'!$E$2:$E$501,'Movimentações'!$A$2:$A$501,'Parâmetros'!$B$4,'Movimentações'!$B$2:$B$501,$A61,'Movimentações'!$C$2:$C$501,"Adicional"))</x:f>
      </x:c>
      <x:c r="K61" s="94" t="str">
        <x:f>IF($A61="","",SUMIFS('Movimentações'!$E$2:$E$501,'Movimentações'!$A$2:$A$501,'Parâmetros'!$B$4,'Movimentações'!$B$2:$B$501,$A61,'Movimentações'!$C$2:$C$501,"Crédito Extra"))</x:f>
      </x:c>
      <x:c r="L61" s="94" t="str">
        <x:f>IF($A61="","",SUMIFS('Movimentações'!$E$2:$E$501,'Movimentações'!$A$2:$A$501,'Parâmetros'!$B$4,'Movimentações'!$B$2:$B$501,$A61,'Movimentações'!$C$2:$C$501,"Desconto Extra"))</x:f>
      </x:c>
      <x:c r="M61" s="96" t="str">
        <x:f>IF($A61="","",D61/IF(Cadastro!J61=0,'Parâmetros'!$B$12,Cadastro!J61))</x:f>
      </x:c>
      <x:c r="N61" s="96" t="str">
        <x:f>IF($A61="","",(D61/'Parâmetros'!$B$7)*E61)</x:f>
      </x:c>
      <x:c r="O61" s="96" t="str">
        <x:f>IF($A61="","",IF(E61&gt;0,D61/'Parâmetros'!$B$7,0))</x:f>
      </x:c>
      <x:c r="P61" s="96" t="str">
        <x:f>IF($A61="","",(M61*'Parâmetros'!$B$10)*F61)</x:f>
      </x:c>
      <x:c r="Q61" s="96" t="str">
        <x:f>IF($A61="","",(M61*'Parâmetros'!$B$11)*G61)</x:f>
      </x:c>
      <x:c r="R61" s="96" t="str">
        <x:f>IF($A61="","",((P61+Q61)/'Parâmetros'!$B$5)*'Parâmetros'!$B$6)</x:f>
      </x:c>
      <x:c r="S61" s="96" t="str">
        <x:f>IF($A61="","",(H61/'Parâmetros'!$B$5)*'Parâmetros'!$B$6)</x:f>
      </x:c>
      <x:c r="T61" s="96" t="str">
        <x:f>IF($A61="","",D61-N61-O61+H61+I61+J61+K61+P61+Q61+R61+S61)</x:f>
      </x:c>
      <x:c r="U61" s="96" t="str">
        <x:f>IF($A61="","",MIN(D61*'Parâmetros'!$B$9,Cadastro!L61))</x:f>
      </x:c>
      <x:c r="V61" s="96" t="str">
        <x:f>IF($A61="","",IF(T61&lt;='Parâmetros'!$C$16,T61*'Parâmetros'!$D$16,IF(T61&lt;='Parâmetros'!$C$17,T61*'Parâmetros'!$D$17-'Parâmetros'!$E$17,IF(T61&lt;='Parâmetros'!$C$18,T61*'Parâmetros'!$D$18-'Parâmetros'!$E$18,IF(T61&lt;='Parâmetros'!$C$19,T61*'Parâmetros'!$D$19-'Parâmetros'!$E$19,'Parâmetros'!$C$19*'Parâmetros'!$D$19-'Parâmetros'!$E$19)))))</x:f>
      </x:c>
      <x:c r="W61" s="96" t="str">
        <x:f>IF($A61="","",MAX(0,((T61-V61-(Cadastro!K61*'Parâmetros'!$H$6))*'Parâmetros'!$H$4)-'Parâmetros'!$H$5))</x:f>
      </x:c>
      <x:c r="X61" s="96" t="str">
        <x:f>IF($A61="","",Cadastro!M61)</x:f>
      </x:c>
      <x:c r="Y61" s="96" t="str">
        <x:f>IF($A61="","",Cadastro!N61)</x:f>
      </x:c>
      <x:c r="Z61" s="96" t="str">
        <x:f>IF($A61="","",Cadastro!O61)</x:f>
      </x:c>
      <x:c r="AA61" s="96" t="str">
        <x:f>IF($A61="","",N61+O61+U61+V61+W61+X61+Y61+Z61+L61)</x:f>
      </x:c>
      <x:c r="AB61" s="96" t="str">
        <x:f>IF($A61="","",T61-(U61+V61+W61+X61+Y61+Z61+L61))</x:f>
      </x:c>
      <x:c r="AC61" s="88" t="str">
        <x:f>IF($A61="","",SUMIFS('Importação Contabilidade'!$T$7:$T$500,'Importação Contabilidade'!$A$7:$A$500,'Parâmetros'!$B$4,'Importação Contabilidade'!$B$7:$B$500,$A61))</x:f>
      </x:c>
      <x:c r="AD61" s="88" t="str">
        <x:f>IF($A61="","",SUMIFS('Importação Contabilidade'!$U$7:$U$500,'Importação Contabilidade'!$A$7:$A$500,'Parâmetros'!$B$4,'Importação Contabilidade'!$B$7:$B$500,$A61))</x:f>
      </x:c>
      <x:c r="AE61" s="88" t="str">
        <x:f>IF($A61="","",SUMIFS('Importação Contabilidade'!$V$7:$V$500,'Importação Contabilidade'!$A$7:$A$500,'Parâmetros'!$B$4,'Importação Contabilidade'!$B$7:$B$500,$A61))</x:f>
      </x:c>
      <x:c r="AF61" s="97" t="str">
        <x:f>IF($A61="","",T61-AC61)</x:f>
      </x:c>
      <x:c r="AG61" s="97" t="str">
        <x:f>IF($A61="","",AA61-AD61)</x:f>
      </x:c>
      <x:c r="AH61" s="97" t="str">
        <x:f>IF($A61="","",AB61-AE61)</x:f>
      </x:c>
      <x:c r="AI61" s="98" t="str">
        <x:f>IF($A61="","",IF(COUNTIFS('Importação Contabilidade'!$A$7:$A$500,'Parâmetros'!$B$4,'Importação Contabilidade'!$B$7:$B$500,$A61)=0,"PENDENTE IMPORTAÇÃO",IF(AND(ABS(AF61)&lt;='Parâmetros'!$B$8,ABS(AG61)&lt;='Parâmetros'!$B$8,ABS(AH61)&lt;='Parâmetros'!$B$8),"OK","REVISAR")))</x:f>
      </x:c>
      <x:c r="AJ61" s="98" t="str">
        <x:f>IF($A61="","",IF(AI61="PENDENTE IMPORTAÇÃO","Funcionário/competência não encontrados na Importação Contabilidade",IF(AI61="OK","Sem divergência relevante",IF(ABS(AH61)&gt;=MAX(ABS(AF61),ABS(AG61)),"Revisar salário líquido",IF(ABS(AF61)&gt;=ABS(AG61),"Revisar bruto/proventos","Revisar descontos")))))</x:f>
      </x:c>
    </x:row>
    <x:row r="62">
      <x:c r="A62" s="93" t="str">
        <x:f>IF(Cadastro!A62="","",Cadastro!A62)</x:f>
      </x:c>
      <x:c r="B62" s="93" t="str">
        <x:f>IF(Cadastro!B62="","",Cadastro!B62)</x:f>
      </x:c>
      <x:c r="C62" s="93" t="str">
        <x:f>IF(Cadastro!F62="","",Cadastro!F62)</x:f>
      </x:c>
      <x:c r="D62" s="94" t="str">
        <x:f>IF(Cadastro!I62="","",Cadastro!I62)</x:f>
      </x:c>
      <x:c r="E62" s="95" t="str">
        <x:f>IF($A62="","",SUMIFS('Movimentações'!$D$2:$D$501,'Movimentações'!$A$2:$A$501,'Parâmetros'!$B$4,'Movimentações'!$B$2:$B$501,$A62,'Movimentações'!$C$2:$C$501,"Falta (dias)"))</x:f>
      </x:c>
      <x:c r="F62" s="95" t="str">
        <x:f>IF($A62="","",SUMIFS('Movimentações'!$D$2:$D$501,'Movimentações'!$A$2:$A$501,'Parâmetros'!$B$4,'Movimentações'!$B$2:$B$501,$A62,'Movimentações'!$C$2:$C$501,"HE 50% (horas)"))</x:f>
      </x:c>
      <x:c r="G62" s="95" t="str">
        <x:f>IF($A62="","",SUMIFS('Movimentações'!$D$2:$D$501,'Movimentações'!$A$2:$A$501,'Parâmetros'!$B$4,'Movimentações'!$B$2:$B$501,$A62,'Movimentações'!$C$2:$C$501,"HE 100% (horas)"))</x:f>
      </x:c>
      <x:c r="H62" s="94" t="str">
        <x:f>IF($A62="","",SUMIFS('Movimentações'!$E$2:$E$501,'Movimentações'!$A$2:$A$501,'Parâmetros'!$B$4,'Movimentações'!$B$2:$B$501,$A62,'Movimentações'!$C$2:$C$501,"Comissão"))</x:f>
      </x:c>
      <x:c r="I62" s="94" t="str">
        <x:f>IF($A62="","",SUMIFS('Movimentações'!$E$2:$E$501,'Movimentações'!$A$2:$A$501,'Parâmetros'!$B$4,'Movimentações'!$B$2:$B$501,$A62,'Movimentações'!$C$2:$C$501,"Bônus/Gratificação"))</x:f>
      </x:c>
      <x:c r="J62" s="94" t="str">
        <x:f>IF($A62="","",SUMIFS('Movimentações'!$E$2:$E$501,'Movimentações'!$A$2:$A$501,'Parâmetros'!$B$4,'Movimentações'!$B$2:$B$501,$A62,'Movimentações'!$C$2:$C$501,"Adicional"))</x:f>
      </x:c>
      <x:c r="K62" s="94" t="str">
        <x:f>IF($A62="","",SUMIFS('Movimentações'!$E$2:$E$501,'Movimentações'!$A$2:$A$501,'Parâmetros'!$B$4,'Movimentações'!$B$2:$B$501,$A62,'Movimentações'!$C$2:$C$501,"Crédito Extra"))</x:f>
      </x:c>
      <x:c r="L62" s="94" t="str">
        <x:f>IF($A62="","",SUMIFS('Movimentações'!$E$2:$E$501,'Movimentações'!$A$2:$A$501,'Parâmetros'!$B$4,'Movimentações'!$B$2:$B$501,$A62,'Movimentações'!$C$2:$C$501,"Desconto Extra"))</x:f>
      </x:c>
      <x:c r="M62" s="96" t="str">
        <x:f>IF($A62="","",D62/IF(Cadastro!J62=0,'Parâmetros'!$B$12,Cadastro!J62))</x:f>
      </x:c>
      <x:c r="N62" s="96" t="str">
        <x:f>IF($A62="","",(D62/'Parâmetros'!$B$7)*E62)</x:f>
      </x:c>
      <x:c r="O62" s="96" t="str">
        <x:f>IF($A62="","",IF(E62&gt;0,D62/'Parâmetros'!$B$7,0))</x:f>
      </x:c>
      <x:c r="P62" s="96" t="str">
        <x:f>IF($A62="","",(M62*'Parâmetros'!$B$10)*F62)</x:f>
      </x:c>
      <x:c r="Q62" s="96" t="str">
        <x:f>IF($A62="","",(M62*'Parâmetros'!$B$11)*G62)</x:f>
      </x:c>
      <x:c r="R62" s="96" t="str">
        <x:f>IF($A62="","",((P62+Q62)/'Parâmetros'!$B$5)*'Parâmetros'!$B$6)</x:f>
      </x:c>
      <x:c r="S62" s="96" t="str">
        <x:f>IF($A62="","",(H62/'Parâmetros'!$B$5)*'Parâmetros'!$B$6)</x:f>
      </x:c>
      <x:c r="T62" s="96" t="str">
        <x:f>IF($A62="","",D62-N62-O62+H62+I62+J62+K62+P62+Q62+R62+S62)</x:f>
      </x:c>
      <x:c r="U62" s="96" t="str">
        <x:f>IF($A62="","",MIN(D62*'Parâmetros'!$B$9,Cadastro!L62))</x:f>
      </x:c>
      <x:c r="V62" s="96" t="str">
        <x:f>IF($A62="","",IF(T62&lt;='Parâmetros'!$C$16,T62*'Parâmetros'!$D$16,IF(T62&lt;='Parâmetros'!$C$17,T62*'Parâmetros'!$D$17-'Parâmetros'!$E$17,IF(T62&lt;='Parâmetros'!$C$18,T62*'Parâmetros'!$D$18-'Parâmetros'!$E$18,IF(T62&lt;='Parâmetros'!$C$19,T62*'Parâmetros'!$D$19-'Parâmetros'!$E$19,'Parâmetros'!$C$19*'Parâmetros'!$D$19-'Parâmetros'!$E$19)))))</x:f>
      </x:c>
      <x:c r="W62" s="96" t="str">
        <x:f>IF($A62="","",MAX(0,((T62-V62-(Cadastro!K62*'Parâmetros'!$H$6))*'Parâmetros'!$H$4)-'Parâmetros'!$H$5))</x:f>
      </x:c>
      <x:c r="X62" s="96" t="str">
        <x:f>IF($A62="","",Cadastro!M62)</x:f>
      </x:c>
      <x:c r="Y62" s="96" t="str">
        <x:f>IF($A62="","",Cadastro!N62)</x:f>
      </x:c>
      <x:c r="Z62" s="96" t="str">
        <x:f>IF($A62="","",Cadastro!O62)</x:f>
      </x:c>
      <x:c r="AA62" s="96" t="str">
        <x:f>IF($A62="","",N62+O62+U62+V62+W62+X62+Y62+Z62+L62)</x:f>
      </x:c>
      <x:c r="AB62" s="96" t="str">
        <x:f>IF($A62="","",T62-(U62+V62+W62+X62+Y62+Z62+L62))</x:f>
      </x:c>
      <x:c r="AC62" s="88" t="str">
        <x:f>IF($A62="","",SUMIFS('Importação Contabilidade'!$T$7:$T$500,'Importação Contabilidade'!$A$7:$A$500,'Parâmetros'!$B$4,'Importação Contabilidade'!$B$7:$B$500,$A62))</x:f>
      </x:c>
      <x:c r="AD62" s="88" t="str">
        <x:f>IF($A62="","",SUMIFS('Importação Contabilidade'!$U$7:$U$500,'Importação Contabilidade'!$A$7:$A$500,'Parâmetros'!$B$4,'Importação Contabilidade'!$B$7:$B$500,$A62))</x:f>
      </x:c>
      <x:c r="AE62" s="88" t="str">
        <x:f>IF($A62="","",SUMIFS('Importação Contabilidade'!$V$7:$V$500,'Importação Contabilidade'!$A$7:$A$500,'Parâmetros'!$B$4,'Importação Contabilidade'!$B$7:$B$500,$A62))</x:f>
      </x:c>
      <x:c r="AF62" s="97" t="str">
        <x:f>IF($A62="","",T62-AC62)</x:f>
      </x:c>
      <x:c r="AG62" s="97" t="str">
        <x:f>IF($A62="","",AA62-AD62)</x:f>
      </x:c>
      <x:c r="AH62" s="97" t="str">
        <x:f>IF($A62="","",AB62-AE62)</x:f>
      </x:c>
      <x:c r="AI62" s="98" t="str">
        <x:f>IF($A62="","",IF(COUNTIFS('Importação Contabilidade'!$A$7:$A$500,'Parâmetros'!$B$4,'Importação Contabilidade'!$B$7:$B$500,$A62)=0,"PENDENTE IMPORTAÇÃO",IF(AND(ABS(AF62)&lt;='Parâmetros'!$B$8,ABS(AG62)&lt;='Parâmetros'!$B$8,ABS(AH62)&lt;='Parâmetros'!$B$8),"OK","REVISAR")))</x:f>
      </x:c>
      <x:c r="AJ62" s="98" t="str">
        <x:f>IF($A62="","",IF(AI62="PENDENTE IMPORTAÇÃO","Funcionário/competência não encontrados na Importação Contabilidade",IF(AI62="OK","Sem divergência relevante",IF(ABS(AH62)&gt;=MAX(ABS(AF62),ABS(AG62)),"Revisar salário líquido",IF(ABS(AF62)&gt;=ABS(AG62),"Revisar bruto/proventos","Revisar descontos")))))</x:f>
      </x:c>
    </x:row>
    <x:row r="63">
      <x:c r="A63" s="93" t="str">
        <x:f>IF(Cadastro!A63="","",Cadastro!A63)</x:f>
      </x:c>
      <x:c r="B63" s="93" t="str">
        <x:f>IF(Cadastro!B63="","",Cadastro!B63)</x:f>
      </x:c>
      <x:c r="C63" s="93" t="str">
        <x:f>IF(Cadastro!F63="","",Cadastro!F63)</x:f>
      </x:c>
      <x:c r="D63" s="94" t="str">
        <x:f>IF(Cadastro!I63="","",Cadastro!I63)</x:f>
      </x:c>
      <x:c r="E63" s="95" t="str">
        <x:f>IF($A63="","",SUMIFS('Movimentações'!$D$2:$D$501,'Movimentações'!$A$2:$A$501,'Parâmetros'!$B$4,'Movimentações'!$B$2:$B$501,$A63,'Movimentações'!$C$2:$C$501,"Falta (dias)"))</x:f>
      </x:c>
      <x:c r="F63" s="95" t="str">
        <x:f>IF($A63="","",SUMIFS('Movimentações'!$D$2:$D$501,'Movimentações'!$A$2:$A$501,'Parâmetros'!$B$4,'Movimentações'!$B$2:$B$501,$A63,'Movimentações'!$C$2:$C$501,"HE 50% (horas)"))</x:f>
      </x:c>
      <x:c r="G63" s="95" t="str">
        <x:f>IF($A63="","",SUMIFS('Movimentações'!$D$2:$D$501,'Movimentações'!$A$2:$A$501,'Parâmetros'!$B$4,'Movimentações'!$B$2:$B$501,$A63,'Movimentações'!$C$2:$C$501,"HE 100% (horas)"))</x:f>
      </x:c>
      <x:c r="H63" s="94" t="str">
        <x:f>IF($A63="","",SUMIFS('Movimentações'!$E$2:$E$501,'Movimentações'!$A$2:$A$501,'Parâmetros'!$B$4,'Movimentações'!$B$2:$B$501,$A63,'Movimentações'!$C$2:$C$501,"Comissão"))</x:f>
      </x:c>
      <x:c r="I63" s="94" t="str">
        <x:f>IF($A63="","",SUMIFS('Movimentações'!$E$2:$E$501,'Movimentações'!$A$2:$A$501,'Parâmetros'!$B$4,'Movimentações'!$B$2:$B$501,$A63,'Movimentações'!$C$2:$C$501,"Bônus/Gratificação"))</x:f>
      </x:c>
      <x:c r="J63" s="94" t="str">
        <x:f>IF($A63="","",SUMIFS('Movimentações'!$E$2:$E$501,'Movimentações'!$A$2:$A$501,'Parâmetros'!$B$4,'Movimentações'!$B$2:$B$501,$A63,'Movimentações'!$C$2:$C$501,"Adicional"))</x:f>
      </x:c>
      <x:c r="K63" s="94" t="str">
        <x:f>IF($A63="","",SUMIFS('Movimentações'!$E$2:$E$501,'Movimentações'!$A$2:$A$501,'Parâmetros'!$B$4,'Movimentações'!$B$2:$B$501,$A63,'Movimentações'!$C$2:$C$501,"Crédito Extra"))</x:f>
      </x:c>
      <x:c r="L63" s="94" t="str">
        <x:f>IF($A63="","",SUMIFS('Movimentações'!$E$2:$E$501,'Movimentações'!$A$2:$A$501,'Parâmetros'!$B$4,'Movimentações'!$B$2:$B$501,$A63,'Movimentações'!$C$2:$C$501,"Desconto Extra"))</x:f>
      </x:c>
      <x:c r="M63" s="96" t="str">
        <x:f>IF($A63="","",D63/IF(Cadastro!J63=0,'Parâmetros'!$B$12,Cadastro!J63))</x:f>
      </x:c>
      <x:c r="N63" s="96" t="str">
        <x:f>IF($A63="","",(D63/'Parâmetros'!$B$7)*E63)</x:f>
      </x:c>
      <x:c r="O63" s="96" t="str">
        <x:f>IF($A63="","",IF(E63&gt;0,D63/'Parâmetros'!$B$7,0))</x:f>
      </x:c>
      <x:c r="P63" s="96" t="str">
        <x:f>IF($A63="","",(M63*'Parâmetros'!$B$10)*F63)</x:f>
      </x:c>
      <x:c r="Q63" s="96" t="str">
        <x:f>IF($A63="","",(M63*'Parâmetros'!$B$11)*G63)</x:f>
      </x:c>
      <x:c r="R63" s="96" t="str">
        <x:f>IF($A63="","",((P63+Q63)/'Parâmetros'!$B$5)*'Parâmetros'!$B$6)</x:f>
      </x:c>
      <x:c r="S63" s="96" t="str">
        <x:f>IF($A63="","",(H63/'Parâmetros'!$B$5)*'Parâmetros'!$B$6)</x:f>
      </x:c>
      <x:c r="T63" s="96" t="str">
        <x:f>IF($A63="","",D63-N63-O63+H63+I63+J63+K63+P63+Q63+R63+S63)</x:f>
      </x:c>
      <x:c r="U63" s="96" t="str">
        <x:f>IF($A63="","",MIN(D63*'Parâmetros'!$B$9,Cadastro!L63))</x:f>
      </x:c>
      <x:c r="V63" s="96" t="str">
        <x:f>IF($A63="","",IF(T63&lt;='Parâmetros'!$C$16,T63*'Parâmetros'!$D$16,IF(T63&lt;='Parâmetros'!$C$17,T63*'Parâmetros'!$D$17-'Parâmetros'!$E$17,IF(T63&lt;='Parâmetros'!$C$18,T63*'Parâmetros'!$D$18-'Parâmetros'!$E$18,IF(T63&lt;='Parâmetros'!$C$19,T63*'Parâmetros'!$D$19-'Parâmetros'!$E$19,'Parâmetros'!$C$19*'Parâmetros'!$D$19-'Parâmetros'!$E$19)))))</x:f>
      </x:c>
      <x:c r="W63" s="96" t="str">
        <x:f>IF($A63="","",MAX(0,((T63-V63-(Cadastro!K63*'Parâmetros'!$H$6))*'Parâmetros'!$H$4)-'Parâmetros'!$H$5))</x:f>
      </x:c>
      <x:c r="X63" s="96" t="str">
        <x:f>IF($A63="","",Cadastro!M63)</x:f>
      </x:c>
      <x:c r="Y63" s="96" t="str">
        <x:f>IF($A63="","",Cadastro!N63)</x:f>
      </x:c>
      <x:c r="Z63" s="96" t="str">
        <x:f>IF($A63="","",Cadastro!O63)</x:f>
      </x:c>
      <x:c r="AA63" s="96" t="str">
        <x:f>IF($A63="","",N63+O63+U63+V63+W63+X63+Y63+Z63+L63)</x:f>
      </x:c>
      <x:c r="AB63" s="96" t="str">
        <x:f>IF($A63="","",T63-(U63+V63+W63+X63+Y63+Z63+L63))</x:f>
      </x:c>
      <x:c r="AC63" s="88" t="str">
        <x:f>IF($A63="","",SUMIFS('Importação Contabilidade'!$T$7:$T$500,'Importação Contabilidade'!$A$7:$A$500,'Parâmetros'!$B$4,'Importação Contabilidade'!$B$7:$B$500,$A63))</x:f>
      </x:c>
      <x:c r="AD63" s="88" t="str">
        <x:f>IF($A63="","",SUMIFS('Importação Contabilidade'!$U$7:$U$500,'Importação Contabilidade'!$A$7:$A$500,'Parâmetros'!$B$4,'Importação Contabilidade'!$B$7:$B$500,$A63))</x:f>
      </x:c>
      <x:c r="AE63" s="88" t="str">
        <x:f>IF($A63="","",SUMIFS('Importação Contabilidade'!$V$7:$V$500,'Importação Contabilidade'!$A$7:$A$500,'Parâmetros'!$B$4,'Importação Contabilidade'!$B$7:$B$500,$A63))</x:f>
      </x:c>
      <x:c r="AF63" s="97" t="str">
        <x:f>IF($A63="","",T63-AC63)</x:f>
      </x:c>
      <x:c r="AG63" s="97" t="str">
        <x:f>IF($A63="","",AA63-AD63)</x:f>
      </x:c>
      <x:c r="AH63" s="97" t="str">
        <x:f>IF($A63="","",AB63-AE63)</x:f>
      </x:c>
      <x:c r="AI63" s="98" t="str">
        <x:f>IF($A63="","",IF(COUNTIFS('Importação Contabilidade'!$A$7:$A$500,'Parâmetros'!$B$4,'Importação Contabilidade'!$B$7:$B$500,$A63)=0,"PENDENTE IMPORTAÇÃO",IF(AND(ABS(AF63)&lt;='Parâmetros'!$B$8,ABS(AG63)&lt;='Parâmetros'!$B$8,ABS(AH63)&lt;='Parâmetros'!$B$8),"OK","REVISAR")))</x:f>
      </x:c>
      <x:c r="AJ63" s="98" t="str">
        <x:f>IF($A63="","",IF(AI63="PENDENTE IMPORTAÇÃO","Funcionário/competência não encontrados na Importação Contabilidade",IF(AI63="OK","Sem divergência relevante",IF(ABS(AH63)&gt;=MAX(ABS(AF63),ABS(AG63)),"Revisar salário líquido",IF(ABS(AF63)&gt;=ABS(AG63),"Revisar bruto/proventos","Revisar descontos")))))</x:f>
      </x:c>
    </x:row>
    <x:row r="64">
      <x:c r="A64" s="93" t="str">
        <x:f>IF(Cadastro!A64="","",Cadastro!A64)</x:f>
      </x:c>
      <x:c r="B64" s="93" t="str">
        <x:f>IF(Cadastro!B64="","",Cadastro!B64)</x:f>
      </x:c>
      <x:c r="C64" s="93" t="str">
        <x:f>IF(Cadastro!F64="","",Cadastro!F64)</x:f>
      </x:c>
      <x:c r="D64" s="94" t="str">
        <x:f>IF(Cadastro!I64="","",Cadastro!I64)</x:f>
      </x:c>
      <x:c r="E64" s="95" t="str">
        <x:f>IF($A64="","",SUMIFS('Movimentações'!$D$2:$D$501,'Movimentações'!$A$2:$A$501,'Parâmetros'!$B$4,'Movimentações'!$B$2:$B$501,$A64,'Movimentações'!$C$2:$C$501,"Falta (dias)"))</x:f>
      </x:c>
      <x:c r="F64" s="95" t="str">
        <x:f>IF($A64="","",SUMIFS('Movimentações'!$D$2:$D$501,'Movimentações'!$A$2:$A$501,'Parâmetros'!$B$4,'Movimentações'!$B$2:$B$501,$A64,'Movimentações'!$C$2:$C$501,"HE 50% (horas)"))</x:f>
      </x:c>
      <x:c r="G64" s="95" t="str">
        <x:f>IF($A64="","",SUMIFS('Movimentações'!$D$2:$D$501,'Movimentações'!$A$2:$A$501,'Parâmetros'!$B$4,'Movimentações'!$B$2:$B$501,$A64,'Movimentações'!$C$2:$C$501,"HE 100% (horas)"))</x:f>
      </x:c>
      <x:c r="H64" s="94" t="str">
        <x:f>IF($A64="","",SUMIFS('Movimentações'!$E$2:$E$501,'Movimentações'!$A$2:$A$501,'Parâmetros'!$B$4,'Movimentações'!$B$2:$B$501,$A64,'Movimentações'!$C$2:$C$501,"Comissão"))</x:f>
      </x:c>
      <x:c r="I64" s="94" t="str">
        <x:f>IF($A64="","",SUMIFS('Movimentações'!$E$2:$E$501,'Movimentações'!$A$2:$A$501,'Parâmetros'!$B$4,'Movimentações'!$B$2:$B$501,$A64,'Movimentações'!$C$2:$C$501,"Bônus/Gratificação"))</x:f>
      </x:c>
      <x:c r="J64" s="94" t="str">
        <x:f>IF($A64="","",SUMIFS('Movimentações'!$E$2:$E$501,'Movimentações'!$A$2:$A$501,'Parâmetros'!$B$4,'Movimentações'!$B$2:$B$501,$A64,'Movimentações'!$C$2:$C$501,"Adicional"))</x:f>
      </x:c>
      <x:c r="K64" s="94" t="str">
        <x:f>IF($A64="","",SUMIFS('Movimentações'!$E$2:$E$501,'Movimentações'!$A$2:$A$501,'Parâmetros'!$B$4,'Movimentações'!$B$2:$B$501,$A64,'Movimentações'!$C$2:$C$501,"Crédito Extra"))</x:f>
      </x:c>
      <x:c r="L64" s="94" t="str">
        <x:f>IF($A64="","",SUMIFS('Movimentações'!$E$2:$E$501,'Movimentações'!$A$2:$A$501,'Parâmetros'!$B$4,'Movimentações'!$B$2:$B$501,$A64,'Movimentações'!$C$2:$C$501,"Desconto Extra"))</x:f>
      </x:c>
      <x:c r="M64" s="96" t="str">
        <x:f>IF($A64="","",D64/IF(Cadastro!J64=0,'Parâmetros'!$B$12,Cadastro!J64))</x:f>
      </x:c>
      <x:c r="N64" s="96" t="str">
        <x:f>IF($A64="","",(D64/'Parâmetros'!$B$7)*E64)</x:f>
      </x:c>
      <x:c r="O64" s="96" t="str">
        <x:f>IF($A64="","",IF(E64&gt;0,D64/'Parâmetros'!$B$7,0))</x:f>
      </x:c>
      <x:c r="P64" s="96" t="str">
        <x:f>IF($A64="","",(M64*'Parâmetros'!$B$10)*F64)</x:f>
      </x:c>
      <x:c r="Q64" s="96" t="str">
        <x:f>IF($A64="","",(M64*'Parâmetros'!$B$11)*G64)</x:f>
      </x:c>
      <x:c r="R64" s="96" t="str">
        <x:f>IF($A64="","",((P64+Q64)/'Parâmetros'!$B$5)*'Parâmetros'!$B$6)</x:f>
      </x:c>
      <x:c r="S64" s="96" t="str">
        <x:f>IF($A64="","",(H64/'Parâmetros'!$B$5)*'Parâmetros'!$B$6)</x:f>
      </x:c>
      <x:c r="T64" s="96" t="str">
        <x:f>IF($A64="","",D64-N64-O64+H64+I64+J64+K64+P64+Q64+R64+S64)</x:f>
      </x:c>
      <x:c r="U64" s="96" t="str">
        <x:f>IF($A64="","",MIN(D64*'Parâmetros'!$B$9,Cadastro!L64))</x:f>
      </x:c>
      <x:c r="V64" s="96" t="str">
        <x:f>IF($A64="","",IF(T64&lt;='Parâmetros'!$C$16,T64*'Parâmetros'!$D$16,IF(T64&lt;='Parâmetros'!$C$17,T64*'Parâmetros'!$D$17-'Parâmetros'!$E$17,IF(T64&lt;='Parâmetros'!$C$18,T64*'Parâmetros'!$D$18-'Parâmetros'!$E$18,IF(T64&lt;='Parâmetros'!$C$19,T64*'Parâmetros'!$D$19-'Parâmetros'!$E$19,'Parâmetros'!$C$19*'Parâmetros'!$D$19-'Parâmetros'!$E$19)))))</x:f>
      </x:c>
      <x:c r="W64" s="96" t="str">
        <x:f>IF($A64="","",MAX(0,((T64-V64-(Cadastro!K64*'Parâmetros'!$H$6))*'Parâmetros'!$H$4)-'Parâmetros'!$H$5))</x:f>
      </x:c>
      <x:c r="X64" s="96" t="str">
        <x:f>IF($A64="","",Cadastro!M64)</x:f>
      </x:c>
      <x:c r="Y64" s="96" t="str">
        <x:f>IF($A64="","",Cadastro!N64)</x:f>
      </x:c>
      <x:c r="Z64" s="96" t="str">
        <x:f>IF($A64="","",Cadastro!O64)</x:f>
      </x:c>
      <x:c r="AA64" s="96" t="str">
        <x:f>IF($A64="","",N64+O64+U64+V64+W64+X64+Y64+Z64+L64)</x:f>
      </x:c>
      <x:c r="AB64" s="96" t="str">
        <x:f>IF($A64="","",T64-(U64+V64+W64+X64+Y64+Z64+L64))</x:f>
      </x:c>
      <x:c r="AC64" s="88" t="str">
        <x:f>IF($A64="","",SUMIFS('Importação Contabilidade'!$T$7:$T$500,'Importação Contabilidade'!$A$7:$A$500,'Parâmetros'!$B$4,'Importação Contabilidade'!$B$7:$B$500,$A64))</x:f>
      </x:c>
      <x:c r="AD64" s="88" t="str">
        <x:f>IF($A64="","",SUMIFS('Importação Contabilidade'!$U$7:$U$500,'Importação Contabilidade'!$A$7:$A$500,'Parâmetros'!$B$4,'Importação Contabilidade'!$B$7:$B$500,$A64))</x:f>
      </x:c>
      <x:c r="AE64" s="88" t="str">
        <x:f>IF($A64="","",SUMIFS('Importação Contabilidade'!$V$7:$V$500,'Importação Contabilidade'!$A$7:$A$500,'Parâmetros'!$B$4,'Importação Contabilidade'!$B$7:$B$500,$A64))</x:f>
      </x:c>
      <x:c r="AF64" s="97" t="str">
        <x:f>IF($A64="","",T64-AC64)</x:f>
      </x:c>
      <x:c r="AG64" s="97" t="str">
        <x:f>IF($A64="","",AA64-AD64)</x:f>
      </x:c>
      <x:c r="AH64" s="97" t="str">
        <x:f>IF($A64="","",AB64-AE64)</x:f>
      </x:c>
      <x:c r="AI64" s="98" t="str">
        <x:f>IF($A64="","",IF(COUNTIFS('Importação Contabilidade'!$A$7:$A$500,'Parâmetros'!$B$4,'Importação Contabilidade'!$B$7:$B$500,$A64)=0,"PENDENTE IMPORTAÇÃO",IF(AND(ABS(AF64)&lt;='Parâmetros'!$B$8,ABS(AG64)&lt;='Parâmetros'!$B$8,ABS(AH64)&lt;='Parâmetros'!$B$8),"OK","REVISAR")))</x:f>
      </x:c>
      <x:c r="AJ64" s="98" t="str">
        <x:f>IF($A64="","",IF(AI64="PENDENTE IMPORTAÇÃO","Funcionário/competência não encontrados na Importação Contabilidade",IF(AI64="OK","Sem divergência relevante",IF(ABS(AH64)&gt;=MAX(ABS(AF64),ABS(AG64)),"Revisar salário líquido",IF(ABS(AF64)&gt;=ABS(AG64),"Revisar bruto/proventos","Revisar descontos")))))</x:f>
      </x:c>
    </x:row>
    <x:row r="65">
      <x:c r="A65" s="93" t="str">
        <x:f>IF(Cadastro!A65="","",Cadastro!A65)</x:f>
      </x:c>
      <x:c r="B65" s="93" t="str">
        <x:f>IF(Cadastro!B65="","",Cadastro!B65)</x:f>
      </x:c>
      <x:c r="C65" s="93" t="str">
        <x:f>IF(Cadastro!F65="","",Cadastro!F65)</x:f>
      </x:c>
      <x:c r="D65" s="94" t="str">
        <x:f>IF(Cadastro!I65="","",Cadastro!I65)</x:f>
      </x:c>
      <x:c r="E65" s="95" t="str">
        <x:f>IF($A65="","",SUMIFS('Movimentações'!$D$2:$D$501,'Movimentações'!$A$2:$A$501,'Parâmetros'!$B$4,'Movimentações'!$B$2:$B$501,$A65,'Movimentações'!$C$2:$C$501,"Falta (dias)"))</x:f>
      </x:c>
      <x:c r="F65" s="95" t="str">
        <x:f>IF($A65="","",SUMIFS('Movimentações'!$D$2:$D$501,'Movimentações'!$A$2:$A$501,'Parâmetros'!$B$4,'Movimentações'!$B$2:$B$501,$A65,'Movimentações'!$C$2:$C$501,"HE 50% (horas)"))</x:f>
      </x:c>
      <x:c r="G65" s="95" t="str">
        <x:f>IF($A65="","",SUMIFS('Movimentações'!$D$2:$D$501,'Movimentações'!$A$2:$A$501,'Parâmetros'!$B$4,'Movimentações'!$B$2:$B$501,$A65,'Movimentações'!$C$2:$C$501,"HE 100% (horas)"))</x:f>
      </x:c>
      <x:c r="H65" s="94" t="str">
        <x:f>IF($A65="","",SUMIFS('Movimentações'!$E$2:$E$501,'Movimentações'!$A$2:$A$501,'Parâmetros'!$B$4,'Movimentações'!$B$2:$B$501,$A65,'Movimentações'!$C$2:$C$501,"Comissão"))</x:f>
      </x:c>
      <x:c r="I65" s="94" t="str">
        <x:f>IF($A65="","",SUMIFS('Movimentações'!$E$2:$E$501,'Movimentações'!$A$2:$A$501,'Parâmetros'!$B$4,'Movimentações'!$B$2:$B$501,$A65,'Movimentações'!$C$2:$C$501,"Bônus/Gratificação"))</x:f>
      </x:c>
      <x:c r="J65" s="94" t="str">
        <x:f>IF($A65="","",SUMIFS('Movimentações'!$E$2:$E$501,'Movimentações'!$A$2:$A$501,'Parâmetros'!$B$4,'Movimentações'!$B$2:$B$501,$A65,'Movimentações'!$C$2:$C$501,"Adicional"))</x:f>
      </x:c>
      <x:c r="K65" s="94" t="str">
        <x:f>IF($A65="","",SUMIFS('Movimentações'!$E$2:$E$501,'Movimentações'!$A$2:$A$501,'Parâmetros'!$B$4,'Movimentações'!$B$2:$B$501,$A65,'Movimentações'!$C$2:$C$501,"Crédito Extra"))</x:f>
      </x:c>
      <x:c r="L65" s="94" t="str">
        <x:f>IF($A65="","",SUMIFS('Movimentações'!$E$2:$E$501,'Movimentações'!$A$2:$A$501,'Parâmetros'!$B$4,'Movimentações'!$B$2:$B$501,$A65,'Movimentações'!$C$2:$C$501,"Desconto Extra"))</x:f>
      </x:c>
      <x:c r="M65" s="96" t="str">
        <x:f>IF($A65="","",D65/IF(Cadastro!J65=0,'Parâmetros'!$B$12,Cadastro!J65))</x:f>
      </x:c>
      <x:c r="N65" s="96" t="str">
        <x:f>IF($A65="","",(D65/'Parâmetros'!$B$7)*E65)</x:f>
      </x:c>
      <x:c r="O65" s="96" t="str">
        <x:f>IF($A65="","",IF(E65&gt;0,D65/'Parâmetros'!$B$7,0))</x:f>
      </x:c>
      <x:c r="P65" s="96" t="str">
        <x:f>IF($A65="","",(M65*'Parâmetros'!$B$10)*F65)</x:f>
      </x:c>
      <x:c r="Q65" s="96" t="str">
        <x:f>IF($A65="","",(M65*'Parâmetros'!$B$11)*G65)</x:f>
      </x:c>
      <x:c r="R65" s="96" t="str">
        <x:f>IF($A65="","",((P65+Q65)/'Parâmetros'!$B$5)*'Parâmetros'!$B$6)</x:f>
      </x:c>
      <x:c r="S65" s="96" t="str">
        <x:f>IF($A65="","",(H65/'Parâmetros'!$B$5)*'Parâmetros'!$B$6)</x:f>
      </x:c>
      <x:c r="T65" s="96" t="str">
        <x:f>IF($A65="","",D65-N65-O65+H65+I65+J65+K65+P65+Q65+R65+S65)</x:f>
      </x:c>
      <x:c r="U65" s="96" t="str">
        <x:f>IF($A65="","",MIN(D65*'Parâmetros'!$B$9,Cadastro!L65))</x:f>
      </x:c>
      <x:c r="V65" s="96" t="str">
        <x:f>IF($A65="","",IF(T65&lt;='Parâmetros'!$C$16,T65*'Parâmetros'!$D$16,IF(T65&lt;='Parâmetros'!$C$17,T65*'Parâmetros'!$D$17-'Parâmetros'!$E$17,IF(T65&lt;='Parâmetros'!$C$18,T65*'Parâmetros'!$D$18-'Parâmetros'!$E$18,IF(T65&lt;='Parâmetros'!$C$19,T65*'Parâmetros'!$D$19-'Parâmetros'!$E$19,'Parâmetros'!$C$19*'Parâmetros'!$D$19-'Parâmetros'!$E$19)))))</x:f>
      </x:c>
      <x:c r="W65" s="96" t="str">
        <x:f>IF($A65="","",MAX(0,((T65-V65-(Cadastro!K65*'Parâmetros'!$H$6))*'Parâmetros'!$H$4)-'Parâmetros'!$H$5))</x:f>
      </x:c>
      <x:c r="X65" s="96" t="str">
        <x:f>IF($A65="","",Cadastro!M65)</x:f>
      </x:c>
      <x:c r="Y65" s="96" t="str">
        <x:f>IF($A65="","",Cadastro!N65)</x:f>
      </x:c>
      <x:c r="Z65" s="96" t="str">
        <x:f>IF($A65="","",Cadastro!O65)</x:f>
      </x:c>
      <x:c r="AA65" s="96" t="str">
        <x:f>IF($A65="","",N65+O65+U65+V65+W65+X65+Y65+Z65+L65)</x:f>
      </x:c>
      <x:c r="AB65" s="96" t="str">
        <x:f>IF($A65="","",T65-(U65+V65+W65+X65+Y65+Z65+L65))</x:f>
      </x:c>
      <x:c r="AC65" s="88" t="str">
        <x:f>IF($A65="","",SUMIFS('Importação Contabilidade'!$T$7:$T$500,'Importação Contabilidade'!$A$7:$A$500,'Parâmetros'!$B$4,'Importação Contabilidade'!$B$7:$B$500,$A65))</x:f>
      </x:c>
      <x:c r="AD65" s="88" t="str">
        <x:f>IF($A65="","",SUMIFS('Importação Contabilidade'!$U$7:$U$500,'Importação Contabilidade'!$A$7:$A$500,'Parâmetros'!$B$4,'Importação Contabilidade'!$B$7:$B$500,$A65))</x:f>
      </x:c>
      <x:c r="AE65" s="88" t="str">
        <x:f>IF($A65="","",SUMIFS('Importação Contabilidade'!$V$7:$V$500,'Importação Contabilidade'!$A$7:$A$500,'Parâmetros'!$B$4,'Importação Contabilidade'!$B$7:$B$500,$A65))</x:f>
      </x:c>
      <x:c r="AF65" s="97" t="str">
        <x:f>IF($A65="","",T65-AC65)</x:f>
      </x:c>
      <x:c r="AG65" s="97" t="str">
        <x:f>IF($A65="","",AA65-AD65)</x:f>
      </x:c>
      <x:c r="AH65" s="97" t="str">
        <x:f>IF($A65="","",AB65-AE65)</x:f>
      </x:c>
      <x:c r="AI65" s="98" t="str">
        <x:f>IF($A65="","",IF(COUNTIFS('Importação Contabilidade'!$A$7:$A$500,'Parâmetros'!$B$4,'Importação Contabilidade'!$B$7:$B$500,$A65)=0,"PENDENTE IMPORTAÇÃO",IF(AND(ABS(AF65)&lt;='Parâmetros'!$B$8,ABS(AG65)&lt;='Parâmetros'!$B$8,ABS(AH65)&lt;='Parâmetros'!$B$8),"OK","REVISAR")))</x:f>
      </x:c>
      <x:c r="AJ65" s="98" t="str">
        <x:f>IF($A65="","",IF(AI65="PENDENTE IMPORTAÇÃO","Funcionário/competência não encontrados na Importação Contabilidade",IF(AI65="OK","Sem divergência relevante",IF(ABS(AH65)&gt;=MAX(ABS(AF65),ABS(AG65)),"Revisar salário líquido",IF(ABS(AF65)&gt;=ABS(AG65),"Revisar bruto/proventos","Revisar descontos")))))</x:f>
      </x:c>
    </x:row>
    <x:row r="66">
      <x:c r="A66" s="93" t="str">
        <x:f>IF(Cadastro!A66="","",Cadastro!A66)</x:f>
      </x:c>
      <x:c r="B66" s="93" t="str">
        <x:f>IF(Cadastro!B66="","",Cadastro!B66)</x:f>
      </x:c>
      <x:c r="C66" s="93" t="str">
        <x:f>IF(Cadastro!F66="","",Cadastro!F66)</x:f>
      </x:c>
      <x:c r="D66" s="94" t="str">
        <x:f>IF(Cadastro!I66="","",Cadastro!I66)</x:f>
      </x:c>
      <x:c r="E66" s="95" t="str">
        <x:f>IF($A66="","",SUMIFS('Movimentações'!$D$2:$D$501,'Movimentações'!$A$2:$A$501,'Parâmetros'!$B$4,'Movimentações'!$B$2:$B$501,$A66,'Movimentações'!$C$2:$C$501,"Falta (dias)"))</x:f>
      </x:c>
      <x:c r="F66" s="95" t="str">
        <x:f>IF($A66="","",SUMIFS('Movimentações'!$D$2:$D$501,'Movimentações'!$A$2:$A$501,'Parâmetros'!$B$4,'Movimentações'!$B$2:$B$501,$A66,'Movimentações'!$C$2:$C$501,"HE 50% (horas)"))</x:f>
      </x:c>
      <x:c r="G66" s="95" t="str">
        <x:f>IF($A66="","",SUMIFS('Movimentações'!$D$2:$D$501,'Movimentações'!$A$2:$A$501,'Parâmetros'!$B$4,'Movimentações'!$B$2:$B$501,$A66,'Movimentações'!$C$2:$C$501,"HE 100% (horas)"))</x:f>
      </x:c>
      <x:c r="H66" s="94" t="str">
        <x:f>IF($A66="","",SUMIFS('Movimentações'!$E$2:$E$501,'Movimentações'!$A$2:$A$501,'Parâmetros'!$B$4,'Movimentações'!$B$2:$B$501,$A66,'Movimentações'!$C$2:$C$501,"Comissão"))</x:f>
      </x:c>
      <x:c r="I66" s="94" t="str">
        <x:f>IF($A66="","",SUMIFS('Movimentações'!$E$2:$E$501,'Movimentações'!$A$2:$A$501,'Parâmetros'!$B$4,'Movimentações'!$B$2:$B$501,$A66,'Movimentações'!$C$2:$C$501,"Bônus/Gratificação"))</x:f>
      </x:c>
      <x:c r="J66" s="94" t="str">
        <x:f>IF($A66="","",SUMIFS('Movimentações'!$E$2:$E$501,'Movimentações'!$A$2:$A$501,'Parâmetros'!$B$4,'Movimentações'!$B$2:$B$501,$A66,'Movimentações'!$C$2:$C$501,"Adicional"))</x:f>
      </x:c>
      <x:c r="K66" s="94" t="str">
        <x:f>IF($A66="","",SUMIFS('Movimentações'!$E$2:$E$501,'Movimentações'!$A$2:$A$501,'Parâmetros'!$B$4,'Movimentações'!$B$2:$B$501,$A66,'Movimentações'!$C$2:$C$501,"Crédito Extra"))</x:f>
      </x:c>
      <x:c r="L66" s="94" t="str">
        <x:f>IF($A66="","",SUMIFS('Movimentações'!$E$2:$E$501,'Movimentações'!$A$2:$A$501,'Parâmetros'!$B$4,'Movimentações'!$B$2:$B$501,$A66,'Movimentações'!$C$2:$C$501,"Desconto Extra"))</x:f>
      </x:c>
      <x:c r="M66" s="96" t="str">
        <x:f>IF($A66="","",D66/IF(Cadastro!J66=0,'Parâmetros'!$B$12,Cadastro!J66))</x:f>
      </x:c>
      <x:c r="N66" s="96" t="str">
        <x:f>IF($A66="","",(D66/'Parâmetros'!$B$7)*E66)</x:f>
      </x:c>
      <x:c r="O66" s="96" t="str">
        <x:f>IF($A66="","",IF(E66&gt;0,D66/'Parâmetros'!$B$7,0))</x:f>
      </x:c>
      <x:c r="P66" s="96" t="str">
        <x:f>IF($A66="","",(M66*'Parâmetros'!$B$10)*F66)</x:f>
      </x:c>
      <x:c r="Q66" s="96" t="str">
        <x:f>IF($A66="","",(M66*'Parâmetros'!$B$11)*G66)</x:f>
      </x:c>
      <x:c r="R66" s="96" t="str">
        <x:f>IF($A66="","",((P66+Q66)/'Parâmetros'!$B$5)*'Parâmetros'!$B$6)</x:f>
      </x:c>
      <x:c r="S66" s="96" t="str">
        <x:f>IF($A66="","",(H66/'Parâmetros'!$B$5)*'Parâmetros'!$B$6)</x:f>
      </x:c>
      <x:c r="T66" s="96" t="str">
        <x:f>IF($A66="","",D66-N66-O66+H66+I66+J66+K66+P66+Q66+R66+S66)</x:f>
      </x:c>
      <x:c r="U66" s="96" t="str">
        <x:f>IF($A66="","",MIN(D66*'Parâmetros'!$B$9,Cadastro!L66))</x:f>
      </x:c>
      <x:c r="V66" s="96" t="str">
        <x:f>IF($A66="","",IF(T66&lt;='Parâmetros'!$C$16,T66*'Parâmetros'!$D$16,IF(T66&lt;='Parâmetros'!$C$17,T66*'Parâmetros'!$D$17-'Parâmetros'!$E$17,IF(T66&lt;='Parâmetros'!$C$18,T66*'Parâmetros'!$D$18-'Parâmetros'!$E$18,IF(T66&lt;='Parâmetros'!$C$19,T66*'Parâmetros'!$D$19-'Parâmetros'!$E$19,'Parâmetros'!$C$19*'Parâmetros'!$D$19-'Parâmetros'!$E$19)))))</x:f>
      </x:c>
      <x:c r="W66" s="96" t="str">
        <x:f>IF($A66="","",MAX(0,((T66-V66-(Cadastro!K66*'Parâmetros'!$H$6))*'Parâmetros'!$H$4)-'Parâmetros'!$H$5))</x:f>
      </x:c>
      <x:c r="X66" s="96" t="str">
        <x:f>IF($A66="","",Cadastro!M66)</x:f>
      </x:c>
      <x:c r="Y66" s="96" t="str">
        <x:f>IF($A66="","",Cadastro!N66)</x:f>
      </x:c>
      <x:c r="Z66" s="96" t="str">
        <x:f>IF($A66="","",Cadastro!O66)</x:f>
      </x:c>
      <x:c r="AA66" s="96" t="str">
        <x:f>IF($A66="","",N66+O66+U66+V66+W66+X66+Y66+Z66+L66)</x:f>
      </x:c>
      <x:c r="AB66" s="96" t="str">
        <x:f>IF($A66="","",T66-(U66+V66+W66+X66+Y66+Z66+L66))</x:f>
      </x:c>
      <x:c r="AC66" s="88" t="str">
        <x:f>IF($A66="","",SUMIFS('Importação Contabilidade'!$T$7:$T$500,'Importação Contabilidade'!$A$7:$A$500,'Parâmetros'!$B$4,'Importação Contabilidade'!$B$7:$B$500,$A66))</x:f>
      </x:c>
      <x:c r="AD66" s="88" t="str">
        <x:f>IF($A66="","",SUMIFS('Importação Contabilidade'!$U$7:$U$500,'Importação Contabilidade'!$A$7:$A$500,'Parâmetros'!$B$4,'Importação Contabilidade'!$B$7:$B$500,$A66))</x:f>
      </x:c>
      <x:c r="AE66" s="88" t="str">
        <x:f>IF($A66="","",SUMIFS('Importação Contabilidade'!$V$7:$V$500,'Importação Contabilidade'!$A$7:$A$500,'Parâmetros'!$B$4,'Importação Contabilidade'!$B$7:$B$500,$A66))</x:f>
      </x:c>
      <x:c r="AF66" s="97" t="str">
        <x:f>IF($A66="","",T66-AC66)</x:f>
      </x:c>
      <x:c r="AG66" s="97" t="str">
        <x:f>IF($A66="","",AA66-AD66)</x:f>
      </x:c>
      <x:c r="AH66" s="97" t="str">
        <x:f>IF($A66="","",AB66-AE66)</x:f>
      </x:c>
      <x:c r="AI66" s="98" t="str">
        <x:f>IF($A66="","",IF(COUNTIFS('Importação Contabilidade'!$A$7:$A$500,'Parâmetros'!$B$4,'Importação Contabilidade'!$B$7:$B$500,$A66)=0,"PENDENTE IMPORTAÇÃO",IF(AND(ABS(AF66)&lt;='Parâmetros'!$B$8,ABS(AG66)&lt;='Parâmetros'!$B$8,ABS(AH66)&lt;='Parâmetros'!$B$8),"OK","REVISAR")))</x:f>
      </x:c>
      <x:c r="AJ66" s="98" t="str">
        <x:f>IF($A66="","",IF(AI66="PENDENTE IMPORTAÇÃO","Funcionário/competência não encontrados na Importação Contabilidade",IF(AI66="OK","Sem divergência relevante",IF(ABS(AH66)&gt;=MAX(ABS(AF66),ABS(AG66)),"Revisar salário líquido",IF(ABS(AF66)&gt;=ABS(AG66),"Revisar bruto/proventos","Revisar descontos")))))</x:f>
      </x:c>
    </x:row>
    <x:row r="67">
      <x:c r="A67" s="93" t="str">
        <x:f>IF(Cadastro!A67="","",Cadastro!A67)</x:f>
      </x:c>
      <x:c r="B67" s="93" t="str">
        <x:f>IF(Cadastro!B67="","",Cadastro!B67)</x:f>
      </x:c>
      <x:c r="C67" s="93" t="str">
        <x:f>IF(Cadastro!F67="","",Cadastro!F67)</x:f>
      </x:c>
      <x:c r="D67" s="94" t="str">
        <x:f>IF(Cadastro!I67="","",Cadastro!I67)</x:f>
      </x:c>
      <x:c r="E67" s="95" t="str">
        <x:f>IF($A67="","",SUMIFS('Movimentações'!$D$2:$D$501,'Movimentações'!$A$2:$A$501,'Parâmetros'!$B$4,'Movimentações'!$B$2:$B$501,$A67,'Movimentações'!$C$2:$C$501,"Falta (dias)"))</x:f>
      </x:c>
      <x:c r="F67" s="95" t="str">
        <x:f>IF($A67="","",SUMIFS('Movimentações'!$D$2:$D$501,'Movimentações'!$A$2:$A$501,'Parâmetros'!$B$4,'Movimentações'!$B$2:$B$501,$A67,'Movimentações'!$C$2:$C$501,"HE 50% (horas)"))</x:f>
      </x:c>
      <x:c r="G67" s="95" t="str">
        <x:f>IF($A67="","",SUMIFS('Movimentações'!$D$2:$D$501,'Movimentações'!$A$2:$A$501,'Parâmetros'!$B$4,'Movimentações'!$B$2:$B$501,$A67,'Movimentações'!$C$2:$C$501,"HE 100% (horas)"))</x:f>
      </x:c>
      <x:c r="H67" s="94" t="str">
        <x:f>IF($A67="","",SUMIFS('Movimentações'!$E$2:$E$501,'Movimentações'!$A$2:$A$501,'Parâmetros'!$B$4,'Movimentações'!$B$2:$B$501,$A67,'Movimentações'!$C$2:$C$501,"Comissão"))</x:f>
      </x:c>
      <x:c r="I67" s="94" t="str">
        <x:f>IF($A67="","",SUMIFS('Movimentações'!$E$2:$E$501,'Movimentações'!$A$2:$A$501,'Parâmetros'!$B$4,'Movimentações'!$B$2:$B$501,$A67,'Movimentações'!$C$2:$C$501,"Bônus/Gratificação"))</x:f>
      </x:c>
      <x:c r="J67" s="94" t="str">
        <x:f>IF($A67="","",SUMIFS('Movimentações'!$E$2:$E$501,'Movimentações'!$A$2:$A$501,'Parâmetros'!$B$4,'Movimentações'!$B$2:$B$501,$A67,'Movimentações'!$C$2:$C$501,"Adicional"))</x:f>
      </x:c>
      <x:c r="K67" s="94" t="str">
        <x:f>IF($A67="","",SUMIFS('Movimentações'!$E$2:$E$501,'Movimentações'!$A$2:$A$501,'Parâmetros'!$B$4,'Movimentações'!$B$2:$B$501,$A67,'Movimentações'!$C$2:$C$501,"Crédito Extra"))</x:f>
      </x:c>
      <x:c r="L67" s="94" t="str">
        <x:f>IF($A67="","",SUMIFS('Movimentações'!$E$2:$E$501,'Movimentações'!$A$2:$A$501,'Parâmetros'!$B$4,'Movimentações'!$B$2:$B$501,$A67,'Movimentações'!$C$2:$C$501,"Desconto Extra"))</x:f>
      </x:c>
      <x:c r="M67" s="96" t="str">
        <x:f>IF($A67="","",D67/IF(Cadastro!J67=0,'Parâmetros'!$B$12,Cadastro!J67))</x:f>
      </x:c>
      <x:c r="N67" s="96" t="str">
        <x:f>IF($A67="","",(D67/'Parâmetros'!$B$7)*E67)</x:f>
      </x:c>
      <x:c r="O67" s="96" t="str">
        <x:f>IF($A67="","",IF(E67&gt;0,D67/'Parâmetros'!$B$7,0))</x:f>
      </x:c>
      <x:c r="P67" s="96" t="str">
        <x:f>IF($A67="","",(M67*'Parâmetros'!$B$10)*F67)</x:f>
      </x:c>
      <x:c r="Q67" s="96" t="str">
        <x:f>IF($A67="","",(M67*'Parâmetros'!$B$11)*G67)</x:f>
      </x:c>
      <x:c r="R67" s="96" t="str">
        <x:f>IF($A67="","",((P67+Q67)/'Parâmetros'!$B$5)*'Parâmetros'!$B$6)</x:f>
      </x:c>
      <x:c r="S67" s="96" t="str">
        <x:f>IF($A67="","",(H67/'Parâmetros'!$B$5)*'Parâmetros'!$B$6)</x:f>
      </x:c>
      <x:c r="T67" s="96" t="str">
        <x:f>IF($A67="","",D67-N67-O67+H67+I67+J67+K67+P67+Q67+R67+S67)</x:f>
      </x:c>
      <x:c r="U67" s="96" t="str">
        <x:f>IF($A67="","",MIN(D67*'Parâmetros'!$B$9,Cadastro!L67))</x:f>
      </x:c>
      <x:c r="V67" s="96" t="str">
        <x:f>IF($A67="","",IF(T67&lt;='Parâmetros'!$C$16,T67*'Parâmetros'!$D$16,IF(T67&lt;='Parâmetros'!$C$17,T67*'Parâmetros'!$D$17-'Parâmetros'!$E$17,IF(T67&lt;='Parâmetros'!$C$18,T67*'Parâmetros'!$D$18-'Parâmetros'!$E$18,IF(T67&lt;='Parâmetros'!$C$19,T67*'Parâmetros'!$D$19-'Parâmetros'!$E$19,'Parâmetros'!$C$19*'Parâmetros'!$D$19-'Parâmetros'!$E$19)))))</x:f>
      </x:c>
      <x:c r="W67" s="96" t="str">
        <x:f>IF($A67="","",MAX(0,((T67-V67-(Cadastro!K67*'Parâmetros'!$H$6))*'Parâmetros'!$H$4)-'Parâmetros'!$H$5))</x:f>
      </x:c>
      <x:c r="X67" s="96" t="str">
        <x:f>IF($A67="","",Cadastro!M67)</x:f>
      </x:c>
      <x:c r="Y67" s="96" t="str">
        <x:f>IF($A67="","",Cadastro!N67)</x:f>
      </x:c>
      <x:c r="Z67" s="96" t="str">
        <x:f>IF($A67="","",Cadastro!O67)</x:f>
      </x:c>
      <x:c r="AA67" s="96" t="str">
        <x:f>IF($A67="","",N67+O67+U67+V67+W67+X67+Y67+Z67+L67)</x:f>
      </x:c>
      <x:c r="AB67" s="96" t="str">
        <x:f>IF($A67="","",T67-(U67+V67+W67+X67+Y67+Z67+L67))</x:f>
      </x:c>
      <x:c r="AC67" s="88" t="str">
        <x:f>IF($A67="","",SUMIFS('Importação Contabilidade'!$T$7:$T$500,'Importação Contabilidade'!$A$7:$A$500,'Parâmetros'!$B$4,'Importação Contabilidade'!$B$7:$B$500,$A67))</x:f>
      </x:c>
      <x:c r="AD67" s="88" t="str">
        <x:f>IF($A67="","",SUMIFS('Importação Contabilidade'!$U$7:$U$500,'Importação Contabilidade'!$A$7:$A$500,'Parâmetros'!$B$4,'Importação Contabilidade'!$B$7:$B$500,$A67))</x:f>
      </x:c>
      <x:c r="AE67" s="88" t="str">
        <x:f>IF($A67="","",SUMIFS('Importação Contabilidade'!$V$7:$V$500,'Importação Contabilidade'!$A$7:$A$500,'Parâmetros'!$B$4,'Importação Contabilidade'!$B$7:$B$500,$A67))</x:f>
      </x:c>
      <x:c r="AF67" s="97" t="str">
        <x:f>IF($A67="","",T67-AC67)</x:f>
      </x:c>
      <x:c r="AG67" s="97" t="str">
        <x:f>IF($A67="","",AA67-AD67)</x:f>
      </x:c>
      <x:c r="AH67" s="97" t="str">
        <x:f>IF($A67="","",AB67-AE67)</x:f>
      </x:c>
      <x:c r="AI67" s="98" t="str">
        <x:f>IF($A67="","",IF(COUNTIFS('Importação Contabilidade'!$A$7:$A$500,'Parâmetros'!$B$4,'Importação Contabilidade'!$B$7:$B$500,$A67)=0,"PENDENTE IMPORTAÇÃO",IF(AND(ABS(AF67)&lt;='Parâmetros'!$B$8,ABS(AG67)&lt;='Parâmetros'!$B$8,ABS(AH67)&lt;='Parâmetros'!$B$8),"OK","REVISAR")))</x:f>
      </x:c>
      <x:c r="AJ67" s="98" t="str">
        <x:f>IF($A67="","",IF(AI67="PENDENTE IMPORTAÇÃO","Funcionário/competência não encontrados na Importação Contabilidade",IF(AI67="OK","Sem divergência relevante",IF(ABS(AH67)&gt;=MAX(ABS(AF67),ABS(AG67)),"Revisar salário líquido",IF(ABS(AF67)&gt;=ABS(AG67),"Revisar bruto/proventos","Revisar descontos")))))</x:f>
      </x:c>
    </x:row>
    <x:row r="68">
      <x:c r="A68" s="93" t="str">
        <x:f>IF(Cadastro!A68="","",Cadastro!A68)</x:f>
      </x:c>
      <x:c r="B68" s="93" t="str">
        <x:f>IF(Cadastro!B68="","",Cadastro!B68)</x:f>
      </x:c>
      <x:c r="C68" s="93" t="str">
        <x:f>IF(Cadastro!F68="","",Cadastro!F68)</x:f>
      </x:c>
      <x:c r="D68" s="94" t="str">
        <x:f>IF(Cadastro!I68="","",Cadastro!I68)</x:f>
      </x:c>
      <x:c r="E68" s="95" t="str">
        <x:f>IF($A68="","",SUMIFS('Movimentações'!$D$2:$D$501,'Movimentações'!$A$2:$A$501,'Parâmetros'!$B$4,'Movimentações'!$B$2:$B$501,$A68,'Movimentações'!$C$2:$C$501,"Falta (dias)"))</x:f>
      </x:c>
      <x:c r="F68" s="95" t="str">
        <x:f>IF($A68="","",SUMIFS('Movimentações'!$D$2:$D$501,'Movimentações'!$A$2:$A$501,'Parâmetros'!$B$4,'Movimentações'!$B$2:$B$501,$A68,'Movimentações'!$C$2:$C$501,"HE 50% (horas)"))</x:f>
      </x:c>
      <x:c r="G68" s="95" t="str">
        <x:f>IF($A68="","",SUMIFS('Movimentações'!$D$2:$D$501,'Movimentações'!$A$2:$A$501,'Parâmetros'!$B$4,'Movimentações'!$B$2:$B$501,$A68,'Movimentações'!$C$2:$C$501,"HE 100% (horas)"))</x:f>
      </x:c>
      <x:c r="H68" s="94" t="str">
        <x:f>IF($A68="","",SUMIFS('Movimentações'!$E$2:$E$501,'Movimentações'!$A$2:$A$501,'Parâmetros'!$B$4,'Movimentações'!$B$2:$B$501,$A68,'Movimentações'!$C$2:$C$501,"Comissão"))</x:f>
      </x:c>
      <x:c r="I68" s="94" t="str">
        <x:f>IF($A68="","",SUMIFS('Movimentações'!$E$2:$E$501,'Movimentações'!$A$2:$A$501,'Parâmetros'!$B$4,'Movimentações'!$B$2:$B$501,$A68,'Movimentações'!$C$2:$C$501,"Bônus/Gratificação"))</x:f>
      </x:c>
      <x:c r="J68" s="94" t="str">
        <x:f>IF($A68="","",SUMIFS('Movimentações'!$E$2:$E$501,'Movimentações'!$A$2:$A$501,'Parâmetros'!$B$4,'Movimentações'!$B$2:$B$501,$A68,'Movimentações'!$C$2:$C$501,"Adicional"))</x:f>
      </x:c>
      <x:c r="K68" s="94" t="str">
        <x:f>IF($A68="","",SUMIFS('Movimentações'!$E$2:$E$501,'Movimentações'!$A$2:$A$501,'Parâmetros'!$B$4,'Movimentações'!$B$2:$B$501,$A68,'Movimentações'!$C$2:$C$501,"Crédito Extra"))</x:f>
      </x:c>
      <x:c r="L68" s="94" t="str">
        <x:f>IF($A68="","",SUMIFS('Movimentações'!$E$2:$E$501,'Movimentações'!$A$2:$A$501,'Parâmetros'!$B$4,'Movimentações'!$B$2:$B$501,$A68,'Movimentações'!$C$2:$C$501,"Desconto Extra"))</x:f>
      </x:c>
      <x:c r="M68" s="96" t="str">
        <x:f>IF($A68="","",D68/IF(Cadastro!J68=0,'Parâmetros'!$B$12,Cadastro!J68))</x:f>
      </x:c>
      <x:c r="N68" s="96" t="str">
        <x:f>IF($A68="","",(D68/'Parâmetros'!$B$7)*E68)</x:f>
      </x:c>
      <x:c r="O68" s="96" t="str">
        <x:f>IF($A68="","",IF(E68&gt;0,D68/'Parâmetros'!$B$7,0))</x:f>
      </x:c>
      <x:c r="P68" s="96" t="str">
        <x:f>IF($A68="","",(M68*'Parâmetros'!$B$10)*F68)</x:f>
      </x:c>
      <x:c r="Q68" s="96" t="str">
        <x:f>IF($A68="","",(M68*'Parâmetros'!$B$11)*G68)</x:f>
      </x:c>
      <x:c r="R68" s="96" t="str">
        <x:f>IF($A68="","",((P68+Q68)/'Parâmetros'!$B$5)*'Parâmetros'!$B$6)</x:f>
      </x:c>
      <x:c r="S68" s="96" t="str">
        <x:f>IF($A68="","",(H68/'Parâmetros'!$B$5)*'Parâmetros'!$B$6)</x:f>
      </x:c>
      <x:c r="T68" s="96" t="str">
        <x:f>IF($A68="","",D68-N68-O68+H68+I68+J68+K68+P68+Q68+R68+S68)</x:f>
      </x:c>
      <x:c r="U68" s="96" t="str">
        <x:f>IF($A68="","",MIN(D68*'Parâmetros'!$B$9,Cadastro!L68))</x:f>
      </x:c>
      <x:c r="V68" s="96" t="str">
        <x:f>IF($A68="","",IF(T68&lt;='Parâmetros'!$C$16,T68*'Parâmetros'!$D$16,IF(T68&lt;='Parâmetros'!$C$17,T68*'Parâmetros'!$D$17-'Parâmetros'!$E$17,IF(T68&lt;='Parâmetros'!$C$18,T68*'Parâmetros'!$D$18-'Parâmetros'!$E$18,IF(T68&lt;='Parâmetros'!$C$19,T68*'Parâmetros'!$D$19-'Parâmetros'!$E$19,'Parâmetros'!$C$19*'Parâmetros'!$D$19-'Parâmetros'!$E$19)))))</x:f>
      </x:c>
      <x:c r="W68" s="96" t="str">
        <x:f>IF($A68="","",MAX(0,((T68-V68-(Cadastro!K68*'Parâmetros'!$H$6))*'Parâmetros'!$H$4)-'Parâmetros'!$H$5))</x:f>
      </x:c>
      <x:c r="X68" s="96" t="str">
        <x:f>IF($A68="","",Cadastro!M68)</x:f>
      </x:c>
      <x:c r="Y68" s="96" t="str">
        <x:f>IF($A68="","",Cadastro!N68)</x:f>
      </x:c>
      <x:c r="Z68" s="96" t="str">
        <x:f>IF($A68="","",Cadastro!O68)</x:f>
      </x:c>
      <x:c r="AA68" s="96" t="str">
        <x:f>IF($A68="","",N68+O68+U68+V68+W68+X68+Y68+Z68+L68)</x:f>
      </x:c>
      <x:c r="AB68" s="96" t="str">
        <x:f>IF($A68="","",T68-(U68+V68+W68+X68+Y68+Z68+L68))</x:f>
      </x:c>
      <x:c r="AC68" s="88" t="str">
        <x:f>IF($A68="","",SUMIFS('Importação Contabilidade'!$T$7:$T$500,'Importação Contabilidade'!$A$7:$A$500,'Parâmetros'!$B$4,'Importação Contabilidade'!$B$7:$B$500,$A68))</x:f>
      </x:c>
      <x:c r="AD68" s="88" t="str">
        <x:f>IF($A68="","",SUMIFS('Importação Contabilidade'!$U$7:$U$500,'Importação Contabilidade'!$A$7:$A$500,'Parâmetros'!$B$4,'Importação Contabilidade'!$B$7:$B$500,$A68))</x:f>
      </x:c>
      <x:c r="AE68" s="88" t="str">
        <x:f>IF($A68="","",SUMIFS('Importação Contabilidade'!$V$7:$V$500,'Importação Contabilidade'!$A$7:$A$500,'Parâmetros'!$B$4,'Importação Contabilidade'!$B$7:$B$500,$A68))</x:f>
      </x:c>
      <x:c r="AF68" s="97" t="str">
        <x:f>IF($A68="","",T68-AC68)</x:f>
      </x:c>
      <x:c r="AG68" s="97" t="str">
        <x:f>IF($A68="","",AA68-AD68)</x:f>
      </x:c>
      <x:c r="AH68" s="97" t="str">
        <x:f>IF($A68="","",AB68-AE68)</x:f>
      </x:c>
      <x:c r="AI68" s="98" t="str">
        <x:f>IF($A68="","",IF(COUNTIFS('Importação Contabilidade'!$A$7:$A$500,'Parâmetros'!$B$4,'Importação Contabilidade'!$B$7:$B$500,$A68)=0,"PENDENTE IMPORTAÇÃO",IF(AND(ABS(AF68)&lt;='Parâmetros'!$B$8,ABS(AG68)&lt;='Parâmetros'!$B$8,ABS(AH68)&lt;='Parâmetros'!$B$8),"OK","REVISAR")))</x:f>
      </x:c>
      <x:c r="AJ68" s="98" t="str">
        <x:f>IF($A68="","",IF(AI68="PENDENTE IMPORTAÇÃO","Funcionário/competência não encontrados na Importação Contabilidade",IF(AI68="OK","Sem divergência relevante",IF(ABS(AH68)&gt;=MAX(ABS(AF68),ABS(AG68)),"Revisar salário líquido",IF(ABS(AF68)&gt;=ABS(AG68),"Revisar bruto/proventos","Revisar descontos")))))</x:f>
      </x:c>
    </x:row>
    <x:row r="69">
      <x:c r="A69" s="93" t="str">
        <x:f>IF(Cadastro!A69="","",Cadastro!A69)</x:f>
      </x:c>
      <x:c r="B69" s="93" t="str">
        <x:f>IF(Cadastro!B69="","",Cadastro!B69)</x:f>
      </x:c>
      <x:c r="C69" s="93" t="str">
        <x:f>IF(Cadastro!F69="","",Cadastro!F69)</x:f>
      </x:c>
      <x:c r="D69" s="94" t="str">
        <x:f>IF(Cadastro!I69="","",Cadastro!I69)</x:f>
      </x:c>
      <x:c r="E69" s="95" t="str">
        <x:f>IF($A69="","",SUMIFS('Movimentações'!$D$2:$D$501,'Movimentações'!$A$2:$A$501,'Parâmetros'!$B$4,'Movimentações'!$B$2:$B$501,$A69,'Movimentações'!$C$2:$C$501,"Falta (dias)"))</x:f>
      </x:c>
      <x:c r="F69" s="95" t="str">
        <x:f>IF($A69="","",SUMIFS('Movimentações'!$D$2:$D$501,'Movimentações'!$A$2:$A$501,'Parâmetros'!$B$4,'Movimentações'!$B$2:$B$501,$A69,'Movimentações'!$C$2:$C$501,"HE 50% (horas)"))</x:f>
      </x:c>
      <x:c r="G69" s="95" t="str">
        <x:f>IF($A69="","",SUMIFS('Movimentações'!$D$2:$D$501,'Movimentações'!$A$2:$A$501,'Parâmetros'!$B$4,'Movimentações'!$B$2:$B$501,$A69,'Movimentações'!$C$2:$C$501,"HE 100% (horas)"))</x:f>
      </x:c>
      <x:c r="H69" s="94" t="str">
        <x:f>IF($A69="","",SUMIFS('Movimentações'!$E$2:$E$501,'Movimentações'!$A$2:$A$501,'Parâmetros'!$B$4,'Movimentações'!$B$2:$B$501,$A69,'Movimentações'!$C$2:$C$501,"Comissão"))</x:f>
      </x:c>
      <x:c r="I69" s="94" t="str">
        <x:f>IF($A69="","",SUMIFS('Movimentações'!$E$2:$E$501,'Movimentações'!$A$2:$A$501,'Parâmetros'!$B$4,'Movimentações'!$B$2:$B$501,$A69,'Movimentações'!$C$2:$C$501,"Bônus/Gratificação"))</x:f>
      </x:c>
      <x:c r="J69" s="94" t="str">
        <x:f>IF($A69="","",SUMIFS('Movimentações'!$E$2:$E$501,'Movimentações'!$A$2:$A$501,'Parâmetros'!$B$4,'Movimentações'!$B$2:$B$501,$A69,'Movimentações'!$C$2:$C$501,"Adicional"))</x:f>
      </x:c>
      <x:c r="K69" s="94" t="str">
        <x:f>IF($A69="","",SUMIFS('Movimentações'!$E$2:$E$501,'Movimentações'!$A$2:$A$501,'Parâmetros'!$B$4,'Movimentações'!$B$2:$B$501,$A69,'Movimentações'!$C$2:$C$501,"Crédito Extra"))</x:f>
      </x:c>
      <x:c r="L69" s="94" t="str">
        <x:f>IF($A69="","",SUMIFS('Movimentações'!$E$2:$E$501,'Movimentações'!$A$2:$A$501,'Parâmetros'!$B$4,'Movimentações'!$B$2:$B$501,$A69,'Movimentações'!$C$2:$C$501,"Desconto Extra"))</x:f>
      </x:c>
      <x:c r="M69" s="96" t="str">
        <x:f>IF($A69="","",D69/IF(Cadastro!J69=0,'Parâmetros'!$B$12,Cadastro!J69))</x:f>
      </x:c>
      <x:c r="N69" s="96" t="str">
        <x:f>IF($A69="","",(D69/'Parâmetros'!$B$7)*E69)</x:f>
      </x:c>
      <x:c r="O69" s="96" t="str">
        <x:f>IF($A69="","",IF(E69&gt;0,D69/'Parâmetros'!$B$7,0))</x:f>
      </x:c>
      <x:c r="P69" s="96" t="str">
        <x:f>IF($A69="","",(M69*'Parâmetros'!$B$10)*F69)</x:f>
      </x:c>
      <x:c r="Q69" s="96" t="str">
        <x:f>IF($A69="","",(M69*'Parâmetros'!$B$11)*G69)</x:f>
      </x:c>
      <x:c r="R69" s="96" t="str">
        <x:f>IF($A69="","",((P69+Q69)/'Parâmetros'!$B$5)*'Parâmetros'!$B$6)</x:f>
      </x:c>
      <x:c r="S69" s="96" t="str">
        <x:f>IF($A69="","",(H69/'Parâmetros'!$B$5)*'Parâmetros'!$B$6)</x:f>
      </x:c>
      <x:c r="T69" s="96" t="str">
        <x:f>IF($A69="","",D69-N69-O69+H69+I69+J69+K69+P69+Q69+R69+S69)</x:f>
      </x:c>
      <x:c r="U69" s="96" t="str">
        <x:f>IF($A69="","",MIN(D69*'Parâmetros'!$B$9,Cadastro!L69))</x:f>
      </x:c>
      <x:c r="V69" s="96" t="str">
        <x:f>IF($A69="","",IF(T69&lt;='Parâmetros'!$C$16,T69*'Parâmetros'!$D$16,IF(T69&lt;='Parâmetros'!$C$17,T69*'Parâmetros'!$D$17-'Parâmetros'!$E$17,IF(T69&lt;='Parâmetros'!$C$18,T69*'Parâmetros'!$D$18-'Parâmetros'!$E$18,IF(T69&lt;='Parâmetros'!$C$19,T69*'Parâmetros'!$D$19-'Parâmetros'!$E$19,'Parâmetros'!$C$19*'Parâmetros'!$D$19-'Parâmetros'!$E$19)))))</x:f>
      </x:c>
      <x:c r="W69" s="96" t="str">
        <x:f>IF($A69="","",MAX(0,((T69-V69-(Cadastro!K69*'Parâmetros'!$H$6))*'Parâmetros'!$H$4)-'Parâmetros'!$H$5))</x:f>
      </x:c>
      <x:c r="X69" s="96" t="str">
        <x:f>IF($A69="","",Cadastro!M69)</x:f>
      </x:c>
      <x:c r="Y69" s="96" t="str">
        <x:f>IF($A69="","",Cadastro!N69)</x:f>
      </x:c>
      <x:c r="Z69" s="96" t="str">
        <x:f>IF($A69="","",Cadastro!O69)</x:f>
      </x:c>
      <x:c r="AA69" s="96" t="str">
        <x:f>IF($A69="","",N69+O69+U69+V69+W69+X69+Y69+Z69+L69)</x:f>
      </x:c>
      <x:c r="AB69" s="96" t="str">
        <x:f>IF($A69="","",T69-(U69+V69+W69+X69+Y69+Z69+L69))</x:f>
      </x:c>
      <x:c r="AC69" s="88" t="str">
        <x:f>IF($A69="","",SUMIFS('Importação Contabilidade'!$T$7:$T$500,'Importação Contabilidade'!$A$7:$A$500,'Parâmetros'!$B$4,'Importação Contabilidade'!$B$7:$B$500,$A69))</x:f>
      </x:c>
      <x:c r="AD69" s="88" t="str">
        <x:f>IF($A69="","",SUMIFS('Importação Contabilidade'!$U$7:$U$500,'Importação Contabilidade'!$A$7:$A$500,'Parâmetros'!$B$4,'Importação Contabilidade'!$B$7:$B$500,$A69))</x:f>
      </x:c>
      <x:c r="AE69" s="88" t="str">
        <x:f>IF($A69="","",SUMIFS('Importação Contabilidade'!$V$7:$V$500,'Importação Contabilidade'!$A$7:$A$500,'Parâmetros'!$B$4,'Importação Contabilidade'!$B$7:$B$500,$A69))</x:f>
      </x:c>
      <x:c r="AF69" s="97" t="str">
        <x:f>IF($A69="","",T69-AC69)</x:f>
      </x:c>
      <x:c r="AG69" s="97" t="str">
        <x:f>IF($A69="","",AA69-AD69)</x:f>
      </x:c>
      <x:c r="AH69" s="97" t="str">
        <x:f>IF($A69="","",AB69-AE69)</x:f>
      </x:c>
      <x:c r="AI69" s="98" t="str">
        <x:f>IF($A69="","",IF(COUNTIFS('Importação Contabilidade'!$A$7:$A$500,'Parâmetros'!$B$4,'Importação Contabilidade'!$B$7:$B$500,$A69)=0,"PENDENTE IMPORTAÇÃO",IF(AND(ABS(AF69)&lt;='Parâmetros'!$B$8,ABS(AG69)&lt;='Parâmetros'!$B$8,ABS(AH69)&lt;='Parâmetros'!$B$8),"OK","REVISAR")))</x:f>
      </x:c>
      <x:c r="AJ69" s="98" t="str">
        <x:f>IF($A69="","",IF(AI69="PENDENTE IMPORTAÇÃO","Funcionário/competência não encontrados na Importação Contabilidade",IF(AI69="OK","Sem divergência relevante",IF(ABS(AH69)&gt;=MAX(ABS(AF69),ABS(AG69)),"Revisar salário líquido",IF(ABS(AF69)&gt;=ABS(AG69),"Revisar bruto/proventos","Revisar descontos")))))</x:f>
      </x:c>
    </x:row>
    <x:row r="70">
      <x:c r="A70" s="93" t="str">
        <x:f>IF(Cadastro!A70="","",Cadastro!A70)</x:f>
      </x:c>
      <x:c r="B70" s="93" t="str">
        <x:f>IF(Cadastro!B70="","",Cadastro!B70)</x:f>
      </x:c>
      <x:c r="C70" s="93" t="str">
        <x:f>IF(Cadastro!F70="","",Cadastro!F70)</x:f>
      </x:c>
      <x:c r="D70" s="94" t="str">
        <x:f>IF(Cadastro!I70="","",Cadastro!I70)</x:f>
      </x:c>
      <x:c r="E70" s="95" t="str">
        <x:f>IF($A70="","",SUMIFS('Movimentações'!$D$2:$D$501,'Movimentações'!$A$2:$A$501,'Parâmetros'!$B$4,'Movimentações'!$B$2:$B$501,$A70,'Movimentações'!$C$2:$C$501,"Falta (dias)"))</x:f>
      </x:c>
      <x:c r="F70" s="95" t="str">
        <x:f>IF($A70="","",SUMIFS('Movimentações'!$D$2:$D$501,'Movimentações'!$A$2:$A$501,'Parâmetros'!$B$4,'Movimentações'!$B$2:$B$501,$A70,'Movimentações'!$C$2:$C$501,"HE 50% (horas)"))</x:f>
      </x:c>
      <x:c r="G70" s="95" t="str">
        <x:f>IF($A70="","",SUMIFS('Movimentações'!$D$2:$D$501,'Movimentações'!$A$2:$A$501,'Parâmetros'!$B$4,'Movimentações'!$B$2:$B$501,$A70,'Movimentações'!$C$2:$C$501,"HE 100% (horas)"))</x:f>
      </x:c>
      <x:c r="H70" s="94" t="str">
        <x:f>IF($A70="","",SUMIFS('Movimentações'!$E$2:$E$501,'Movimentações'!$A$2:$A$501,'Parâmetros'!$B$4,'Movimentações'!$B$2:$B$501,$A70,'Movimentações'!$C$2:$C$501,"Comissão"))</x:f>
      </x:c>
      <x:c r="I70" s="94" t="str">
        <x:f>IF($A70="","",SUMIFS('Movimentações'!$E$2:$E$501,'Movimentações'!$A$2:$A$501,'Parâmetros'!$B$4,'Movimentações'!$B$2:$B$501,$A70,'Movimentações'!$C$2:$C$501,"Bônus/Gratificação"))</x:f>
      </x:c>
      <x:c r="J70" s="94" t="str">
        <x:f>IF($A70="","",SUMIFS('Movimentações'!$E$2:$E$501,'Movimentações'!$A$2:$A$501,'Parâmetros'!$B$4,'Movimentações'!$B$2:$B$501,$A70,'Movimentações'!$C$2:$C$501,"Adicional"))</x:f>
      </x:c>
      <x:c r="K70" s="94" t="str">
        <x:f>IF($A70="","",SUMIFS('Movimentações'!$E$2:$E$501,'Movimentações'!$A$2:$A$501,'Parâmetros'!$B$4,'Movimentações'!$B$2:$B$501,$A70,'Movimentações'!$C$2:$C$501,"Crédito Extra"))</x:f>
      </x:c>
      <x:c r="L70" s="94" t="str">
        <x:f>IF($A70="","",SUMIFS('Movimentações'!$E$2:$E$501,'Movimentações'!$A$2:$A$501,'Parâmetros'!$B$4,'Movimentações'!$B$2:$B$501,$A70,'Movimentações'!$C$2:$C$501,"Desconto Extra"))</x:f>
      </x:c>
      <x:c r="M70" s="96" t="str">
        <x:f>IF($A70="","",D70/IF(Cadastro!J70=0,'Parâmetros'!$B$12,Cadastro!J70))</x:f>
      </x:c>
      <x:c r="N70" s="96" t="str">
        <x:f>IF($A70="","",(D70/'Parâmetros'!$B$7)*E70)</x:f>
      </x:c>
      <x:c r="O70" s="96" t="str">
        <x:f>IF($A70="","",IF(E70&gt;0,D70/'Parâmetros'!$B$7,0))</x:f>
      </x:c>
      <x:c r="P70" s="96" t="str">
        <x:f>IF($A70="","",(M70*'Parâmetros'!$B$10)*F70)</x:f>
      </x:c>
      <x:c r="Q70" s="96" t="str">
        <x:f>IF($A70="","",(M70*'Parâmetros'!$B$11)*G70)</x:f>
      </x:c>
      <x:c r="R70" s="96" t="str">
        <x:f>IF($A70="","",((P70+Q70)/'Parâmetros'!$B$5)*'Parâmetros'!$B$6)</x:f>
      </x:c>
      <x:c r="S70" s="96" t="str">
        <x:f>IF($A70="","",(H70/'Parâmetros'!$B$5)*'Parâmetros'!$B$6)</x:f>
      </x:c>
      <x:c r="T70" s="96" t="str">
        <x:f>IF($A70="","",D70-N70-O70+H70+I70+J70+K70+P70+Q70+R70+S70)</x:f>
      </x:c>
      <x:c r="U70" s="96" t="str">
        <x:f>IF($A70="","",MIN(D70*'Parâmetros'!$B$9,Cadastro!L70))</x:f>
      </x:c>
      <x:c r="V70" s="96" t="str">
        <x:f>IF($A70="","",IF(T70&lt;='Parâmetros'!$C$16,T70*'Parâmetros'!$D$16,IF(T70&lt;='Parâmetros'!$C$17,T70*'Parâmetros'!$D$17-'Parâmetros'!$E$17,IF(T70&lt;='Parâmetros'!$C$18,T70*'Parâmetros'!$D$18-'Parâmetros'!$E$18,IF(T70&lt;='Parâmetros'!$C$19,T70*'Parâmetros'!$D$19-'Parâmetros'!$E$19,'Parâmetros'!$C$19*'Parâmetros'!$D$19-'Parâmetros'!$E$19)))))</x:f>
      </x:c>
      <x:c r="W70" s="96" t="str">
        <x:f>IF($A70="","",MAX(0,((T70-V70-(Cadastro!K70*'Parâmetros'!$H$6))*'Parâmetros'!$H$4)-'Parâmetros'!$H$5))</x:f>
      </x:c>
      <x:c r="X70" s="96" t="str">
        <x:f>IF($A70="","",Cadastro!M70)</x:f>
      </x:c>
      <x:c r="Y70" s="96" t="str">
        <x:f>IF($A70="","",Cadastro!N70)</x:f>
      </x:c>
      <x:c r="Z70" s="96" t="str">
        <x:f>IF($A70="","",Cadastro!O70)</x:f>
      </x:c>
      <x:c r="AA70" s="96" t="str">
        <x:f>IF($A70="","",N70+O70+U70+V70+W70+X70+Y70+Z70+L70)</x:f>
      </x:c>
      <x:c r="AB70" s="96" t="str">
        <x:f>IF($A70="","",T70-(U70+V70+W70+X70+Y70+Z70+L70))</x:f>
      </x:c>
      <x:c r="AC70" s="88" t="str">
        <x:f>IF($A70="","",SUMIFS('Importação Contabilidade'!$T$7:$T$500,'Importação Contabilidade'!$A$7:$A$500,'Parâmetros'!$B$4,'Importação Contabilidade'!$B$7:$B$500,$A70))</x:f>
      </x:c>
      <x:c r="AD70" s="88" t="str">
        <x:f>IF($A70="","",SUMIFS('Importação Contabilidade'!$U$7:$U$500,'Importação Contabilidade'!$A$7:$A$500,'Parâmetros'!$B$4,'Importação Contabilidade'!$B$7:$B$500,$A70))</x:f>
      </x:c>
      <x:c r="AE70" s="88" t="str">
        <x:f>IF($A70="","",SUMIFS('Importação Contabilidade'!$V$7:$V$500,'Importação Contabilidade'!$A$7:$A$500,'Parâmetros'!$B$4,'Importação Contabilidade'!$B$7:$B$500,$A70))</x:f>
      </x:c>
      <x:c r="AF70" s="97" t="str">
        <x:f>IF($A70="","",T70-AC70)</x:f>
      </x:c>
      <x:c r="AG70" s="97" t="str">
        <x:f>IF($A70="","",AA70-AD70)</x:f>
      </x:c>
      <x:c r="AH70" s="97" t="str">
        <x:f>IF($A70="","",AB70-AE70)</x:f>
      </x:c>
      <x:c r="AI70" s="98" t="str">
        <x:f>IF($A70="","",IF(COUNTIFS('Importação Contabilidade'!$A$7:$A$500,'Parâmetros'!$B$4,'Importação Contabilidade'!$B$7:$B$500,$A70)=0,"PENDENTE IMPORTAÇÃO",IF(AND(ABS(AF70)&lt;='Parâmetros'!$B$8,ABS(AG70)&lt;='Parâmetros'!$B$8,ABS(AH70)&lt;='Parâmetros'!$B$8),"OK","REVISAR")))</x:f>
      </x:c>
      <x:c r="AJ70" s="98" t="str">
        <x:f>IF($A70="","",IF(AI70="PENDENTE IMPORTAÇÃO","Funcionário/competência não encontrados na Importação Contabilidade",IF(AI70="OK","Sem divergência relevante",IF(ABS(AH70)&gt;=MAX(ABS(AF70),ABS(AG70)),"Revisar salário líquido",IF(ABS(AF70)&gt;=ABS(AG70),"Revisar bruto/proventos","Revisar descontos")))))</x:f>
      </x:c>
    </x:row>
    <x:row r="71">
      <x:c r="A71" s="93" t="str">
        <x:f>IF(Cadastro!A71="","",Cadastro!A71)</x:f>
      </x:c>
      <x:c r="B71" s="93" t="str">
        <x:f>IF(Cadastro!B71="","",Cadastro!B71)</x:f>
      </x:c>
      <x:c r="C71" s="93" t="str">
        <x:f>IF(Cadastro!F71="","",Cadastro!F71)</x:f>
      </x:c>
      <x:c r="D71" s="94" t="str">
        <x:f>IF(Cadastro!I71="","",Cadastro!I71)</x:f>
      </x:c>
      <x:c r="E71" s="95" t="str">
        <x:f>IF($A71="","",SUMIFS('Movimentações'!$D$2:$D$501,'Movimentações'!$A$2:$A$501,'Parâmetros'!$B$4,'Movimentações'!$B$2:$B$501,$A71,'Movimentações'!$C$2:$C$501,"Falta (dias)"))</x:f>
      </x:c>
      <x:c r="F71" s="95" t="str">
        <x:f>IF($A71="","",SUMIFS('Movimentações'!$D$2:$D$501,'Movimentações'!$A$2:$A$501,'Parâmetros'!$B$4,'Movimentações'!$B$2:$B$501,$A71,'Movimentações'!$C$2:$C$501,"HE 50% (horas)"))</x:f>
      </x:c>
      <x:c r="G71" s="95" t="str">
        <x:f>IF($A71="","",SUMIFS('Movimentações'!$D$2:$D$501,'Movimentações'!$A$2:$A$501,'Parâmetros'!$B$4,'Movimentações'!$B$2:$B$501,$A71,'Movimentações'!$C$2:$C$501,"HE 100% (horas)"))</x:f>
      </x:c>
      <x:c r="H71" s="94" t="str">
        <x:f>IF($A71="","",SUMIFS('Movimentações'!$E$2:$E$501,'Movimentações'!$A$2:$A$501,'Parâmetros'!$B$4,'Movimentações'!$B$2:$B$501,$A71,'Movimentações'!$C$2:$C$501,"Comissão"))</x:f>
      </x:c>
      <x:c r="I71" s="94" t="str">
        <x:f>IF($A71="","",SUMIFS('Movimentações'!$E$2:$E$501,'Movimentações'!$A$2:$A$501,'Parâmetros'!$B$4,'Movimentações'!$B$2:$B$501,$A71,'Movimentações'!$C$2:$C$501,"Bônus/Gratificação"))</x:f>
      </x:c>
      <x:c r="J71" s="94" t="str">
        <x:f>IF($A71="","",SUMIFS('Movimentações'!$E$2:$E$501,'Movimentações'!$A$2:$A$501,'Parâmetros'!$B$4,'Movimentações'!$B$2:$B$501,$A71,'Movimentações'!$C$2:$C$501,"Adicional"))</x:f>
      </x:c>
      <x:c r="K71" s="94" t="str">
        <x:f>IF($A71="","",SUMIFS('Movimentações'!$E$2:$E$501,'Movimentações'!$A$2:$A$501,'Parâmetros'!$B$4,'Movimentações'!$B$2:$B$501,$A71,'Movimentações'!$C$2:$C$501,"Crédito Extra"))</x:f>
      </x:c>
      <x:c r="L71" s="94" t="str">
        <x:f>IF($A71="","",SUMIFS('Movimentações'!$E$2:$E$501,'Movimentações'!$A$2:$A$501,'Parâmetros'!$B$4,'Movimentações'!$B$2:$B$501,$A71,'Movimentações'!$C$2:$C$501,"Desconto Extra"))</x:f>
      </x:c>
      <x:c r="M71" s="96" t="str">
        <x:f>IF($A71="","",D71/IF(Cadastro!J71=0,'Parâmetros'!$B$12,Cadastro!J71))</x:f>
      </x:c>
      <x:c r="N71" s="96" t="str">
        <x:f>IF($A71="","",(D71/'Parâmetros'!$B$7)*E71)</x:f>
      </x:c>
      <x:c r="O71" s="96" t="str">
        <x:f>IF($A71="","",IF(E71&gt;0,D71/'Parâmetros'!$B$7,0))</x:f>
      </x:c>
      <x:c r="P71" s="96" t="str">
        <x:f>IF($A71="","",(M71*'Parâmetros'!$B$10)*F71)</x:f>
      </x:c>
      <x:c r="Q71" s="96" t="str">
        <x:f>IF($A71="","",(M71*'Parâmetros'!$B$11)*G71)</x:f>
      </x:c>
      <x:c r="R71" s="96" t="str">
        <x:f>IF($A71="","",((P71+Q71)/'Parâmetros'!$B$5)*'Parâmetros'!$B$6)</x:f>
      </x:c>
      <x:c r="S71" s="96" t="str">
        <x:f>IF($A71="","",(H71/'Parâmetros'!$B$5)*'Parâmetros'!$B$6)</x:f>
      </x:c>
      <x:c r="T71" s="96" t="str">
        <x:f>IF($A71="","",D71-N71-O71+H71+I71+J71+K71+P71+Q71+R71+S71)</x:f>
      </x:c>
      <x:c r="U71" s="96" t="str">
        <x:f>IF($A71="","",MIN(D71*'Parâmetros'!$B$9,Cadastro!L71))</x:f>
      </x:c>
      <x:c r="V71" s="96" t="str">
        <x:f>IF($A71="","",IF(T71&lt;='Parâmetros'!$C$16,T71*'Parâmetros'!$D$16,IF(T71&lt;='Parâmetros'!$C$17,T71*'Parâmetros'!$D$17-'Parâmetros'!$E$17,IF(T71&lt;='Parâmetros'!$C$18,T71*'Parâmetros'!$D$18-'Parâmetros'!$E$18,IF(T71&lt;='Parâmetros'!$C$19,T71*'Parâmetros'!$D$19-'Parâmetros'!$E$19,'Parâmetros'!$C$19*'Parâmetros'!$D$19-'Parâmetros'!$E$19)))))</x:f>
      </x:c>
      <x:c r="W71" s="96" t="str">
        <x:f>IF($A71="","",MAX(0,((T71-V71-(Cadastro!K71*'Parâmetros'!$H$6))*'Parâmetros'!$H$4)-'Parâmetros'!$H$5))</x:f>
      </x:c>
      <x:c r="X71" s="96" t="str">
        <x:f>IF($A71="","",Cadastro!M71)</x:f>
      </x:c>
      <x:c r="Y71" s="96" t="str">
        <x:f>IF($A71="","",Cadastro!N71)</x:f>
      </x:c>
      <x:c r="Z71" s="96" t="str">
        <x:f>IF($A71="","",Cadastro!O71)</x:f>
      </x:c>
      <x:c r="AA71" s="96" t="str">
        <x:f>IF($A71="","",N71+O71+U71+V71+W71+X71+Y71+Z71+L71)</x:f>
      </x:c>
      <x:c r="AB71" s="96" t="str">
        <x:f>IF($A71="","",T71-(U71+V71+W71+X71+Y71+Z71+L71))</x:f>
      </x:c>
      <x:c r="AC71" s="88" t="str">
        <x:f>IF($A71="","",SUMIFS('Importação Contabilidade'!$T$7:$T$500,'Importação Contabilidade'!$A$7:$A$500,'Parâmetros'!$B$4,'Importação Contabilidade'!$B$7:$B$500,$A71))</x:f>
      </x:c>
      <x:c r="AD71" s="88" t="str">
        <x:f>IF($A71="","",SUMIFS('Importação Contabilidade'!$U$7:$U$500,'Importação Contabilidade'!$A$7:$A$500,'Parâmetros'!$B$4,'Importação Contabilidade'!$B$7:$B$500,$A71))</x:f>
      </x:c>
      <x:c r="AE71" s="88" t="str">
        <x:f>IF($A71="","",SUMIFS('Importação Contabilidade'!$V$7:$V$500,'Importação Contabilidade'!$A$7:$A$500,'Parâmetros'!$B$4,'Importação Contabilidade'!$B$7:$B$500,$A71))</x:f>
      </x:c>
      <x:c r="AF71" s="97" t="str">
        <x:f>IF($A71="","",T71-AC71)</x:f>
      </x:c>
      <x:c r="AG71" s="97" t="str">
        <x:f>IF($A71="","",AA71-AD71)</x:f>
      </x:c>
      <x:c r="AH71" s="97" t="str">
        <x:f>IF($A71="","",AB71-AE71)</x:f>
      </x:c>
      <x:c r="AI71" s="98" t="str">
        <x:f>IF($A71="","",IF(COUNTIFS('Importação Contabilidade'!$A$7:$A$500,'Parâmetros'!$B$4,'Importação Contabilidade'!$B$7:$B$500,$A71)=0,"PENDENTE IMPORTAÇÃO",IF(AND(ABS(AF71)&lt;='Parâmetros'!$B$8,ABS(AG71)&lt;='Parâmetros'!$B$8,ABS(AH71)&lt;='Parâmetros'!$B$8),"OK","REVISAR")))</x:f>
      </x:c>
      <x:c r="AJ71" s="98" t="str">
        <x:f>IF($A71="","",IF(AI71="PENDENTE IMPORTAÇÃO","Funcionário/competência não encontrados na Importação Contabilidade",IF(AI71="OK","Sem divergência relevante",IF(ABS(AH71)&gt;=MAX(ABS(AF71),ABS(AG71)),"Revisar salário líquido",IF(ABS(AF71)&gt;=ABS(AG71),"Revisar bruto/proventos","Revisar descontos")))))</x:f>
      </x:c>
    </x:row>
    <x:row r="72">
      <x:c r="A72" s="93" t="str">
        <x:f>IF(Cadastro!A72="","",Cadastro!A72)</x:f>
      </x:c>
      <x:c r="B72" s="93" t="str">
        <x:f>IF(Cadastro!B72="","",Cadastro!B72)</x:f>
      </x:c>
      <x:c r="C72" s="93" t="str">
        <x:f>IF(Cadastro!F72="","",Cadastro!F72)</x:f>
      </x:c>
      <x:c r="D72" s="94" t="str">
        <x:f>IF(Cadastro!I72="","",Cadastro!I72)</x:f>
      </x:c>
      <x:c r="E72" s="95" t="str">
        <x:f>IF($A72="","",SUMIFS('Movimentações'!$D$2:$D$501,'Movimentações'!$A$2:$A$501,'Parâmetros'!$B$4,'Movimentações'!$B$2:$B$501,$A72,'Movimentações'!$C$2:$C$501,"Falta (dias)"))</x:f>
      </x:c>
      <x:c r="F72" s="95" t="str">
        <x:f>IF($A72="","",SUMIFS('Movimentações'!$D$2:$D$501,'Movimentações'!$A$2:$A$501,'Parâmetros'!$B$4,'Movimentações'!$B$2:$B$501,$A72,'Movimentações'!$C$2:$C$501,"HE 50% (horas)"))</x:f>
      </x:c>
      <x:c r="G72" s="95" t="str">
        <x:f>IF($A72="","",SUMIFS('Movimentações'!$D$2:$D$501,'Movimentações'!$A$2:$A$501,'Parâmetros'!$B$4,'Movimentações'!$B$2:$B$501,$A72,'Movimentações'!$C$2:$C$501,"HE 100% (horas)"))</x:f>
      </x:c>
      <x:c r="H72" s="94" t="str">
        <x:f>IF($A72="","",SUMIFS('Movimentações'!$E$2:$E$501,'Movimentações'!$A$2:$A$501,'Parâmetros'!$B$4,'Movimentações'!$B$2:$B$501,$A72,'Movimentações'!$C$2:$C$501,"Comissão"))</x:f>
      </x:c>
      <x:c r="I72" s="94" t="str">
        <x:f>IF($A72="","",SUMIFS('Movimentações'!$E$2:$E$501,'Movimentações'!$A$2:$A$501,'Parâmetros'!$B$4,'Movimentações'!$B$2:$B$501,$A72,'Movimentações'!$C$2:$C$501,"Bônus/Gratificação"))</x:f>
      </x:c>
      <x:c r="J72" s="94" t="str">
        <x:f>IF($A72="","",SUMIFS('Movimentações'!$E$2:$E$501,'Movimentações'!$A$2:$A$501,'Parâmetros'!$B$4,'Movimentações'!$B$2:$B$501,$A72,'Movimentações'!$C$2:$C$501,"Adicional"))</x:f>
      </x:c>
      <x:c r="K72" s="94" t="str">
        <x:f>IF($A72="","",SUMIFS('Movimentações'!$E$2:$E$501,'Movimentações'!$A$2:$A$501,'Parâmetros'!$B$4,'Movimentações'!$B$2:$B$501,$A72,'Movimentações'!$C$2:$C$501,"Crédito Extra"))</x:f>
      </x:c>
      <x:c r="L72" s="94" t="str">
        <x:f>IF($A72="","",SUMIFS('Movimentações'!$E$2:$E$501,'Movimentações'!$A$2:$A$501,'Parâmetros'!$B$4,'Movimentações'!$B$2:$B$501,$A72,'Movimentações'!$C$2:$C$501,"Desconto Extra"))</x:f>
      </x:c>
      <x:c r="M72" s="96" t="str">
        <x:f>IF($A72="","",D72/IF(Cadastro!J72=0,'Parâmetros'!$B$12,Cadastro!J72))</x:f>
      </x:c>
      <x:c r="N72" s="96" t="str">
        <x:f>IF($A72="","",(D72/'Parâmetros'!$B$7)*E72)</x:f>
      </x:c>
      <x:c r="O72" s="96" t="str">
        <x:f>IF($A72="","",IF(E72&gt;0,D72/'Parâmetros'!$B$7,0))</x:f>
      </x:c>
      <x:c r="P72" s="96" t="str">
        <x:f>IF($A72="","",(M72*'Parâmetros'!$B$10)*F72)</x:f>
      </x:c>
      <x:c r="Q72" s="96" t="str">
        <x:f>IF($A72="","",(M72*'Parâmetros'!$B$11)*G72)</x:f>
      </x:c>
      <x:c r="R72" s="96" t="str">
        <x:f>IF($A72="","",((P72+Q72)/'Parâmetros'!$B$5)*'Parâmetros'!$B$6)</x:f>
      </x:c>
      <x:c r="S72" s="96" t="str">
        <x:f>IF($A72="","",(H72/'Parâmetros'!$B$5)*'Parâmetros'!$B$6)</x:f>
      </x:c>
      <x:c r="T72" s="96" t="str">
        <x:f>IF($A72="","",D72-N72-O72+H72+I72+J72+K72+P72+Q72+R72+S72)</x:f>
      </x:c>
      <x:c r="U72" s="96" t="str">
        <x:f>IF($A72="","",MIN(D72*'Parâmetros'!$B$9,Cadastro!L72))</x:f>
      </x:c>
      <x:c r="V72" s="96" t="str">
        <x:f>IF($A72="","",IF(T72&lt;='Parâmetros'!$C$16,T72*'Parâmetros'!$D$16,IF(T72&lt;='Parâmetros'!$C$17,T72*'Parâmetros'!$D$17-'Parâmetros'!$E$17,IF(T72&lt;='Parâmetros'!$C$18,T72*'Parâmetros'!$D$18-'Parâmetros'!$E$18,IF(T72&lt;='Parâmetros'!$C$19,T72*'Parâmetros'!$D$19-'Parâmetros'!$E$19,'Parâmetros'!$C$19*'Parâmetros'!$D$19-'Parâmetros'!$E$19)))))</x:f>
      </x:c>
      <x:c r="W72" s="96" t="str">
        <x:f>IF($A72="","",MAX(0,((T72-V72-(Cadastro!K72*'Parâmetros'!$H$6))*'Parâmetros'!$H$4)-'Parâmetros'!$H$5))</x:f>
      </x:c>
      <x:c r="X72" s="96" t="str">
        <x:f>IF($A72="","",Cadastro!M72)</x:f>
      </x:c>
      <x:c r="Y72" s="96" t="str">
        <x:f>IF($A72="","",Cadastro!N72)</x:f>
      </x:c>
      <x:c r="Z72" s="96" t="str">
        <x:f>IF($A72="","",Cadastro!O72)</x:f>
      </x:c>
      <x:c r="AA72" s="96" t="str">
        <x:f>IF($A72="","",N72+O72+U72+V72+W72+X72+Y72+Z72+L72)</x:f>
      </x:c>
      <x:c r="AB72" s="96" t="str">
        <x:f>IF($A72="","",T72-(U72+V72+W72+X72+Y72+Z72+L72))</x:f>
      </x:c>
      <x:c r="AC72" s="88" t="str">
        <x:f>IF($A72="","",SUMIFS('Importação Contabilidade'!$T$7:$T$500,'Importação Contabilidade'!$A$7:$A$500,'Parâmetros'!$B$4,'Importação Contabilidade'!$B$7:$B$500,$A72))</x:f>
      </x:c>
      <x:c r="AD72" s="88" t="str">
        <x:f>IF($A72="","",SUMIFS('Importação Contabilidade'!$U$7:$U$500,'Importação Contabilidade'!$A$7:$A$500,'Parâmetros'!$B$4,'Importação Contabilidade'!$B$7:$B$500,$A72))</x:f>
      </x:c>
      <x:c r="AE72" s="88" t="str">
        <x:f>IF($A72="","",SUMIFS('Importação Contabilidade'!$V$7:$V$500,'Importação Contabilidade'!$A$7:$A$500,'Parâmetros'!$B$4,'Importação Contabilidade'!$B$7:$B$500,$A72))</x:f>
      </x:c>
      <x:c r="AF72" s="97" t="str">
        <x:f>IF($A72="","",T72-AC72)</x:f>
      </x:c>
      <x:c r="AG72" s="97" t="str">
        <x:f>IF($A72="","",AA72-AD72)</x:f>
      </x:c>
      <x:c r="AH72" s="97" t="str">
        <x:f>IF($A72="","",AB72-AE72)</x:f>
      </x:c>
      <x:c r="AI72" s="98" t="str">
        <x:f>IF($A72="","",IF(COUNTIFS('Importação Contabilidade'!$A$7:$A$500,'Parâmetros'!$B$4,'Importação Contabilidade'!$B$7:$B$500,$A72)=0,"PENDENTE IMPORTAÇÃO",IF(AND(ABS(AF72)&lt;='Parâmetros'!$B$8,ABS(AG72)&lt;='Parâmetros'!$B$8,ABS(AH72)&lt;='Parâmetros'!$B$8),"OK","REVISAR")))</x:f>
      </x:c>
      <x:c r="AJ72" s="98" t="str">
        <x:f>IF($A72="","",IF(AI72="PENDENTE IMPORTAÇÃO","Funcionário/competência não encontrados na Importação Contabilidade",IF(AI72="OK","Sem divergência relevante",IF(ABS(AH72)&gt;=MAX(ABS(AF72),ABS(AG72)),"Revisar salário líquido",IF(ABS(AF72)&gt;=ABS(AG72),"Revisar bruto/proventos","Revisar descontos")))))</x:f>
      </x:c>
    </x:row>
    <x:row r="73">
      <x:c r="A73" s="93" t="str">
        <x:f>IF(Cadastro!A73="","",Cadastro!A73)</x:f>
      </x:c>
      <x:c r="B73" s="93" t="str">
        <x:f>IF(Cadastro!B73="","",Cadastro!B73)</x:f>
      </x:c>
      <x:c r="C73" s="93" t="str">
        <x:f>IF(Cadastro!F73="","",Cadastro!F73)</x:f>
      </x:c>
      <x:c r="D73" s="94" t="str">
        <x:f>IF(Cadastro!I73="","",Cadastro!I73)</x:f>
      </x:c>
      <x:c r="E73" s="95" t="str">
        <x:f>IF($A73="","",SUMIFS('Movimentações'!$D$2:$D$501,'Movimentações'!$A$2:$A$501,'Parâmetros'!$B$4,'Movimentações'!$B$2:$B$501,$A73,'Movimentações'!$C$2:$C$501,"Falta (dias)"))</x:f>
      </x:c>
      <x:c r="F73" s="95" t="str">
        <x:f>IF($A73="","",SUMIFS('Movimentações'!$D$2:$D$501,'Movimentações'!$A$2:$A$501,'Parâmetros'!$B$4,'Movimentações'!$B$2:$B$501,$A73,'Movimentações'!$C$2:$C$501,"HE 50% (horas)"))</x:f>
      </x:c>
      <x:c r="G73" s="95" t="str">
        <x:f>IF($A73="","",SUMIFS('Movimentações'!$D$2:$D$501,'Movimentações'!$A$2:$A$501,'Parâmetros'!$B$4,'Movimentações'!$B$2:$B$501,$A73,'Movimentações'!$C$2:$C$501,"HE 100% (horas)"))</x:f>
      </x:c>
      <x:c r="H73" s="94" t="str">
        <x:f>IF($A73="","",SUMIFS('Movimentações'!$E$2:$E$501,'Movimentações'!$A$2:$A$501,'Parâmetros'!$B$4,'Movimentações'!$B$2:$B$501,$A73,'Movimentações'!$C$2:$C$501,"Comissão"))</x:f>
      </x:c>
      <x:c r="I73" s="94" t="str">
        <x:f>IF($A73="","",SUMIFS('Movimentações'!$E$2:$E$501,'Movimentações'!$A$2:$A$501,'Parâmetros'!$B$4,'Movimentações'!$B$2:$B$501,$A73,'Movimentações'!$C$2:$C$501,"Bônus/Gratificação"))</x:f>
      </x:c>
      <x:c r="J73" s="94" t="str">
        <x:f>IF($A73="","",SUMIFS('Movimentações'!$E$2:$E$501,'Movimentações'!$A$2:$A$501,'Parâmetros'!$B$4,'Movimentações'!$B$2:$B$501,$A73,'Movimentações'!$C$2:$C$501,"Adicional"))</x:f>
      </x:c>
      <x:c r="K73" s="94" t="str">
        <x:f>IF($A73="","",SUMIFS('Movimentações'!$E$2:$E$501,'Movimentações'!$A$2:$A$501,'Parâmetros'!$B$4,'Movimentações'!$B$2:$B$501,$A73,'Movimentações'!$C$2:$C$501,"Crédito Extra"))</x:f>
      </x:c>
      <x:c r="L73" s="94" t="str">
        <x:f>IF($A73="","",SUMIFS('Movimentações'!$E$2:$E$501,'Movimentações'!$A$2:$A$501,'Parâmetros'!$B$4,'Movimentações'!$B$2:$B$501,$A73,'Movimentações'!$C$2:$C$501,"Desconto Extra"))</x:f>
      </x:c>
      <x:c r="M73" s="96" t="str">
        <x:f>IF($A73="","",D73/IF(Cadastro!J73=0,'Parâmetros'!$B$12,Cadastro!J73))</x:f>
      </x:c>
      <x:c r="N73" s="96" t="str">
        <x:f>IF($A73="","",(D73/'Parâmetros'!$B$7)*E73)</x:f>
      </x:c>
      <x:c r="O73" s="96" t="str">
        <x:f>IF($A73="","",IF(E73&gt;0,D73/'Parâmetros'!$B$7,0))</x:f>
      </x:c>
      <x:c r="P73" s="96" t="str">
        <x:f>IF($A73="","",(M73*'Parâmetros'!$B$10)*F73)</x:f>
      </x:c>
      <x:c r="Q73" s="96" t="str">
        <x:f>IF($A73="","",(M73*'Parâmetros'!$B$11)*G73)</x:f>
      </x:c>
      <x:c r="R73" s="96" t="str">
        <x:f>IF($A73="","",((P73+Q73)/'Parâmetros'!$B$5)*'Parâmetros'!$B$6)</x:f>
      </x:c>
      <x:c r="S73" s="96" t="str">
        <x:f>IF($A73="","",(H73/'Parâmetros'!$B$5)*'Parâmetros'!$B$6)</x:f>
      </x:c>
      <x:c r="T73" s="96" t="str">
        <x:f>IF($A73="","",D73-N73-O73+H73+I73+J73+K73+P73+Q73+R73+S73)</x:f>
      </x:c>
      <x:c r="U73" s="96" t="str">
        <x:f>IF($A73="","",MIN(D73*'Parâmetros'!$B$9,Cadastro!L73))</x:f>
      </x:c>
      <x:c r="V73" s="96" t="str">
        <x:f>IF($A73="","",IF(T73&lt;='Parâmetros'!$C$16,T73*'Parâmetros'!$D$16,IF(T73&lt;='Parâmetros'!$C$17,T73*'Parâmetros'!$D$17-'Parâmetros'!$E$17,IF(T73&lt;='Parâmetros'!$C$18,T73*'Parâmetros'!$D$18-'Parâmetros'!$E$18,IF(T73&lt;='Parâmetros'!$C$19,T73*'Parâmetros'!$D$19-'Parâmetros'!$E$19,'Parâmetros'!$C$19*'Parâmetros'!$D$19-'Parâmetros'!$E$19)))))</x:f>
      </x:c>
      <x:c r="W73" s="96" t="str">
        <x:f>IF($A73="","",MAX(0,((T73-V73-(Cadastro!K73*'Parâmetros'!$H$6))*'Parâmetros'!$H$4)-'Parâmetros'!$H$5))</x:f>
      </x:c>
      <x:c r="X73" s="96" t="str">
        <x:f>IF($A73="","",Cadastro!M73)</x:f>
      </x:c>
      <x:c r="Y73" s="96" t="str">
        <x:f>IF($A73="","",Cadastro!N73)</x:f>
      </x:c>
      <x:c r="Z73" s="96" t="str">
        <x:f>IF($A73="","",Cadastro!O73)</x:f>
      </x:c>
      <x:c r="AA73" s="96" t="str">
        <x:f>IF($A73="","",N73+O73+U73+V73+W73+X73+Y73+Z73+L73)</x:f>
      </x:c>
      <x:c r="AB73" s="96" t="str">
        <x:f>IF($A73="","",T73-(U73+V73+W73+X73+Y73+Z73+L73))</x:f>
      </x:c>
      <x:c r="AC73" s="88" t="str">
        <x:f>IF($A73="","",SUMIFS('Importação Contabilidade'!$T$7:$T$500,'Importação Contabilidade'!$A$7:$A$500,'Parâmetros'!$B$4,'Importação Contabilidade'!$B$7:$B$500,$A73))</x:f>
      </x:c>
      <x:c r="AD73" s="88" t="str">
        <x:f>IF($A73="","",SUMIFS('Importação Contabilidade'!$U$7:$U$500,'Importação Contabilidade'!$A$7:$A$500,'Parâmetros'!$B$4,'Importação Contabilidade'!$B$7:$B$500,$A73))</x:f>
      </x:c>
      <x:c r="AE73" s="88" t="str">
        <x:f>IF($A73="","",SUMIFS('Importação Contabilidade'!$V$7:$V$500,'Importação Contabilidade'!$A$7:$A$500,'Parâmetros'!$B$4,'Importação Contabilidade'!$B$7:$B$500,$A73))</x:f>
      </x:c>
      <x:c r="AF73" s="97" t="str">
        <x:f>IF($A73="","",T73-AC73)</x:f>
      </x:c>
      <x:c r="AG73" s="97" t="str">
        <x:f>IF($A73="","",AA73-AD73)</x:f>
      </x:c>
      <x:c r="AH73" s="97" t="str">
        <x:f>IF($A73="","",AB73-AE73)</x:f>
      </x:c>
      <x:c r="AI73" s="98" t="str">
        <x:f>IF($A73="","",IF(COUNTIFS('Importação Contabilidade'!$A$7:$A$500,'Parâmetros'!$B$4,'Importação Contabilidade'!$B$7:$B$500,$A73)=0,"PENDENTE IMPORTAÇÃO",IF(AND(ABS(AF73)&lt;='Parâmetros'!$B$8,ABS(AG73)&lt;='Parâmetros'!$B$8,ABS(AH73)&lt;='Parâmetros'!$B$8),"OK","REVISAR")))</x:f>
      </x:c>
      <x:c r="AJ73" s="98" t="str">
        <x:f>IF($A73="","",IF(AI73="PENDENTE IMPORTAÇÃO","Funcionário/competência não encontrados na Importação Contabilidade",IF(AI73="OK","Sem divergência relevante",IF(ABS(AH73)&gt;=MAX(ABS(AF73),ABS(AG73)),"Revisar salário líquido",IF(ABS(AF73)&gt;=ABS(AG73),"Revisar bruto/proventos","Revisar descontos")))))</x:f>
      </x:c>
    </x:row>
    <x:row r="74">
      <x:c r="A74" s="93" t="str">
        <x:f>IF(Cadastro!A74="","",Cadastro!A74)</x:f>
      </x:c>
      <x:c r="B74" s="93" t="str">
        <x:f>IF(Cadastro!B74="","",Cadastro!B74)</x:f>
      </x:c>
      <x:c r="C74" s="93" t="str">
        <x:f>IF(Cadastro!F74="","",Cadastro!F74)</x:f>
      </x:c>
      <x:c r="D74" s="94" t="str">
        <x:f>IF(Cadastro!I74="","",Cadastro!I74)</x:f>
      </x:c>
      <x:c r="E74" s="95" t="str">
        <x:f>IF($A74="","",SUMIFS('Movimentações'!$D$2:$D$501,'Movimentações'!$A$2:$A$501,'Parâmetros'!$B$4,'Movimentações'!$B$2:$B$501,$A74,'Movimentações'!$C$2:$C$501,"Falta (dias)"))</x:f>
      </x:c>
      <x:c r="F74" s="95" t="str">
        <x:f>IF($A74="","",SUMIFS('Movimentações'!$D$2:$D$501,'Movimentações'!$A$2:$A$501,'Parâmetros'!$B$4,'Movimentações'!$B$2:$B$501,$A74,'Movimentações'!$C$2:$C$501,"HE 50% (horas)"))</x:f>
      </x:c>
      <x:c r="G74" s="95" t="str">
        <x:f>IF($A74="","",SUMIFS('Movimentações'!$D$2:$D$501,'Movimentações'!$A$2:$A$501,'Parâmetros'!$B$4,'Movimentações'!$B$2:$B$501,$A74,'Movimentações'!$C$2:$C$501,"HE 100% (horas)"))</x:f>
      </x:c>
      <x:c r="H74" s="94" t="str">
        <x:f>IF($A74="","",SUMIFS('Movimentações'!$E$2:$E$501,'Movimentações'!$A$2:$A$501,'Parâmetros'!$B$4,'Movimentações'!$B$2:$B$501,$A74,'Movimentações'!$C$2:$C$501,"Comissão"))</x:f>
      </x:c>
      <x:c r="I74" s="94" t="str">
        <x:f>IF($A74="","",SUMIFS('Movimentações'!$E$2:$E$501,'Movimentações'!$A$2:$A$501,'Parâmetros'!$B$4,'Movimentações'!$B$2:$B$501,$A74,'Movimentações'!$C$2:$C$501,"Bônus/Gratificação"))</x:f>
      </x:c>
      <x:c r="J74" s="94" t="str">
        <x:f>IF($A74="","",SUMIFS('Movimentações'!$E$2:$E$501,'Movimentações'!$A$2:$A$501,'Parâmetros'!$B$4,'Movimentações'!$B$2:$B$501,$A74,'Movimentações'!$C$2:$C$501,"Adicional"))</x:f>
      </x:c>
      <x:c r="K74" s="94" t="str">
        <x:f>IF($A74="","",SUMIFS('Movimentações'!$E$2:$E$501,'Movimentações'!$A$2:$A$501,'Parâmetros'!$B$4,'Movimentações'!$B$2:$B$501,$A74,'Movimentações'!$C$2:$C$501,"Crédito Extra"))</x:f>
      </x:c>
      <x:c r="L74" s="94" t="str">
        <x:f>IF($A74="","",SUMIFS('Movimentações'!$E$2:$E$501,'Movimentações'!$A$2:$A$501,'Parâmetros'!$B$4,'Movimentações'!$B$2:$B$501,$A74,'Movimentações'!$C$2:$C$501,"Desconto Extra"))</x:f>
      </x:c>
      <x:c r="M74" s="96" t="str">
        <x:f>IF($A74="","",D74/IF(Cadastro!J74=0,'Parâmetros'!$B$12,Cadastro!J74))</x:f>
      </x:c>
      <x:c r="N74" s="96" t="str">
        <x:f>IF($A74="","",(D74/'Parâmetros'!$B$7)*E74)</x:f>
      </x:c>
      <x:c r="O74" s="96" t="str">
        <x:f>IF($A74="","",IF(E74&gt;0,D74/'Parâmetros'!$B$7,0))</x:f>
      </x:c>
      <x:c r="P74" s="96" t="str">
        <x:f>IF($A74="","",(M74*'Parâmetros'!$B$10)*F74)</x:f>
      </x:c>
      <x:c r="Q74" s="96" t="str">
        <x:f>IF($A74="","",(M74*'Parâmetros'!$B$11)*G74)</x:f>
      </x:c>
      <x:c r="R74" s="96" t="str">
        <x:f>IF($A74="","",((P74+Q74)/'Parâmetros'!$B$5)*'Parâmetros'!$B$6)</x:f>
      </x:c>
      <x:c r="S74" s="96" t="str">
        <x:f>IF($A74="","",(H74/'Parâmetros'!$B$5)*'Parâmetros'!$B$6)</x:f>
      </x:c>
      <x:c r="T74" s="96" t="str">
        <x:f>IF($A74="","",D74-N74-O74+H74+I74+J74+K74+P74+Q74+R74+S74)</x:f>
      </x:c>
      <x:c r="U74" s="96" t="str">
        <x:f>IF($A74="","",MIN(D74*'Parâmetros'!$B$9,Cadastro!L74))</x:f>
      </x:c>
      <x:c r="V74" s="96" t="str">
        <x:f>IF($A74="","",IF(T74&lt;='Parâmetros'!$C$16,T74*'Parâmetros'!$D$16,IF(T74&lt;='Parâmetros'!$C$17,T74*'Parâmetros'!$D$17-'Parâmetros'!$E$17,IF(T74&lt;='Parâmetros'!$C$18,T74*'Parâmetros'!$D$18-'Parâmetros'!$E$18,IF(T74&lt;='Parâmetros'!$C$19,T74*'Parâmetros'!$D$19-'Parâmetros'!$E$19,'Parâmetros'!$C$19*'Parâmetros'!$D$19-'Parâmetros'!$E$19)))))</x:f>
      </x:c>
      <x:c r="W74" s="96" t="str">
        <x:f>IF($A74="","",MAX(0,((T74-V74-(Cadastro!K74*'Parâmetros'!$H$6))*'Parâmetros'!$H$4)-'Parâmetros'!$H$5))</x:f>
      </x:c>
      <x:c r="X74" s="96" t="str">
        <x:f>IF($A74="","",Cadastro!M74)</x:f>
      </x:c>
      <x:c r="Y74" s="96" t="str">
        <x:f>IF($A74="","",Cadastro!N74)</x:f>
      </x:c>
      <x:c r="Z74" s="96" t="str">
        <x:f>IF($A74="","",Cadastro!O74)</x:f>
      </x:c>
      <x:c r="AA74" s="96" t="str">
        <x:f>IF($A74="","",N74+O74+U74+V74+W74+X74+Y74+Z74+L74)</x:f>
      </x:c>
      <x:c r="AB74" s="96" t="str">
        <x:f>IF($A74="","",T74-(U74+V74+W74+X74+Y74+Z74+L74))</x:f>
      </x:c>
      <x:c r="AC74" s="88" t="str">
        <x:f>IF($A74="","",SUMIFS('Importação Contabilidade'!$T$7:$T$500,'Importação Contabilidade'!$A$7:$A$500,'Parâmetros'!$B$4,'Importação Contabilidade'!$B$7:$B$500,$A74))</x:f>
      </x:c>
      <x:c r="AD74" s="88" t="str">
        <x:f>IF($A74="","",SUMIFS('Importação Contabilidade'!$U$7:$U$500,'Importação Contabilidade'!$A$7:$A$500,'Parâmetros'!$B$4,'Importação Contabilidade'!$B$7:$B$500,$A74))</x:f>
      </x:c>
      <x:c r="AE74" s="88" t="str">
        <x:f>IF($A74="","",SUMIFS('Importação Contabilidade'!$V$7:$V$500,'Importação Contabilidade'!$A$7:$A$500,'Parâmetros'!$B$4,'Importação Contabilidade'!$B$7:$B$500,$A74))</x:f>
      </x:c>
      <x:c r="AF74" s="97" t="str">
        <x:f>IF($A74="","",T74-AC74)</x:f>
      </x:c>
      <x:c r="AG74" s="97" t="str">
        <x:f>IF($A74="","",AA74-AD74)</x:f>
      </x:c>
      <x:c r="AH74" s="97" t="str">
        <x:f>IF($A74="","",AB74-AE74)</x:f>
      </x:c>
      <x:c r="AI74" s="98" t="str">
        <x:f>IF($A74="","",IF(COUNTIFS('Importação Contabilidade'!$A$7:$A$500,'Parâmetros'!$B$4,'Importação Contabilidade'!$B$7:$B$500,$A74)=0,"PENDENTE IMPORTAÇÃO",IF(AND(ABS(AF74)&lt;='Parâmetros'!$B$8,ABS(AG74)&lt;='Parâmetros'!$B$8,ABS(AH74)&lt;='Parâmetros'!$B$8),"OK","REVISAR")))</x:f>
      </x:c>
      <x:c r="AJ74" s="98" t="str">
        <x:f>IF($A74="","",IF(AI74="PENDENTE IMPORTAÇÃO","Funcionário/competência não encontrados na Importação Contabilidade",IF(AI74="OK","Sem divergência relevante",IF(ABS(AH74)&gt;=MAX(ABS(AF74),ABS(AG74)),"Revisar salário líquido",IF(ABS(AF74)&gt;=ABS(AG74),"Revisar bruto/proventos","Revisar descontos")))))</x:f>
      </x:c>
    </x:row>
    <x:row r="75">
      <x:c r="A75" s="93" t="str">
        <x:f>IF(Cadastro!A75="","",Cadastro!A75)</x:f>
      </x:c>
      <x:c r="B75" s="93" t="str">
        <x:f>IF(Cadastro!B75="","",Cadastro!B75)</x:f>
      </x:c>
      <x:c r="C75" s="93" t="str">
        <x:f>IF(Cadastro!F75="","",Cadastro!F75)</x:f>
      </x:c>
      <x:c r="D75" s="94" t="str">
        <x:f>IF(Cadastro!I75="","",Cadastro!I75)</x:f>
      </x:c>
      <x:c r="E75" s="95" t="str">
        <x:f>IF($A75="","",SUMIFS('Movimentações'!$D$2:$D$501,'Movimentações'!$A$2:$A$501,'Parâmetros'!$B$4,'Movimentações'!$B$2:$B$501,$A75,'Movimentações'!$C$2:$C$501,"Falta (dias)"))</x:f>
      </x:c>
      <x:c r="F75" s="95" t="str">
        <x:f>IF($A75="","",SUMIFS('Movimentações'!$D$2:$D$501,'Movimentações'!$A$2:$A$501,'Parâmetros'!$B$4,'Movimentações'!$B$2:$B$501,$A75,'Movimentações'!$C$2:$C$501,"HE 50% (horas)"))</x:f>
      </x:c>
      <x:c r="G75" s="95" t="str">
        <x:f>IF($A75="","",SUMIFS('Movimentações'!$D$2:$D$501,'Movimentações'!$A$2:$A$501,'Parâmetros'!$B$4,'Movimentações'!$B$2:$B$501,$A75,'Movimentações'!$C$2:$C$501,"HE 100% (horas)"))</x:f>
      </x:c>
      <x:c r="H75" s="94" t="str">
        <x:f>IF($A75="","",SUMIFS('Movimentações'!$E$2:$E$501,'Movimentações'!$A$2:$A$501,'Parâmetros'!$B$4,'Movimentações'!$B$2:$B$501,$A75,'Movimentações'!$C$2:$C$501,"Comissão"))</x:f>
      </x:c>
      <x:c r="I75" s="94" t="str">
        <x:f>IF($A75="","",SUMIFS('Movimentações'!$E$2:$E$501,'Movimentações'!$A$2:$A$501,'Parâmetros'!$B$4,'Movimentações'!$B$2:$B$501,$A75,'Movimentações'!$C$2:$C$501,"Bônus/Gratificação"))</x:f>
      </x:c>
      <x:c r="J75" s="94" t="str">
        <x:f>IF($A75="","",SUMIFS('Movimentações'!$E$2:$E$501,'Movimentações'!$A$2:$A$501,'Parâmetros'!$B$4,'Movimentações'!$B$2:$B$501,$A75,'Movimentações'!$C$2:$C$501,"Adicional"))</x:f>
      </x:c>
      <x:c r="K75" s="94" t="str">
        <x:f>IF($A75="","",SUMIFS('Movimentações'!$E$2:$E$501,'Movimentações'!$A$2:$A$501,'Parâmetros'!$B$4,'Movimentações'!$B$2:$B$501,$A75,'Movimentações'!$C$2:$C$501,"Crédito Extra"))</x:f>
      </x:c>
      <x:c r="L75" s="94" t="str">
        <x:f>IF($A75="","",SUMIFS('Movimentações'!$E$2:$E$501,'Movimentações'!$A$2:$A$501,'Parâmetros'!$B$4,'Movimentações'!$B$2:$B$501,$A75,'Movimentações'!$C$2:$C$501,"Desconto Extra"))</x:f>
      </x:c>
      <x:c r="M75" s="96" t="str">
        <x:f>IF($A75="","",D75/IF(Cadastro!J75=0,'Parâmetros'!$B$12,Cadastro!J75))</x:f>
      </x:c>
      <x:c r="N75" s="96" t="str">
        <x:f>IF($A75="","",(D75/'Parâmetros'!$B$7)*E75)</x:f>
      </x:c>
      <x:c r="O75" s="96" t="str">
        <x:f>IF($A75="","",IF(E75&gt;0,D75/'Parâmetros'!$B$7,0))</x:f>
      </x:c>
      <x:c r="P75" s="96" t="str">
        <x:f>IF($A75="","",(M75*'Parâmetros'!$B$10)*F75)</x:f>
      </x:c>
      <x:c r="Q75" s="96" t="str">
        <x:f>IF($A75="","",(M75*'Parâmetros'!$B$11)*G75)</x:f>
      </x:c>
      <x:c r="R75" s="96" t="str">
        <x:f>IF($A75="","",((P75+Q75)/'Parâmetros'!$B$5)*'Parâmetros'!$B$6)</x:f>
      </x:c>
      <x:c r="S75" s="96" t="str">
        <x:f>IF($A75="","",(H75/'Parâmetros'!$B$5)*'Parâmetros'!$B$6)</x:f>
      </x:c>
      <x:c r="T75" s="96" t="str">
        <x:f>IF($A75="","",D75-N75-O75+H75+I75+J75+K75+P75+Q75+R75+S75)</x:f>
      </x:c>
      <x:c r="U75" s="96" t="str">
        <x:f>IF($A75="","",MIN(D75*'Parâmetros'!$B$9,Cadastro!L75))</x:f>
      </x:c>
      <x:c r="V75" s="96" t="str">
        <x:f>IF($A75="","",IF(T75&lt;='Parâmetros'!$C$16,T75*'Parâmetros'!$D$16,IF(T75&lt;='Parâmetros'!$C$17,T75*'Parâmetros'!$D$17-'Parâmetros'!$E$17,IF(T75&lt;='Parâmetros'!$C$18,T75*'Parâmetros'!$D$18-'Parâmetros'!$E$18,IF(T75&lt;='Parâmetros'!$C$19,T75*'Parâmetros'!$D$19-'Parâmetros'!$E$19,'Parâmetros'!$C$19*'Parâmetros'!$D$19-'Parâmetros'!$E$19)))))</x:f>
      </x:c>
      <x:c r="W75" s="96" t="str">
        <x:f>IF($A75="","",MAX(0,((T75-V75-(Cadastro!K75*'Parâmetros'!$H$6))*'Parâmetros'!$H$4)-'Parâmetros'!$H$5))</x:f>
      </x:c>
      <x:c r="X75" s="96" t="str">
        <x:f>IF($A75="","",Cadastro!M75)</x:f>
      </x:c>
      <x:c r="Y75" s="96" t="str">
        <x:f>IF($A75="","",Cadastro!N75)</x:f>
      </x:c>
      <x:c r="Z75" s="96" t="str">
        <x:f>IF($A75="","",Cadastro!O75)</x:f>
      </x:c>
      <x:c r="AA75" s="96" t="str">
        <x:f>IF($A75="","",N75+O75+U75+V75+W75+X75+Y75+Z75+L75)</x:f>
      </x:c>
      <x:c r="AB75" s="96" t="str">
        <x:f>IF($A75="","",T75-(U75+V75+W75+X75+Y75+Z75+L75))</x:f>
      </x:c>
      <x:c r="AC75" s="88" t="str">
        <x:f>IF($A75="","",SUMIFS('Importação Contabilidade'!$T$7:$T$500,'Importação Contabilidade'!$A$7:$A$500,'Parâmetros'!$B$4,'Importação Contabilidade'!$B$7:$B$500,$A75))</x:f>
      </x:c>
      <x:c r="AD75" s="88" t="str">
        <x:f>IF($A75="","",SUMIFS('Importação Contabilidade'!$U$7:$U$500,'Importação Contabilidade'!$A$7:$A$500,'Parâmetros'!$B$4,'Importação Contabilidade'!$B$7:$B$500,$A75))</x:f>
      </x:c>
      <x:c r="AE75" s="88" t="str">
        <x:f>IF($A75="","",SUMIFS('Importação Contabilidade'!$V$7:$V$500,'Importação Contabilidade'!$A$7:$A$500,'Parâmetros'!$B$4,'Importação Contabilidade'!$B$7:$B$500,$A75))</x:f>
      </x:c>
      <x:c r="AF75" s="97" t="str">
        <x:f>IF($A75="","",T75-AC75)</x:f>
      </x:c>
      <x:c r="AG75" s="97" t="str">
        <x:f>IF($A75="","",AA75-AD75)</x:f>
      </x:c>
      <x:c r="AH75" s="97" t="str">
        <x:f>IF($A75="","",AB75-AE75)</x:f>
      </x:c>
      <x:c r="AI75" s="98" t="str">
        <x:f>IF($A75="","",IF(COUNTIFS('Importação Contabilidade'!$A$7:$A$500,'Parâmetros'!$B$4,'Importação Contabilidade'!$B$7:$B$500,$A75)=0,"PENDENTE IMPORTAÇÃO",IF(AND(ABS(AF75)&lt;='Parâmetros'!$B$8,ABS(AG75)&lt;='Parâmetros'!$B$8,ABS(AH75)&lt;='Parâmetros'!$B$8),"OK","REVISAR")))</x:f>
      </x:c>
      <x:c r="AJ75" s="98" t="str">
        <x:f>IF($A75="","",IF(AI75="PENDENTE IMPORTAÇÃO","Funcionário/competência não encontrados na Importação Contabilidade",IF(AI75="OK","Sem divergência relevante",IF(ABS(AH75)&gt;=MAX(ABS(AF75),ABS(AG75)),"Revisar salário líquido",IF(ABS(AF75)&gt;=ABS(AG75),"Revisar bruto/proventos","Revisar descontos")))))</x:f>
      </x:c>
    </x:row>
    <x:row r="76">
      <x:c r="A76" s="93" t="str">
        <x:f>IF(Cadastro!A76="","",Cadastro!A76)</x:f>
      </x:c>
      <x:c r="B76" s="93" t="str">
        <x:f>IF(Cadastro!B76="","",Cadastro!B76)</x:f>
      </x:c>
      <x:c r="C76" s="93" t="str">
        <x:f>IF(Cadastro!F76="","",Cadastro!F76)</x:f>
      </x:c>
      <x:c r="D76" s="94" t="str">
        <x:f>IF(Cadastro!I76="","",Cadastro!I76)</x:f>
      </x:c>
      <x:c r="E76" s="95" t="str">
        <x:f>IF($A76="","",SUMIFS('Movimentações'!$D$2:$D$501,'Movimentações'!$A$2:$A$501,'Parâmetros'!$B$4,'Movimentações'!$B$2:$B$501,$A76,'Movimentações'!$C$2:$C$501,"Falta (dias)"))</x:f>
      </x:c>
      <x:c r="F76" s="95" t="str">
        <x:f>IF($A76="","",SUMIFS('Movimentações'!$D$2:$D$501,'Movimentações'!$A$2:$A$501,'Parâmetros'!$B$4,'Movimentações'!$B$2:$B$501,$A76,'Movimentações'!$C$2:$C$501,"HE 50% (horas)"))</x:f>
      </x:c>
      <x:c r="G76" s="95" t="str">
        <x:f>IF($A76="","",SUMIFS('Movimentações'!$D$2:$D$501,'Movimentações'!$A$2:$A$501,'Parâmetros'!$B$4,'Movimentações'!$B$2:$B$501,$A76,'Movimentações'!$C$2:$C$501,"HE 100% (horas)"))</x:f>
      </x:c>
      <x:c r="H76" s="94" t="str">
        <x:f>IF($A76="","",SUMIFS('Movimentações'!$E$2:$E$501,'Movimentações'!$A$2:$A$501,'Parâmetros'!$B$4,'Movimentações'!$B$2:$B$501,$A76,'Movimentações'!$C$2:$C$501,"Comissão"))</x:f>
      </x:c>
      <x:c r="I76" s="94" t="str">
        <x:f>IF($A76="","",SUMIFS('Movimentações'!$E$2:$E$501,'Movimentações'!$A$2:$A$501,'Parâmetros'!$B$4,'Movimentações'!$B$2:$B$501,$A76,'Movimentações'!$C$2:$C$501,"Bônus/Gratificação"))</x:f>
      </x:c>
      <x:c r="J76" s="94" t="str">
        <x:f>IF($A76="","",SUMIFS('Movimentações'!$E$2:$E$501,'Movimentações'!$A$2:$A$501,'Parâmetros'!$B$4,'Movimentações'!$B$2:$B$501,$A76,'Movimentações'!$C$2:$C$501,"Adicional"))</x:f>
      </x:c>
      <x:c r="K76" s="94" t="str">
        <x:f>IF($A76="","",SUMIFS('Movimentações'!$E$2:$E$501,'Movimentações'!$A$2:$A$501,'Parâmetros'!$B$4,'Movimentações'!$B$2:$B$501,$A76,'Movimentações'!$C$2:$C$501,"Crédito Extra"))</x:f>
      </x:c>
      <x:c r="L76" s="94" t="str">
        <x:f>IF($A76="","",SUMIFS('Movimentações'!$E$2:$E$501,'Movimentações'!$A$2:$A$501,'Parâmetros'!$B$4,'Movimentações'!$B$2:$B$501,$A76,'Movimentações'!$C$2:$C$501,"Desconto Extra"))</x:f>
      </x:c>
      <x:c r="M76" s="96" t="str">
        <x:f>IF($A76="","",D76/IF(Cadastro!J76=0,'Parâmetros'!$B$12,Cadastro!J76))</x:f>
      </x:c>
      <x:c r="N76" s="96" t="str">
        <x:f>IF($A76="","",(D76/'Parâmetros'!$B$7)*E76)</x:f>
      </x:c>
      <x:c r="O76" s="96" t="str">
        <x:f>IF($A76="","",IF(E76&gt;0,D76/'Parâmetros'!$B$7,0))</x:f>
      </x:c>
      <x:c r="P76" s="96" t="str">
        <x:f>IF($A76="","",(M76*'Parâmetros'!$B$10)*F76)</x:f>
      </x:c>
      <x:c r="Q76" s="96" t="str">
        <x:f>IF($A76="","",(M76*'Parâmetros'!$B$11)*G76)</x:f>
      </x:c>
      <x:c r="R76" s="96" t="str">
        <x:f>IF($A76="","",((P76+Q76)/'Parâmetros'!$B$5)*'Parâmetros'!$B$6)</x:f>
      </x:c>
      <x:c r="S76" s="96" t="str">
        <x:f>IF($A76="","",(H76/'Parâmetros'!$B$5)*'Parâmetros'!$B$6)</x:f>
      </x:c>
      <x:c r="T76" s="96" t="str">
        <x:f>IF($A76="","",D76-N76-O76+H76+I76+J76+K76+P76+Q76+R76+S76)</x:f>
      </x:c>
      <x:c r="U76" s="96" t="str">
        <x:f>IF($A76="","",MIN(D76*'Parâmetros'!$B$9,Cadastro!L76))</x:f>
      </x:c>
      <x:c r="V76" s="96" t="str">
        <x:f>IF($A76="","",IF(T76&lt;='Parâmetros'!$C$16,T76*'Parâmetros'!$D$16,IF(T76&lt;='Parâmetros'!$C$17,T76*'Parâmetros'!$D$17-'Parâmetros'!$E$17,IF(T76&lt;='Parâmetros'!$C$18,T76*'Parâmetros'!$D$18-'Parâmetros'!$E$18,IF(T76&lt;='Parâmetros'!$C$19,T76*'Parâmetros'!$D$19-'Parâmetros'!$E$19,'Parâmetros'!$C$19*'Parâmetros'!$D$19-'Parâmetros'!$E$19)))))</x:f>
      </x:c>
      <x:c r="W76" s="96" t="str">
        <x:f>IF($A76="","",MAX(0,((T76-V76-(Cadastro!K76*'Parâmetros'!$H$6))*'Parâmetros'!$H$4)-'Parâmetros'!$H$5))</x:f>
      </x:c>
      <x:c r="X76" s="96" t="str">
        <x:f>IF($A76="","",Cadastro!M76)</x:f>
      </x:c>
      <x:c r="Y76" s="96" t="str">
        <x:f>IF($A76="","",Cadastro!N76)</x:f>
      </x:c>
      <x:c r="Z76" s="96" t="str">
        <x:f>IF($A76="","",Cadastro!O76)</x:f>
      </x:c>
      <x:c r="AA76" s="96" t="str">
        <x:f>IF($A76="","",N76+O76+U76+V76+W76+X76+Y76+Z76+L76)</x:f>
      </x:c>
      <x:c r="AB76" s="96" t="str">
        <x:f>IF($A76="","",T76-(U76+V76+W76+X76+Y76+Z76+L76))</x:f>
      </x:c>
      <x:c r="AC76" s="88" t="str">
        <x:f>IF($A76="","",SUMIFS('Importação Contabilidade'!$T$7:$T$500,'Importação Contabilidade'!$A$7:$A$500,'Parâmetros'!$B$4,'Importação Contabilidade'!$B$7:$B$500,$A76))</x:f>
      </x:c>
      <x:c r="AD76" s="88" t="str">
        <x:f>IF($A76="","",SUMIFS('Importação Contabilidade'!$U$7:$U$500,'Importação Contabilidade'!$A$7:$A$500,'Parâmetros'!$B$4,'Importação Contabilidade'!$B$7:$B$500,$A76))</x:f>
      </x:c>
      <x:c r="AE76" s="88" t="str">
        <x:f>IF($A76="","",SUMIFS('Importação Contabilidade'!$V$7:$V$500,'Importação Contabilidade'!$A$7:$A$500,'Parâmetros'!$B$4,'Importação Contabilidade'!$B$7:$B$500,$A76))</x:f>
      </x:c>
      <x:c r="AF76" s="97" t="str">
        <x:f>IF($A76="","",T76-AC76)</x:f>
      </x:c>
      <x:c r="AG76" s="97" t="str">
        <x:f>IF($A76="","",AA76-AD76)</x:f>
      </x:c>
      <x:c r="AH76" s="97" t="str">
        <x:f>IF($A76="","",AB76-AE76)</x:f>
      </x:c>
      <x:c r="AI76" s="98" t="str">
        <x:f>IF($A76="","",IF(COUNTIFS('Importação Contabilidade'!$A$7:$A$500,'Parâmetros'!$B$4,'Importação Contabilidade'!$B$7:$B$500,$A76)=0,"PENDENTE IMPORTAÇÃO",IF(AND(ABS(AF76)&lt;='Parâmetros'!$B$8,ABS(AG76)&lt;='Parâmetros'!$B$8,ABS(AH76)&lt;='Parâmetros'!$B$8),"OK","REVISAR")))</x:f>
      </x:c>
      <x:c r="AJ76" s="98" t="str">
        <x:f>IF($A76="","",IF(AI76="PENDENTE IMPORTAÇÃO","Funcionário/competência não encontrados na Importação Contabilidade",IF(AI76="OK","Sem divergência relevante",IF(ABS(AH76)&gt;=MAX(ABS(AF76),ABS(AG76)),"Revisar salário líquido",IF(ABS(AF76)&gt;=ABS(AG76),"Revisar bruto/proventos","Revisar descontos")))))</x:f>
      </x:c>
    </x:row>
    <x:row r="77">
      <x:c r="A77" s="93" t="str">
        <x:f>IF(Cadastro!A77="","",Cadastro!A77)</x:f>
      </x:c>
      <x:c r="B77" s="93" t="str">
        <x:f>IF(Cadastro!B77="","",Cadastro!B77)</x:f>
      </x:c>
      <x:c r="C77" s="93" t="str">
        <x:f>IF(Cadastro!F77="","",Cadastro!F77)</x:f>
      </x:c>
      <x:c r="D77" s="94" t="str">
        <x:f>IF(Cadastro!I77="","",Cadastro!I77)</x:f>
      </x:c>
      <x:c r="E77" s="95" t="str">
        <x:f>IF($A77="","",SUMIFS('Movimentações'!$D$2:$D$501,'Movimentações'!$A$2:$A$501,'Parâmetros'!$B$4,'Movimentações'!$B$2:$B$501,$A77,'Movimentações'!$C$2:$C$501,"Falta (dias)"))</x:f>
      </x:c>
      <x:c r="F77" s="95" t="str">
        <x:f>IF($A77="","",SUMIFS('Movimentações'!$D$2:$D$501,'Movimentações'!$A$2:$A$501,'Parâmetros'!$B$4,'Movimentações'!$B$2:$B$501,$A77,'Movimentações'!$C$2:$C$501,"HE 50% (horas)"))</x:f>
      </x:c>
      <x:c r="G77" s="95" t="str">
        <x:f>IF($A77="","",SUMIFS('Movimentações'!$D$2:$D$501,'Movimentações'!$A$2:$A$501,'Parâmetros'!$B$4,'Movimentações'!$B$2:$B$501,$A77,'Movimentações'!$C$2:$C$501,"HE 100% (horas)"))</x:f>
      </x:c>
      <x:c r="H77" s="94" t="str">
        <x:f>IF($A77="","",SUMIFS('Movimentações'!$E$2:$E$501,'Movimentações'!$A$2:$A$501,'Parâmetros'!$B$4,'Movimentações'!$B$2:$B$501,$A77,'Movimentações'!$C$2:$C$501,"Comissão"))</x:f>
      </x:c>
      <x:c r="I77" s="94" t="str">
        <x:f>IF($A77="","",SUMIFS('Movimentações'!$E$2:$E$501,'Movimentações'!$A$2:$A$501,'Parâmetros'!$B$4,'Movimentações'!$B$2:$B$501,$A77,'Movimentações'!$C$2:$C$501,"Bônus/Gratificação"))</x:f>
      </x:c>
      <x:c r="J77" s="94" t="str">
        <x:f>IF($A77="","",SUMIFS('Movimentações'!$E$2:$E$501,'Movimentações'!$A$2:$A$501,'Parâmetros'!$B$4,'Movimentações'!$B$2:$B$501,$A77,'Movimentações'!$C$2:$C$501,"Adicional"))</x:f>
      </x:c>
      <x:c r="K77" s="94" t="str">
        <x:f>IF($A77="","",SUMIFS('Movimentações'!$E$2:$E$501,'Movimentações'!$A$2:$A$501,'Parâmetros'!$B$4,'Movimentações'!$B$2:$B$501,$A77,'Movimentações'!$C$2:$C$501,"Crédito Extra"))</x:f>
      </x:c>
      <x:c r="L77" s="94" t="str">
        <x:f>IF($A77="","",SUMIFS('Movimentações'!$E$2:$E$501,'Movimentações'!$A$2:$A$501,'Parâmetros'!$B$4,'Movimentações'!$B$2:$B$501,$A77,'Movimentações'!$C$2:$C$501,"Desconto Extra"))</x:f>
      </x:c>
      <x:c r="M77" s="96" t="str">
        <x:f>IF($A77="","",D77/IF(Cadastro!J77=0,'Parâmetros'!$B$12,Cadastro!J77))</x:f>
      </x:c>
      <x:c r="N77" s="96" t="str">
        <x:f>IF($A77="","",(D77/'Parâmetros'!$B$7)*E77)</x:f>
      </x:c>
      <x:c r="O77" s="96" t="str">
        <x:f>IF($A77="","",IF(E77&gt;0,D77/'Parâmetros'!$B$7,0))</x:f>
      </x:c>
      <x:c r="P77" s="96" t="str">
        <x:f>IF($A77="","",(M77*'Parâmetros'!$B$10)*F77)</x:f>
      </x:c>
      <x:c r="Q77" s="96" t="str">
        <x:f>IF($A77="","",(M77*'Parâmetros'!$B$11)*G77)</x:f>
      </x:c>
      <x:c r="R77" s="96" t="str">
        <x:f>IF($A77="","",((P77+Q77)/'Parâmetros'!$B$5)*'Parâmetros'!$B$6)</x:f>
      </x:c>
      <x:c r="S77" s="96" t="str">
        <x:f>IF($A77="","",(H77/'Parâmetros'!$B$5)*'Parâmetros'!$B$6)</x:f>
      </x:c>
      <x:c r="T77" s="96" t="str">
        <x:f>IF($A77="","",D77-N77-O77+H77+I77+J77+K77+P77+Q77+R77+S77)</x:f>
      </x:c>
      <x:c r="U77" s="96" t="str">
        <x:f>IF($A77="","",MIN(D77*'Parâmetros'!$B$9,Cadastro!L77))</x:f>
      </x:c>
      <x:c r="V77" s="96" t="str">
        <x:f>IF($A77="","",IF(T77&lt;='Parâmetros'!$C$16,T77*'Parâmetros'!$D$16,IF(T77&lt;='Parâmetros'!$C$17,T77*'Parâmetros'!$D$17-'Parâmetros'!$E$17,IF(T77&lt;='Parâmetros'!$C$18,T77*'Parâmetros'!$D$18-'Parâmetros'!$E$18,IF(T77&lt;='Parâmetros'!$C$19,T77*'Parâmetros'!$D$19-'Parâmetros'!$E$19,'Parâmetros'!$C$19*'Parâmetros'!$D$19-'Parâmetros'!$E$19)))))</x:f>
      </x:c>
      <x:c r="W77" s="96" t="str">
        <x:f>IF($A77="","",MAX(0,((T77-V77-(Cadastro!K77*'Parâmetros'!$H$6))*'Parâmetros'!$H$4)-'Parâmetros'!$H$5))</x:f>
      </x:c>
      <x:c r="X77" s="96" t="str">
        <x:f>IF($A77="","",Cadastro!M77)</x:f>
      </x:c>
      <x:c r="Y77" s="96" t="str">
        <x:f>IF($A77="","",Cadastro!N77)</x:f>
      </x:c>
      <x:c r="Z77" s="96" t="str">
        <x:f>IF($A77="","",Cadastro!O77)</x:f>
      </x:c>
      <x:c r="AA77" s="96" t="str">
        <x:f>IF($A77="","",N77+O77+U77+V77+W77+X77+Y77+Z77+L77)</x:f>
      </x:c>
      <x:c r="AB77" s="96" t="str">
        <x:f>IF($A77="","",T77-(U77+V77+W77+X77+Y77+Z77+L77))</x:f>
      </x:c>
      <x:c r="AC77" s="88" t="str">
        <x:f>IF($A77="","",SUMIFS('Importação Contabilidade'!$T$7:$T$500,'Importação Contabilidade'!$A$7:$A$500,'Parâmetros'!$B$4,'Importação Contabilidade'!$B$7:$B$500,$A77))</x:f>
      </x:c>
      <x:c r="AD77" s="88" t="str">
        <x:f>IF($A77="","",SUMIFS('Importação Contabilidade'!$U$7:$U$500,'Importação Contabilidade'!$A$7:$A$500,'Parâmetros'!$B$4,'Importação Contabilidade'!$B$7:$B$500,$A77))</x:f>
      </x:c>
      <x:c r="AE77" s="88" t="str">
        <x:f>IF($A77="","",SUMIFS('Importação Contabilidade'!$V$7:$V$500,'Importação Contabilidade'!$A$7:$A$500,'Parâmetros'!$B$4,'Importação Contabilidade'!$B$7:$B$500,$A77))</x:f>
      </x:c>
      <x:c r="AF77" s="97" t="str">
        <x:f>IF($A77="","",T77-AC77)</x:f>
      </x:c>
      <x:c r="AG77" s="97" t="str">
        <x:f>IF($A77="","",AA77-AD77)</x:f>
      </x:c>
      <x:c r="AH77" s="97" t="str">
        <x:f>IF($A77="","",AB77-AE77)</x:f>
      </x:c>
      <x:c r="AI77" s="98" t="str">
        <x:f>IF($A77="","",IF(COUNTIFS('Importação Contabilidade'!$A$7:$A$500,'Parâmetros'!$B$4,'Importação Contabilidade'!$B$7:$B$500,$A77)=0,"PENDENTE IMPORTAÇÃO",IF(AND(ABS(AF77)&lt;='Parâmetros'!$B$8,ABS(AG77)&lt;='Parâmetros'!$B$8,ABS(AH77)&lt;='Parâmetros'!$B$8),"OK","REVISAR")))</x:f>
      </x:c>
      <x:c r="AJ77" s="98" t="str">
        <x:f>IF($A77="","",IF(AI77="PENDENTE IMPORTAÇÃO","Funcionário/competência não encontrados na Importação Contabilidade",IF(AI77="OK","Sem divergência relevante",IF(ABS(AH77)&gt;=MAX(ABS(AF77),ABS(AG77)),"Revisar salário líquido",IF(ABS(AF77)&gt;=ABS(AG77),"Revisar bruto/proventos","Revisar descontos")))))</x:f>
      </x:c>
    </x:row>
    <x:row r="78">
      <x:c r="A78" s="93" t="str">
        <x:f>IF(Cadastro!A78="","",Cadastro!A78)</x:f>
      </x:c>
      <x:c r="B78" s="93" t="str">
        <x:f>IF(Cadastro!B78="","",Cadastro!B78)</x:f>
      </x:c>
      <x:c r="C78" s="93" t="str">
        <x:f>IF(Cadastro!F78="","",Cadastro!F78)</x:f>
      </x:c>
      <x:c r="D78" s="94" t="str">
        <x:f>IF(Cadastro!I78="","",Cadastro!I78)</x:f>
      </x:c>
      <x:c r="E78" s="95" t="str">
        <x:f>IF($A78="","",SUMIFS('Movimentações'!$D$2:$D$501,'Movimentações'!$A$2:$A$501,'Parâmetros'!$B$4,'Movimentações'!$B$2:$B$501,$A78,'Movimentações'!$C$2:$C$501,"Falta (dias)"))</x:f>
      </x:c>
      <x:c r="F78" s="95" t="str">
        <x:f>IF($A78="","",SUMIFS('Movimentações'!$D$2:$D$501,'Movimentações'!$A$2:$A$501,'Parâmetros'!$B$4,'Movimentações'!$B$2:$B$501,$A78,'Movimentações'!$C$2:$C$501,"HE 50% (horas)"))</x:f>
      </x:c>
      <x:c r="G78" s="95" t="str">
        <x:f>IF($A78="","",SUMIFS('Movimentações'!$D$2:$D$501,'Movimentações'!$A$2:$A$501,'Parâmetros'!$B$4,'Movimentações'!$B$2:$B$501,$A78,'Movimentações'!$C$2:$C$501,"HE 100% (horas)"))</x:f>
      </x:c>
      <x:c r="H78" s="94" t="str">
        <x:f>IF($A78="","",SUMIFS('Movimentações'!$E$2:$E$501,'Movimentações'!$A$2:$A$501,'Parâmetros'!$B$4,'Movimentações'!$B$2:$B$501,$A78,'Movimentações'!$C$2:$C$501,"Comissão"))</x:f>
      </x:c>
      <x:c r="I78" s="94" t="str">
        <x:f>IF($A78="","",SUMIFS('Movimentações'!$E$2:$E$501,'Movimentações'!$A$2:$A$501,'Parâmetros'!$B$4,'Movimentações'!$B$2:$B$501,$A78,'Movimentações'!$C$2:$C$501,"Bônus/Gratificação"))</x:f>
      </x:c>
      <x:c r="J78" s="94" t="str">
        <x:f>IF($A78="","",SUMIFS('Movimentações'!$E$2:$E$501,'Movimentações'!$A$2:$A$501,'Parâmetros'!$B$4,'Movimentações'!$B$2:$B$501,$A78,'Movimentações'!$C$2:$C$501,"Adicional"))</x:f>
      </x:c>
      <x:c r="K78" s="94" t="str">
        <x:f>IF($A78="","",SUMIFS('Movimentações'!$E$2:$E$501,'Movimentações'!$A$2:$A$501,'Parâmetros'!$B$4,'Movimentações'!$B$2:$B$501,$A78,'Movimentações'!$C$2:$C$501,"Crédito Extra"))</x:f>
      </x:c>
      <x:c r="L78" s="94" t="str">
        <x:f>IF($A78="","",SUMIFS('Movimentações'!$E$2:$E$501,'Movimentações'!$A$2:$A$501,'Parâmetros'!$B$4,'Movimentações'!$B$2:$B$501,$A78,'Movimentações'!$C$2:$C$501,"Desconto Extra"))</x:f>
      </x:c>
      <x:c r="M78" s="96" t="str">
        <x:f>IF($A78="","",D78/IF(Cadastro!J78=0,'Parâmetros'!$B$12,Cadastro!J78))</x:f>
      </x:c>
      <x:c r="N78" s="96" t="str">
        <x:f>IF($A78="","",(D78/'Parâmetros'!$B$7)*E78)</x:f>
      </x:c>
      <x:c r="O78" s="96" t="str">
        <x:f>IF($A78="","",IF(E78&gt;0,D78/'Parâmetros'!$B$7,0))</x:f>
      </x:c>
      <x:c r="P78" s="96" t="str">
        <x:f>IF($A78="","",(M78*'Parâmetros'!$B$10)*F78)</x:f>
      </x:c>
      <x:c r="Q78" s="96" t="str">
        <x:f>IF($A78="","",(M78*'Parâmetros'!$B$11)*G78)</x:f>
      </x:c>
      <x:c r="R78" s="96" t="str">
        <x:f>IF($A78="","",((P78+Q78)/'Parâmetros'!$B$5)*'Parâmetros'!$B$6)</x:f>
      </x:c>
      <x:c r="S78" s="96" t="str">
        <x:f>IF($A78="","",(H78/'Parâmetros'!$B$5)*'Parâmetros'!$B$6)</x:f>
      </x:c>
      <x:c r="T78" s="96" t="str">
        <x:f>IF($A78="","",D78-N78-O78+H78+I78+J78+K78+P78+Q78+R78+S78)</x:f>
      </x:c>
      <x:c r="U78" s="96" t="str">
        <x:f>IF($A78="","",MIN(D78*'Parâmetros'!$B$9,Cadastro!L78))</x:f>
      </x:c>
      <x:c r="V78" s="96" t="str">
        <x:f>IF($A78="","",IF(T78&lt;='Parâmetros'!$C$16,T78*'Parâmetros'!$D$16,IF(T78&lt;='Parâmetros'!$C$17,T78*'Parâmetros'!$D$17-'Parâmetros'!$E$17,IF(T78&lt;='Parâmetros'!$C$18,T78*'Parâmetros'!$D$18-'Parâmetros'!$E$18,IF(T78&lt;='Parâmetros'!$C$19,T78*'Parâmetros'!$D$19-'Parâmetros'!$E$19,'Parâmetros'!$C$19*'Parâmetros'!$D$19-'Parâmetros'!$E$19)))))</x:f>
      </x:c>
      <x:c r="W78" s="96" t="str">
        <x:f>IF($A78="","",MAX(0,((T78-V78-(Cadastro!K78*'Parâmetros'!$H$6))*'Parâmetros'!$H$4)-'Parâmetros'!$H$5))</x:f>
      </x:c>
      <x:c r="X78" s="96" t="str">
        <x:f>IF($A78="","",Cadastro!M78)</x:f>
      </x:c>
      <x:c r="Y78" s="96" t="str">
        <x:f>IF($A78="","",Cadastro!N78)</x:f>
      </x:c>
      <x:c r="Z78" s="96" t="str">
        <x:f>IF($A78="","",Cadastro!O78)</x:f>
      </x:c>
      <x:c r="AA78" s="96" t="str">
        <x:f>IF($A78="","",N78+O78+U78+V78+W78+X78+Y78+Z78+L78)</x:f>
      </x:c>
      <x:c r="AB78" s="96" t="str">
        <x:f>IF($A78="","",T78-(U78+V78+W78+X78+Y78+Z78+L78))</x:f>
      </x:c>
      <x:c r="AC78" s="88" t="str">
        <x:f>IF($A78="","",SUMIFS('Importação Contabilidade'!$T$7:$T$500,'Importação Contabilidade'!$A$7:$A$500,'Parâmetros'!$B$4,'Importação Contabilidade'!$B$7:$B$500,$A78))</x:f>
      </x:c>
      <x:c r="AD78" s="88" t="str">
        <x:f>IF($A78="","",SUMIFS('Importação Contabilidade'!$U$7:$U$500,'Importação Contabilidade'!$A$7:$A$500,'Parâmetros'!$B$4,'Importação Contabilidade'!$B$7:$B$500,$A78))</x:f>
      </x:c>
      <x:c r="AE78" s="88" t="str">
        <x:f>IF($A78="","",SUMIFS('Importação Contabilidade'!$V$7:$V$500,'Importação Contabilidade'!$A$7:$A$500,'Parâmetros'!$B$4,'Importação Contabilidade'!$B$7:$B$500,$A78))</x:f>
      </x:c>
      <x:c r="AF78" s="97" t="str">
        <x:f>IF($A78="","",T78-AC78)</x:f>
      </x:c>
      <x:c r="AG78" s="97" t="str">
        <x:f>IF($A78="","",AA78-AD78)</x:f>
      </x:c>
      <x:c r="AH78" s="97" t="str">
        <x:f>IF($A78="","",AB78-AE78)</x:f>
      </x:c>
      <x:c r="AI78" s="98" t="str">
        <x:f>IF($A78="","",IF(COUNTIFS('Importação Contabilidade'!$A$7:$A$500,'Parâmetros'!$B$4,'Importação Contabilidade'!$B$7:$B$500,$A78)=0,"PENDENTE IMPORTAÇÃO",IF(AND(ABS(AF78)&lt;='Parâmetros'!$B$8,ABS(AG78)&lt;='Parâmetros'!$B$8,ABS(AH78)&lt;='Parâmetros'!$B$8),"OK","REVISAR")))</x:f>
      </x:c>
      <x:c r="AJ78" s="98" t="str">
        <x:f>IF($A78="","",IF(AI78="PENDENTE IMPORTAÇÃO","Funcionário/competência não encontrados na Importação Contabilidade",IF(AI78="OK","Sem divergência relevante",IF(ABS(AH78)&gt;=MAX(ABS(AF78),ABS(AG78)),"Revisar salário líquido",IF(ABS(AF78)&gt;=ABS(AG78),"Revisar bruto/proventos","Revisar descontos")))))</x:f>
      </x:c>
    </x:row>
    <x:row r="79">
      <x:c r="A79" s="93" t="str">
        <x:f>IF(Cadastro!A79="","",Cadastro!A79)</x:f>
      </x:c>
      <x:c r="B79" s="93" t="str">
        <x:f>IF(Cadastro!B79="","",Cadastro!B79)</x:f>
      </x:c>
      <x:c r="C79" s="93" t="str">
        <x:f>IF(Cadastro!F79="","",Cadastro!F79)</x:f>
      </x:c>
      <x:c r="D79" s="94" t="str">
        <x:f>IF(Cadastro!I79="","",Cadastro!I79)</x:f>
      </x:c>
      <x:c r="E79" s="95" t="str">
        <x:f>IF($A79="","",SUMIFS('Movimentações'!$D$2:$D$501,'Movimentações'!$A$2:$A$501,'Parâmetros'!$B$4,'Movimentações'!$B$2:$B$501,$A79,'Movimentações'!$C$2:$C$501,"Falta (dias)"))</x:f>
      </x:c>
      <x:c r="F79" s="95" t="str">
        <x:f>IF($A79="","",SUMIFS('Movimentações'!$D$2:$D$501,'Movimentações'!$A$2:$A$501,'Parâmetros'!$B$4,'Movimentações'!$B$2:$B$501,$A79,'Movimentações'!$C$2:$C$501,"HE 50% (horas)"))</x:f>
      </x:c>
      <x:c r="G79" s="95" t="str">
        <x:f>IF($A79="","",SUMIFS('Movimentações'!$D$2:$D$501,'Movimentações'!$A$2:$A$501,'Parâmetros'!$B$4,'Movimentações'!$B$2:$B$501,$A79,'Movimentações'!$C$2:$C$501,"HE 100% (horas)"))</x:f>
      </x:c>
      <x:c r="H79" s="94" t="str">
        <x:f>IF($A79="","",SUMIFS('Movimentações'!$E$2:$E$501,'Movimentações'!$A$2:$A$501,'Parâmetros'!$B$4,'Movimentações'!$B$2:$B$501,$A79,'Movimentações'!$C$2:$C$501,"Comissão"))</x:f>
      </x:c>
      <x:c r="I79" s="94" t="str">
        <x:f>IF($A79="","",SUMIFS('Movimentações'!$E$2:$E$501,'Movimentações'!$A$2:$A$501,'Parâmetros'!$B$4,'Movimentações'!$B$2:$B$501,$A79,'Movimentações'!$C$2:$C$501,"Bônus/Gratificação"))</x:f>
      </x:c>
      <x:c r="J79" s="94" t="str">
        <x:f>IF($A79="","",SUMIFS('Movimentações'!$E$2:$E$501,'Movimentações'!$A$2:$A$501,'Parâmetros'!$B$4,'Movimentações'!$B$2:$B$501,$A79,'Movimentações'!$C$2:$C$501,"Adicional"))</x:f>
      </x:c>
      <x:c r="K79" s="94" t="str">
        <x:f>IF($A79="","",SUMIFS('Movimentações'!$E$2:$E$501,'Movimentações'!$A$2:$A$501,'Parâmetros'!$B$4,'Movimentações'!$B$2:$B$501,$A79,'Movimentações'!$C$2:$C$501,"Crédito Extra"))</x:f>
      </x:c>
      <x:c r="L79" s="94" t="str">
        <x:f>IF($A79="","",SUMIFS('Movimentações'!$E$2:$E$501,'Movimentações'!$A$2:$A$501,'Parâmetros'!$B$4,'Movimentações'!$B$2:$B$501,$A79,'Movimentações'!$C$2:$C$501,"Desconto Extra"))</x:f>
      </x:c>
      <x:c r="M79" s="96" t="str">
        <x:f>IF($A79="","",D79/IF(Cadastro!J79=0,'Parâmetros'!$B$12,Cadastro!J79))</x:f>
      </x:c>
      <x:c r="N79" s="96" t="str">
        <x:f>IF($A79="","",(D79/'Parâmetros'!$B$7)*E79)</x:f>
      </x:c>
      <x:c r="O79" s="96" t="str">
        <x:f>IF($A79="","",IF(E79&gt;0,D79/'Parâmetros'!$B$7,0))</x:f>
      </x:c>
      <x:c r="P79" s="96" t="str">
        <x:f>IF($A79="","",(M79*'Parâmetros'!$B$10)*F79)</x:f>
      </x:c>
      <x:c r="Q79" s="96" t="str">
        <x:f>IF($A79="","",(M79*'Parâmetros'!$B$11)*G79)</x:f>
      </x:c>
      <x:c r="R79" s="96" t="str">
        <x:f>IF($A79="","",((P79+Q79)/'Parâmetros'!$B$5)*'Parâmetros'!$B$6)</x:f>
      </x:c>
      <x:c r="S79" s="96" t="str">
        <x:f>IF($A79="","",(H79/'Parâmetros'!$B$5)*'Parâmetros'!$B$6)</x:f>
      </x:c>
      <x:c r="T79" s="96" t="str">
        <x:f>IF($A79="","",D79-N79-O79+H79+I79+J79+K79+P79+Q79+R79+S79)</x:f>
      </x:c>
      <x:c r="U79" s="96" t="str">
        <x:f>IF($A79="","",MIN(D79*'Parâmetros'!$B$9,Cadastro!L79))</x:f>
      </x:c>
      <x:c r="V79" s="96" t="str">
        <x:f>IF($A79="","",IF(T79&lt;='Parâmetros'!$C$16,T79*'Parâmetros'!$D$16,IF(T79&lt;='Parâmetros'!$C$17,T79*'Parâmetros'!$D$17-'Parâmetros'!$E$17,IF(T79&lt;='Parâmetros'!$C$18,T79*'Parâmetros'!$D$18-'Parâmetros'!$E$18,IF(T79&lt;='Parâmetros'!$C$19,T79*'Parâmetros'!$D$19-'Parâmetros'!$E$19,'Parâmetros'!$C$19*'Parâmetros'!$D$19-'Parâmetros'!$E$19)))))</x:f>
      </x:c>
      <x:c r="W79" s="96" t="str">
        <x:f>IF($A79="","",MAX(0,((T79-V79-(Cadastro!K79*'Parâmetros'!$H$6))*'Parâmetros'!$H$4)-'Parâmetros'!$H$5))</x:f>
      </x:c>
      <x:c r="X79" s="96" t="str">
        <x:f>IF($A79="","",Cadastro!M79)</x:f>
      </x:c>
      <x:c r="Y79" s="96" t="str">
        <x:f>IF($A79="","",Cadastro!N79)</x:f>
      </x:c>
      <x:c r="Z79" s="96" t="str">
        <x:f>IF($A79="","",Cadastro!O79)</x:f>
      </x:c>
      <x:c r="AA79" s="96" t="str">
        <x:f>IF($A79="","",N79+O79+U79+V79+W79+X79+Y79+Z79+L79)</x:f>
      </x:c>
      <x:c r="AB79" s="96" t="str">
        <x:f>IF($A79="","",T79-(U79+V79+W79+X79+Y79+Z79+L79))</x:f>
      </x:c>
      <x:c r="AC79" s="88" t="str">
        <x:f>IF($A79="","",SUMIFS('Importação Contabilidade'!$T$7:$T$500,'Importação Contabilidade'!$A$7:$A$500,'Parâmetros'!$B$4,'Importação Contabilidade'!$B$7:$B$500,$A79))</x:f>
      </x:c>
      <x:c r="AD79" s="88" t="str">
        <x:f>IF($A79="","",SUMIFS('Importação Contabilidade'!$U$7:$U$500,'Importação Contabilidade'!$A$7:$A$500,'Parâmetros'!$B$4,'Importação Contabilidade'!$B$7:$B$500,$A79))</x:f>
      </x:c>
      <x:c r="AE79" s="88" t="str">
        <x:f>IF($A79="","",SUMIFS('Importação Contabilidade'!$V$7:$V$500,'Importação Contabilidade'!$A$7:$A$500,'Parâmetros'!$B$4,'Importação Contabilidade'!$B$7:$B$500,$A79))</x:f>
      </x:c>
      <x:c r="AF79" s="97" t="str">
        <x:f>IF($A79="","",T79-AC79)</x:f>
      </x:c>
      <x:c r="AG79" s="97" t="str">
        <x:f>IF($A79="","",AA79-AD79)</x:f>
      </x:c>
      <x:c r="AH79" s="97" t="str">
        <x:f>IF($A79="","",AB79-AE79)</x:f>
      </x:c>
      <x:c r="AI79" s="98" t="str">
        <x:f>IF($A79="","",IF(COUNTIFS('Importação Contabilidade'!$A$7:$A$500,'Parâmetros'!$B$4,'Importação Contabilidade'!$B$7:$B$500,$A79)=0,"PENDENTE IMPORTAÇÃO",IF(AND(ABS(AF79)&lt;='Parâmetros'!$B$8,ABS(AG79)&lt;='Parâmetros'!$B$8,ABS(AH79)&lt;='Parâmetros'!$B$8),"OK","REVISAR")))</x:f>
      </x:c>
      <x:c r="AJ79" s="98" t="str">
        <x:f>IF($A79="","",IF(AI79="PENDENTE IMPORTAÇÃO","Funcionário/competência não encontrados na Importação Contabilidade",IF(AI79="OK","Sem divergência relevante",IF(ABS(AH79)&gt;=MAX(ABS(AF79),ABS(AG79)),"Revisar salário líquido",IF(ABS(AF79)&gt;=ABS(AG79),"Revisar bruto/proventos","Revisar descontos")))))</x:f>
      </x:c>
    </x:row>
    <x:row r="80">
      <x:c r="A80" s="93" t="str">
        <x:f>IF(Cadastro!A80="","",Cadastro!A80)</x:f>
      </x:c>
      <x:c r="B80" s="93" t="str">
        <x:f>IF(Cadastro!B80="","",Cadastro!B80)</x:f>
      </x:c>
      <x:c r="C80" s="93" t="str">
        <x:f>IF(Cadastro!F80="","",Cadastro!F80)</x:f>
      </x:c>
      <x:c r="D80" s="94" t="str">
        <x:f>IF(Cadastro!I80="","",Cadastro!I80)</x:f>
      </x:c>
      <x:c r="E80" s="95" t="str">
        <x:f>IF($A80="","",SUMIFS('Movimentações'!$D$2:$D$501,'Movimentações'!$A$2:$A$501,'Parâmetros'!$B$4,'Movimentações'!$B$2:$B$501,$A80,'Movimentações'!$C$2:$C$501,"Falta (dias)"))</x:f>
      </x:c>
      <x:c r="F80" s="95" t="str">
        <x:f>IF($A80="","",SUMIFS('Movimentações'!$D$2:$D$501,'Movimentações'!$A$2:$A$501,'Parâmetros'!$B$4,'Movimentações'!$B$2:$B$501,$A80,'Movimentações'!$C$2:$C$501,"HE 50% (horas)"))</x:f>
      </x:c>
      <x:c r="G80" s="95" t="str">
        <x:f>IF($A80="","",SUMIFS('Movimentações'!$D$2:$D$501,'Movimentações'!$A$2:$A$501,'Parâmetros'!$B$4,'Movimentações'!$B$2:$B$501,$A80,'Movimentações'!$C$2:$C$501,"HE 100% (horas)"))</x:f>
      </x:c>
      <x:c r="H80" s="94" t="str">
        <x:f>IF($A80="","",SUMIFS('Movimentações'!$E$2:$E$501,'Movimentações'!$A$2:$A$501,'Parâmetros'!$B$4,'Movimentações'!$B$2:$B$501,$A80,'Movimentações'!$C$2:$C$501,"Comissão"))</x:f>
      </x:c>
      <x:c r="I80" s="94" t="str">
        <x:f>IF($A80="","",SUMIFS('Movimentações'!$E$2:$E$501,'Movimentações'!$A$2:$A$501,'Parâmetros'!$B$4,'Movimentações'!$B$2:$B$501,$A80,'Movimentações'!$C$2:$C$501,"Bônus/Gratificação"))</x:f>
      </x:c>
      <x:c r="J80" s="94" t="str">
        <x:f>IF($A80="","",SUMIFS('Movimentações'!$E$2:$E$501,'Movimentações'!$A$2:$A$501,'Parâmetros'!$B$4,'Movimentações'!$B$2:$B$501,$A80,'Movimentações'!$C$2:$C$501,"Adicional"))</x:f>
      </x:c>
      <x:c r="K80" s="94" t="str">
        <x:f>IF($A80="","",SUMIFS('Movimentações'!$E$2:$E$501,'Movimentações'!$A$2:$A$501,'Parâmetros'!$B$4,'Movimentações'!$B$2:$B$501,$A80,'Movimentações'!$C$2:$C$501,"Crédito Extra"))</x:f>
      </x:c>
      <x:c r="L80" s="94" t="str">
        <x:f>IF($A80="","",SUMIFS('Movimentações'!$E$2:$E$501,'Movimentações'!$A$2:$A$501,'Parâmetros'!$B$4,'Movimentações'!$B$2:$B$501,$A80,'Movimentações'!$C$2:$C$501,"Desconto Extra"))</x:f>
      </x:c>
      <x:c r="M80" s="96" t="str">
        <x:f>IF($A80="","",D80/IF(Cadastro!J80=0,'Parâmetros'!$B$12,Cadastro!J80))</x:f>
      </x:c>
      <x:c r="N80" s="96" t="str">
        <x:f>IF($A80="","",(D80/'Parâmetros'!$B$7)*E80)</x:f>
      </x:c>
      <x:c r="O80" s="96" t="str">
        <x:f>IF($A80="","",IF(E80&gt;0,D80/'Parâmetros'!$B$7,0))</x:f>
      </x:c>
      <x:c r="P80" s="96" t="str">
        <x:f>IF($A80="","",(M80*'Parâmetros'!$B$10)*F80)</x:f>
      </x:c>
      <x:c r="Q80" s="96" t="str">
        <x:f>IF($A80="","",(M80*'Parâmetros'!$B$11)*G80)</x:f>
      </x:c>
      <x:c r="R80" s="96" t="str">
        <x:f>IF($A80="","",((P80+Q80)/'Parâmetros'!$B$5)*'Parâmetros'!$B$6)</x:f>
      </x:c>
      <x:c r="S80" s="96" t="str">
        <x:f>IF($A80="","",(H80/'Parâmetros'!$B$5)*'Parâmetros'!$B$6)</x:f>
      </x:c>
      <x:c r="T80" s="96" t="str">
        <x:f>IF($A80="","",D80-N80-O80+H80+I80+J80+K80+P80+Q80+R80+S80)</x:f>
      </x:c>
      <x:c r="U80" s="96" t="str">
        <x:f>IF($A80="","",MIN(D80*'Parâmetros'!$B$9,Cadastro!L80))</x:f>
      </x:c>
      <x:c r="V80" s="96" t="str">
        <x:f>IF($A80="","",IF(T80&lt;='Parâmetros'!$C$16,T80*'Parâmetros'!$D$16,IF(T80&lt;='Parâmetros'!$C$17,T80*'Parâmetros'!$D$17-'Parâmetros'!$E$17,IF(T80&lt;='Parâmetros'!$C$18,T80*'Parâmetros'!$D$18-'Parâmetros'!$E$18,IF(T80&lt;='Parâmetros'!$C$19,T80*'Parâmetros'!$D$19-'Parâmetros'!$E$19,'Parâmetros'!$C$19*'Parâmetros'!$D$19-'Parâmetros'!$E$19)))))</x:f>
      </x:c>
      <x:c r="W80" s="96" t="str">
        <x:f>IF($A80="","",MAX(0,((T80-V80-(Cadastro!K80*'Parâmetros'!$H$6))*'Parâmetros'!$H$4)-'Parâmetros'!$H$5))</x:f>
      </x:c>
      <x:c r="X80" s="96" t="str">
        <x:f>IF($A80="","",Cadastro!M80)</x:f>
      </x:c>
      <x:c r="Y80" s="96" t="str">
        <x:f>IF($A80="","",Cadastro!N80)</x:f>
      </x:c>
      <x:c r="Z80" s="96" t="str">
        <x:f>IF($A80="","",Cadastro!O80)</x:f>
      </x:c>
      <x:c r="AA80" s="96" t="str">
        <x:f>IF($A80="","",N80+O80+U80+V80+W80+X80+Y80+Z80+L80)</x:f>
      </x:c>
      <x:c r="AB80" s="96" t="str">
        <x:f>IF($A80="","",T80-(U80+V80+W80+X80+Y80+Z80+L80))</x:f>
      </x:c>
      <x:c r="AC80" s="88" t="str">
        <x:f>IF($A80="","",SUMIFS('Importação Contabilidade'!$T$7:$T$500,'Importação Contabilidade'!$A$7:$A$500,'Parâmetros'!$B$4,'Importação Contabilidade'!$B$7:$B$500,$A80))</x:f>
      </x:c>
      <x:c r="AD80" s="88" t="str">
        <x:f>IF($A80="","",SUMIFS('Importação Contabilidade'!$U$7:$U$500,'Importação Contabilidade'!$A$7:$A$500,'Parâmetros'!$B$4,'Importação Contabilidade'!$B$7:$B$500,$A80))</x:f>
      </x:c>
      <x:c r="AE80" s="88" t="str">
        <x:f>IF($A80="","",SUMIFS('Importação Contabilidade'!$V$7:$V$500,'Importação Contabilidade'!$A$7:$A$500,'Parâmetros'!$B$4,'Importação Contabilidade'!$B$7:$B$500,$A80))</x:f>
      </x:c>
      <x:c r="AF80" s="97" t="str">
        <x:f>IF($A80="","",T80-AC80)</x:f>
      </x:c>
      <x:c r="AG80" s="97" t="str">
        <x:f>IF($A80="","",AA80-AD80)</x:f>
      </x:c>
      <x:c r="AH80" s="97" t="str">
        <x:f>IF($A80="","",AB80-AE80)</x:f>
      </x:c>
      <x:c r="AI80" s="98" t="str">
        <x:f>IF($A80="","",IF(COUNTIFS('Importação Contabilidade'!$A$7:$A$500,'Parâmetros'!$B$4,'Importação Contabilidade'!$B$7:$B$500,$A80)=0,"PENDENTE IMPORTAÇÃO",IF(AND(ABS(AF80)&lt;='Parâmetros'!$B$8,ABS(AG80)&lt;='Parâmetros'!$B$8,ABS(AH80)&lt;='Parâmetros'!$B$8),"OK","REVISAR")))</x:f>
      </x:c>
      <x:c r="AJ80" s="98" t="str">
        <x:f>IF($A80="","",IF(AI80="PENDENTE IMPORTAÇÃO","Funcionário/competência não encontrados na Importação Contabilidade",IF(AI80="OK","Sem divergência relevante",IF(ABS(AH80)&gt;=MAX(ABS(AF80),ABS(AG80)),"Revisar salário líquido",IF(ABS(AF80)&gt;=ABS(AG80),"Revisar bruto/proventos","Revisar descontos")))))</x:f>
      </x:c>
    </x:row>
    <x:row r="81">
      <x:c r="A81" s="93" t="str">
        <x:f>IF(Cadastro!A81="","",Cadastro!A81)</x:f>
      </x:c>
      <x:c r="B81" s="93" t="str">
        <x:f>IF(Cadastro!B81="","",Cadastro!B81)</x:f>
      </x:c>
      <x:c r="C81" s="93" t="str">
        <x:f>IF(Cadastro!F81="","",Cadastro!F81)</x:f>
      </x:c>
      <x:c r="D81" s="94" t="str">
        <x:f>IF(Cadastro!I81="","",Cadastro!I81)</x:f>
      </x:c>
      <x:c r="E81" s="95" t="str">
        <x:f>IF($A81="","",SUMIFS('Movimentações'!$D$2:$D$501,'Movimentações'!$A$2:$A$501,'Parâmetros'!$B$4,'Movimentações'!$B$2:$B$501,$A81,'Movimentações'!$C$2:$C$501,"Falta (dias)"))</x:f>
      </x:c>
      <x:c r="F81" s="95" t="str">
        <x:f>IF($A81="","",SUMIFS('Movimentações'!$D$2:$D$501,'Movimentações'!$A$2:$A$501,'Parâmetros'!$B$4,'Movimentações'!$B$2:$B$501,$A81,'Movimentações'!$C$2:$C$501,"HE 50% (horas)"))</x:f>
      </x:c>
      <x:c r="G81" s="95" t="str">
        <x:f>IF($A81="","",SUMIFS('Movimentações'!$D$2:$D$501,'Movimentações'!$A$2:$A$501,'Parâmetros'!$B$4,'Movimentações'!$B$2:$B$501,$A81,'Movimentações'!$C$2:$C$501,"HE 100% (horas)"))</x:f>
      </x:c>
      <x:c r="H81" s="94" t="str">
        <x:f>IF($A81="","",SUMIFS('Movimentações'!$E$2:$E$501,'Movimentações'!$A$2:$A$501,'Parâmetros'!$B$4,'Movimentações'!$B$2:$B$501,$A81,'Movimentações'!$C$2:$C$501,"Comissão"))</x:f>
      </x:c>
      <x:c r="I81" s="94" t="str">
        <x:f>IF($A81="","",SUMIFS('Movimentações'!$E$2:$E$501,'Movimentações'!$A$2:$A$501,'Parâmetros'!$B$4,'Movimentações'!$B$2:$B$501,$A81,'Movimentações'!$C$2:$C$501,"Bônus/Gratificação"))</x:f>
      </x:c>
      <x:c r="J81" s="94" t="str">
        <x:f>IF($A81="","",SUMIFS('Movimentações'!$E$2:$E$501,'Movimentações'!$A$2:$A$501,'Parâmetros'!$B$4,'Movimentações'!$B$2:$B$501,$A81,'Movimentações'!$C$2:$C$501,"Adicional"))</x:f>
      </x:c>
      <x:c r="K81" s="94" t="str">
        <x:f>IF($A81="","",SUMIFS('Movimentações'!$E$2:$E$501,'Movimentações'!$A$2:$A$501,'Parâmetros'!$B$4,'Movimentações'!$B$2:$B$501,$A81,'Movimentações'!$C$2:$C$501,"Crédito Extra"))</x:f>
      </x:c>
      <x:c r="L81" s="94" t="str">
        <x:f>IF($A81="","",SUMIFS('Movimentações'!$E$2:$E$501,'Movimentações'!$A$2:$A$501,'Parâmetros'!$B$4,'Movimentações'!$B$2:$B$501,$A81,'Movimentações'!$C$2:$C$501,"Desconto Extra"))</x:f>
      </x:c>
      <x:c r="M81" s="96" t="str">
        <x:f>IF($A81="","",D81/IF(Cadastro!J81=0,'Parâmetros'!$B$12,Cadastro!J81))</x:f>
      </x:c>
      <x:c r="N81" s="96" t="str">
        <x:f>IF($A81="","",(D81/'Parâmetros'!$B$7)*E81)</x:f>
      </x:c>
      <x:c r="O81" s="96" t="str">
        <x:f>IF($A81="","",IF(E81&gt;0,D81/'Parâmetros'!$B$7,0))</x:f>
      </x:c>
      <x:c r="P81" s="96" t="str">
        <x:f>IF($A81="","",(M81*'Parâmetros'!$B$10)*F81)</x:f>
      </x:c>
      <x:c r="Q81" s="96" t="str">
        <x:f>IF($A81="","",(M81*'Parâmetros'!$B$11)*G81)</x:f>
      </x:c>
      <x:c r="R81" s="96" t="str">
        <x:f>IF($A81="","",((P81+Q81)/'Parâmetros'!$B$5)*'Parâmetros'!$B$6)</x:f>
      </x:c>
      <x:c r="S81" s="96" t="str">
        <x:f>IF($A81="","",(H81/'Parâmetros'!$B$5)*'Parâmetros'!$B$6)</x:f>
      </x:c>
      <x:c r="T81" s="96" t="str">
        <x:f>IF($A81="","",D81-N81-O81+H81+I81+J81+K81+P81+Q81+R81+S81)</x:f>
      </x:c>
      <x:c r="U81" s="96" t="str">
        <x:f>IF($A81="","",MIN(D81*'Parâmetros'!$B$9,Cadastro!L81))</x:f>
      </x:c>
      <x:c r="V81" s="96" t="str">
        <x:f>IF($A81="","",IF(T81&lt;='Parâmetros'!$C$16,T81*'Parâmetros'!$D$16,IF(T81&lt;='Parâmetros'!$C$17,T81*'Parâmetros'!$D$17-'Parâmetros'!$E$17,IF(T81&lt;='Parâmetros'!$C$18,T81*'Parâmetros'!$D$18-'Parâmetros'!$E$18,IF(T81&lt;='Parâmetros'!$C$19,T81*'Parâmetros'!$D$19-'Parâmetros'!$E$19,'Parâmetros'!$C$19*'Parâmetros'!$D$19-'Parâmetros'!$E$19)))))</x:f>
      </x:c>
      <x:c r="W81" s="96" t="str">
        <x:f>IF($A81="","",MAX(0,((T81-V81-(Cadastro!K81*'Parâmetros'!$H$6))*'Parâmetros'!$H$4)-'Parâmetros'!$H$5))</x:f>
      </x:c>
      <x:c r="X81" s="96" t="str">
        <x:f>IF($A81="","",Cadastro!M81)</x:f>
      </x:c>
      <x:c r="Y81" s="96" t="str">
        <x:f>IF($A81="","",Cadastro!N81)</x:f>
      </x:c>
      <x:c r="Z81" s="96" t="str">
        <x:f>IF($A81="","",Cadastro!O81)</x:f>
      </x:c>
      <x:c r="AA81" s="96" t="str">
        <x:f>IF($A81="","",N81+O81+U81+V81+W81+X81+Y81+Z81+L81)</x:f>
      </x:c>
      <x:c r="AB81" s="96" t="str">
        <x:f>IF($A81="","",T81-(U81+V81+W81+X81+Y81+Z81+L81))</x:f>
      </x:c>
      <x:c r="AC81" s="88" t="str">
        <x:f>IF($A81="","",SUMIFS('Importação Contabilidade'!$T$7:$T$500,'Importação Contabilidade'!$A$7:$A$500,'Parâmetros'!$B$4,'Importação Contabilidade'!$B$7:$B$500,$A81))</x:f>
      </x:c>
      <x:c r="AD81" s="88" t="str">
        <x:f>IF($A81="","",SUMIFS('Importação Contabilidade'!$U$7:$U$500,'Importação Contabilidade'!$A$7:$A$500,'Parâmetros'!$B$4,'Importação Contabilidade'!$B$7:$B$500,$A81))</x:f>
      </x:c>
      <x:c r="AE81" s="88" t="str">
        <x:f>IF($A81="","",SUMIFS('Importação Contabilidade'!$V$7:$V$500,'Importação Contabilidade'!$A$7:$A$500,'Parâmetros'!$B$4,'Importação Contabilidade'!$B$7:$B$500,$A81))</x:f>
      </x:c>
      <x:c r="AF81" s="97" t="str">
        <x:f>IF($A81="","",T81-AC81)</x:f>
      </x:c>
      <x:c r="AG81" s="97" t="str">
        <x:f>IF($A81="","",AA81-AD81)</x:f>
      </x:c>
      <x:c r="AH81" s="97" t="str">
        <x:f>IF($A81="","",AB81-AE81)</x:f>
      </x:c>
      <x:c r="AI81" s="98" t="str">
        <x:f>IF($A81="","",IF(COUNTIFS('Importação Contabilidade'!$A$7:$A$500,'Parâmetros'!$B$4,'Importação Contabilidade'!$B$7:$B$500,$A81)=0,"PENDENTE IMPORTAÇÃO",IF(AND(ABS(AF81)&lt;='Parâmetros'!$B$8,ABS(AG81)&lt;='Parâmetros'!$B$8,ABS(AH81)&lt;='Parâmetros'!$B$8),"OK","REVISAR")))</x:f>
      </x:c>
      <x:c r="AJ81" s="98" t="str">
        <x:f>IF($A81="","",IF(AI81="PENDENTE IMPORTAÇÃO","Funcionário/competência não encontrados na Importação Contabilidade",IF(AI81="OK","Sem divergência relevante",IF(ABS(AH81)&gt;=MAX(ABS(AF81),ABS(AG81)),"Revisar salário líquido",IF(ABS(AF81)&gt;=ABS(AG81),"Revisar bruto/proventos","Revisar descontos")))))</x:f>
      </x:c>
    </x:row>
    <x:row r="82">
      <x:c r="A82" s="93" t="str">
        <x:f>IF(Cadastro!A82="","",Cadastro!A82)</x:f>
      </x:c>
      <x:c r="B82" s="93" t="str">
        <x:f>IF(Cadastro!B82="","",Cadastro!B82)</x:f>
      </x:c>
      <x:c r="C82" s="93" t="str">
        <x:f>IF(Cadastro!F82="","",Cadastro!F82)</x:f>
      </x:c>
      <x:c r="D82" s="94" t="str">
        <x:f>IF(Cadastro!I82="","",Cadastro!I82)</x:f>
      </x:c>
      <x:c r="E82" s="95" t="str">
        <x:f>IF($A82="","",SUMIFS('Movimentações'!$D$2:$D$501,'Movimentações'!$A$2:$A$501,'Parâmetros'!$B$4,'Movimentações'!$B$2:$B$501,$A82,'Movimentações'!$C$2:$C$501,"Falta (dias)"))</x:f>
      </x:c>
      <x:c r="F82" s="95" t="str">
        <x:f>IF($A82="","",SUMIFS('Movimentações'!$D$2:$D$501,'Movimentações'!$A$2:$A$501,'Parâmetros'!$B$4,'Movimentações'!$B$2:$B$501,$A82,'Movimentações'!$C$2:$C$501,"HE 50% (horas)"))</x:f>
      </x:c>
      <x:c r="G82" s="95" t="str">
        <x:f>IF($A82="","",SUMIFS('Movimentações'!$D$2:$D$501,'Movimentações'!$A$2:$A$501,'Parâmetros'!$B$4,'Movimentações'!$B$2:$B$501,$A82,'Movimentações'!$C$2:$C$501,"HE 100% (horas)"))</x:f>
      </x:c>
      <x:c r="H82" s="94" t="str">
        <x:f>IF($A82="","",SUMIFS('Movimentações'!$E$2:$E$501,'Movimentações'!$A$2:$A$501,'Parâmetros'!$B$4,'Movimentações'!$B$2:$B$501,$A82,'Movimentações'!$C$2:$C$501,"Comissão"))</x:f>
      </x:c>
      <x:c r="I82" s="94" t="str">
        <x:f>IF($A82="","",SUMIFS('Movimentações'!$E$2:$E$501,'Movimentações'!$A$2:$A$501,'Parâmetros'!$B$4,'Movimentações'!$B$2:$B$501,$A82,'Movimentações'!$C$2:$C$501,"Bônus/Gratificação"))</x:f>
      </x:c>
      <x:c r="J82" s="94" t="str">
        <x:f>IF($A82="","",SUMIFS('Movimentações'!$E$2:$E$501,'Movimentações'!$A$2:$A$501,'Parâmetros'!$B$4,'Movimentações'!$B$2:$B$501,$A82,'Movimentações'!$C$2:$C$501,"Adicional"))</x:f>
      </x:c>
      <x:c r="K82" s="94" t="str">
        <x:f>IF($A82="","",SUMIFS('Movimentações'!$E$2:$E$501,'Movimentações'!$A$2:$A$501,'Parâmetros'!$B$4,'Movimentações'!$B$2:$B$501,$A82,'Movimentações'!$C$2:$C$501,"Crédito Extra"))</x:f>
      </x:c>
      <x:c r="L82" s="94" t="str">
        <x:f>IF($A82="","",SUMIFS('Movimentações'!$E$2:$E$501,'Movimentações'!$A$2:$A$501,'Parâmetros'!$B$4,'Movimentações'!$B$2:$B$501,$A82,'Movimentações'!$C$2:$C$501,"Desconto Extra"))</x:f>
      </x:c>
      <x:c r="M82" s="96" t="str">
        <x:f>IF($A82="","",D82/IF(Cadastro!J82=0,'Parâmetros'!$B$12,Cadastro!J82))</x:f>
      </x:c>
      <x:c r="N82" s="96" t="str">
        <x:f>IF($A82="","",(D82/'Parâmetros'!$B$7)*E82)</x:f>
      </x:c>
      <x:c r="O82" s="96" t="str">
        <x:f>IF($A82="","",IF(E82&gt;0,D82/'Parâmetros'!$B$7,0))</x:f>
      </x:c>
      <x:c r="P82" s="96" t="str">
        <x:f>IF($A82="","",(M82*'Parâmetros'!$B$10)*F82)</x:f>
      </x:c>
      <x:c r="Q82" s="96" t="str">
        <x:f>IF($A82="","",(M82*'Parâmetros'!$B$11)*G82)</x:f>
      </x:c>
      <x:c r="R82" s="96" t="str">
        <x:f>IF($A82="","",((P82+Q82)/'Parâmetros'!$B$5)*'Parâmetros'!$B$6)</x:f>
      </x:c>
      <x:c r="S82" s="96" t="str">
        <x:f>IF($A82="","",(H82/'Parâmetros'!$B$5)*'Parâmetros'!$B$6)</x:f>
      </x:c>
      <x:c r="T82" s="96" t="str">
        <x:f>IF($A82="","",D82-N82-O82+H82+I82+J82+K82+P82+Q82+R82+S82)</x:f>
      </x:c>
      <x:c r="U82" s="96" t="str">
        <x:f>IF($A82="","",MIN(D82*'Parâmetros'!$B$9,Cadastro!L82))</x:f>
      </x:c>
      <x:c r="V82" s="96" t="str">
        <x:f>IF($A82="","",IF(T82&lt;='Parâmetros'!$C$16,T82*'Parâmetros'!$D$16,IF(T82&lt;='Parâmetros'!$C$17,T82*'Parâmetros'!$D$17-'Parâmetros'!$E$17,IF(T82&lt;='Parâmetros'!$C$18,T82*'Parâmetros'!$D$18-'Parâmetros'!$E$18,IF(T82&lt;='Parâmetros'!$C$19,T82*'Parâmetros'!$D$19-'Parâmetros'!$E$19,'Parâmetros'!$C$19*'Parâmetros'!$D$19-'Parâmetros'!$E$19)))))</x:f>
      </x:c>
      <x:c r="W82" s="96" t="str">
        <x:f>IF($A82="","",MAX(0,((T82-V82-(Cadastro!K82*'Parâmetros'!$H$6))*'Parâmetros'!$H$4)-'Parâmetros'!$H$5))</x:f>
      </x:c>
      <x:c r="X82" s="96" t="str">
        <x:f>IF($A82="","",Cadastro!M82)</x:f>
      </x:c>
      <x:c r="Y82" s="96" t="str">
        <x:f>IF($A82="","",Cadastro!N82)</x:f>
      </x:c>
      <x:c r="Z82" s="96" t="str">
        <x:f>IF($A82="","",Cadastro!O82)</x:f>
      </x:c>
      <x:c r="AA82" s="96" t="str">
        <x:f>IF($A82="","",N82+O82+U82+V82+W82+X82+Y82+Z82+L82)</x:f>
      </x:c>
      <x:c r="AB82" s="96" t="str">
        <x:f>IF($A82="","",T82-(U82+V82+W82+X82+Y82+Z82+L82))</x:f>
      </x:c>
      <x:c r="AC82" s="88" t="str">
        <x:f>IF($A82="","",SUMIFS('Importação Contabilidade'!$T$7:$T$500,'Importação Contabilidade'!$A$7:$A$500,'Parâmetros'!$B$4,'Importação Contabilidade'!$B$7:$B$500,$A82))</x:f>
      </x:c>
      <x:c r="AD82" s="88" t="str">
        <x:f>IF($A82="","",SUMIFS('Importação Contabilidade'!$U$7:$U$500,'Importação Contabilidade'!$A$7:$A$500,'Parâmetros'!$B$4,'Importação Contabilidade'!$B$7:$B$500,$A82))</x:f>
      </x:c>
      <x:c r="AE82" s="88" t="str">
        <x:f>IF($A82="","",SUMIFS('Importação Contabilidade'!$V$7:$V$500,'Importação Contabilidade'!$A$7:$A$500,'Parâmetros'!$B$4,'Importação Contabilidade'!$B$7:$B$500,$A82))</x:f>
      </x:c>
      <x:c r="AF82" s="97" t="str">
        <x:f>IF($A82="","",T82-AC82)</x:f>
      </x:c>
      <x:c r="AG82" s="97" t="str">
        <x:f>IF($A82="","",AA82-AD82)</x:f>
      </x:c>
      <x:c r="AH82" s="97" t="str">
        <x:f>IF($A82="","",AB82-AE82)</x:f>
      </x:c>
      <x:c r="AI82" s="98" t="str">
        <x:f>IF($A82="","",IF(COUNTIFS('Importação Contabilidade'!$A$7:$A$500,'Parâmetros'!$B$4,'Importação Contabilidade'!$B$7:$B$500,$A82)=0,"PENDENTE IMPORTAÇÃO",IF(AND(ABS(AF82)&lt;='Parâmetros'!$B$8,ABS(AG82)&lt;='Parâmetros'!$B$8,ABS(AH82)&lt;='Parâmetros'!$B$8),"OK","REVISAR")))</x:f>
      </x:c>
      <x:c r="AJ82" s="98" t="str">
        <x:f>IF($A82="","",IF(AI82="PENDENTE IMPORTAÇÃO","Funcionário/competência não encontrados na Importação Contabilidade",IF(AI82="OK","Sem divergência relevante",IF(ABS(AH82)&gt;=MAX(ABS(AF82),ABS(AG82)),"Revisar salário líquido",IF(ABS(AF82)&gt;=ABS(AG82),"Revisar bruto/proventos","Revisar descontos")))))</x:f>
      </x:c>
    </x:row>
    <x:row r="83">
      <x:c r="A83" s="93" t="str">
        <x:f>IF(Cadastro!A83="","",Cadastro!A83)</x:f>
      </x:c>
      <x:c r="B83" s="93" t="str">
        <x:f>IF(Cadastro!B83="","",Cadastro!B83)</x:f>
      </x:c>
      <x:c r="C83" s="93" t="str">
        <x:f>IF(Cadastro!F83="","",Cadastro!F83)</x:f>
      </x:c>
      <x:c r="D83" s="94" t="str">
        <x:f>IF(Cadastro!I83="","",Cadastro!I83)</x:f>
      </x:c>
      <x:c r="E83" s="95" t="str">
        <x:f>IF($A83="","",SUMIFS('Movimentações'!$D$2:$D$501,'Movimentações'!$A$2:$A$501,'Parâmetros'!$B$4,'Movimentações'!$B$2:$B$501,$A83,'Movimentações'!$C$2:$C$501,"Falta (dias)"))</x:f>
      </x:c>
      <x:c r="F83" s="95" t="str">
        <x:f>IF($A83="","",SUMIFS('Movimentações'!$D$2:$D$501,'Movimentações'!$A$2:$A$501,'Parâmetros'!$B$4,'Movimentações'!$B$2:$B$501,$A83,'Movimentações'!$C$2:$C$501,"HE 50% (horas)"))</x:f>
      </x:c>
      <x:c r="G83" s="95" t="str">
        <x:f>IF($A83="","",SUMIFS('Movimentações'!$D$2:$D$501,'Movimentações'!$A$2:$A$501,'Parâmetros'!$B$4,'Movimentações'!$B$2:$B$501,$A83,'Movimentações'!$C$2:$C$501,"HE 100% (horas)"))</x:f>
      </x:c>
      <x:c r="H83" s="94" t="str">
        <x:f>IF($A83="","",SUMIFS('Movimentações'!$E$2:$E$501,'Movimentações'!$A$2:$A$501,'Parâmetros'!$B$4,'Movimentações'!$B$2:$B$501,$A83,'Movimentações'!$C$2:$C$501,"Comissão"))</x:f>
      </x:c>
      <x:c r="I83" s="94" t="str">
        <x:f>IF($A83="","",SUMIFS('Movimentações'!$E$2:$E$501,'Movimentações'!$A$2:$A$501,'Parâmetros'!$B$4,'Movimentações'!$B$2:$B$501,$A83,'Movimentações'!$C$2:$C$501,"Bônus/Gratificação"))</x:f>
      </x:c>
      <x:c r="J83" s="94" t="str">
        <x:f>IF($A83="","",SUMIFS('Movimentações'!$E$2:$E$501,'Movimentações'!$A$2:$A$501,'Parâmetros'!$B$4,'Movimentações'!$B$2:$B$501,$A83,'Movimentações'!$C$2:$C$501,"Adicional"))</x:f>
      </x:c>
      <x:c r="K83" s="94" t="str">
        <x:f>IF($A83="","",SUMIFS('Movimentações'!$E$2:$E$501,'Movimentações'!$A$2:$A$501,'Parâmetros'!$B$4,'Movimentações'!$B$2:$B$501,$A83,'Movimentações'!$C$2:$C$501,"Crédito Extra"))</x:f>
      </x:c>
      <x:c r="L83" s="94" t="str">
        <x:f>IF($A83="","",SUMIFS('Movimentações'!$E$2:$E$501,'Movimentações'!$A$2:$A$501,'Parâmetros'!$B$4,'Movimentações'!$B$2:$B$501,$A83,'Movimentações'!$C$2:$C$501,"Desconto Extra"))</x:f>
      </x:c>
      <x:c r="M83" s="96" t="str">
        <x:f>IF($A83="","",D83/IF(Cadastro!J83=0,'Parâmetros'!$B$12,Cadastro!J83))</x:f>
      </x:c>
      <x:c r="N83" s="96" t="str">
        <x:f>IF($A83="","",(D83/'Parâmetros'!$B$7)*E83)</x:f>
      </x:c>
      <x:c r="O83" s="96" t="str">
        <x:f>IF($A83="","",IF(E83&gt;0,D83/'Parâmetros'!$B$7,0))</x:f>
      </x:c>
      <x:c r="P83" s="96" t="str">
        <x:f>IF($A83="","",(M83*'Parâmetros'!$B$10)*F83)</x:f>
      </x:c>
      <x:c r="Q83" s="96" t="str">
        <x:f>IF($A83="","",(M83*'Parâmetros'!$B$11)*G83)</x:f>
      </x:c>
      <x:c r="R83" s="96" t="str">
        <x:f>IF($A83="","",((P83+Q83)/'Parâmetros'!$B$5)*'Parâmetros'!$B$6)</x:f>
      </x:c>
      <x:c r="S83" s="96" t="str">
        <x:f>IF($A83="","",(H83/'Parâmetros'!$B$5)*'Parâmetros'!$B$6)</x:f>
      </x:c>
      <x:c r="T83" s="96" t="str">
        <x:f>IF($A83="","",D83-N83-O83+H83+I83+J83+K83+P83+Q83+R83+S83)</x:f>
      </x:c>
      <x:c r="U83" s="96" t="str">
        <x:f>IF($A83="","",MIN(D83*'Parâmetros'!$B$9,Cadastro!L83))</x:f>
      </x:c>
      <x:c r="V83" s="96" t="str">
        <x:f>IF($A83="","",IF(T83&lt;='Parâmetros'!$C$16,T83*'Parâmetros'!$D$16,IF(T83&lt;='Parâmetros'!$C$17,T83*'Parâmetros'!$D$17-'Parâmetros'!$E$17,IF(T83&lt;='Parâmetros'!$C$18,T83*'Parâmetros'!$D$18-'Parâmetros'!$E$18,IF(T83&lt;='Parâmetros'!$C$19,T83*'Parâmetros'!$D$19-'Parâmetros'!$E$19,'Parâmetros'!$C$19*'Parâmetros'!$D$19-'Parâmetros'!$E$19)))))</x:f>
      </x:c>
      <x:c r="W83" s="96" t="str">
        <x:f>IF($A83="","",MAX(0,((T83-V83-(Cadastro!K83*'Parâmetros'!$H$6))*'Parâmetros'!$H$4)-'Parâmetros'!$H$5))</x:f>
      </x:c>
      <x:c r="X83" s="96" t="str">
        <x:f>IF($A83="","",Cadastro!M83)</x:f>
      </x:c>
      <x:c r="Y83" s="96" t="str">
        <x:f>IF($A83="","",Cadastro!N83)</x:f>
      </x:c>
      <x:c r="Z83" s="96" t="str">
        <x:f>IF($A83="","",Cadastro!O83)</x:f>
      </x:c>
      <x:c r="AA83" s="96" t="str">
        <x:f>IF($A83="","",N83+O83+U83+V83+W83+X83+Y83+Z83+L83)</x:f>
      </x:c>
      <x:c r="AB83" s="96" t="str">
        <x:f>IF($A83="","",T83-(U83+V83+W83+X83+Y83+Z83+L83))</x:f>
      </x:c>
      <x:c r="AC83" s="88" t="str">
        <x:f>IF($A83="","",SUMIFS('Importação Contabilidade'!$T$7:$T$500,'Importação Contabilidade'!$A$7:$A$500,'Parâmetros'!$B$4,'Importação Contabilidade'!$B$7:$B$500,$A83))</x:f>
      </x:c>
      <x:c r="AD83" s="88" t="str">
        <x:f>IF($A83="","",SUMIFS('Importação Contabilidade'!$U$7:$U$500,'Importação Contabilidade'!$A$7:$A$500,'Parâmetros'!$B$4,'Importação Contabilidade'!$B$7:$B$500,$A83))</x:f>
      </x:c>
      <x:c r="AE83" s="88" t="str">
        <x:f>IF($A83="","",SUMIFS('Importação Contabilidade'!$V$7:$V$500,'Importação Contabilidade'!$A$7:$A$500,'Parâmetros'!$B$4,'Importação Contabilidade'!$B$7:$B$500,$A83))</x:f>
      </x:c>
      <x:c r="AF83" s="97" t="str">
        <x:f>IF($A83="","",T83-AC83)</x:f>
      </x:c>
      <x:c r="AG83" s="97" t="str">
        <x:f>IF($A83="","",AA83-AD83)</x:f>
      </x:c>
      <x:c r="AH83" s="97" t="str">
        <x:f>IF($A83="","",AB83-AE83)</x:f>
      </x:c>
      <x:c r="AI83" s="98" t="str">
        <x:f>IF($A83="","",IF(COUNTIFS('Importação Contabilidade'!$A$7:$A$500,'Parâmetros'!$B$4,'Importação Contabilidade'!$B$7:$B$500,$A83)=0,"PENDENTE IMPORTAÇÃO",IF(AND(ABS(AF83)&lt;='Parâmetros'!$B$8,ABS(AG83)&lt;='Parâmetros'!$B$8,ABS(AH83)&lt;='Parâmetros'!$B$8),"OK","REVISAR")))</x:f>
      </x:c>
      <x:c r="AJ83" s="98" t="str">
        <x:f>IF($A83="","",IF(AI83="PENDENTE IMPORTAÇÃO","Funcionário/competência não encontrados na Importação Contabilidade",IF(AI83="OK","Sem divergência relevante",IF(ABS(AH83)&gt;=MAX(ABS(AF83),ABS(AG83)),"Revisar salário líquido",IF(ABS(AF83)&gt;=ABS(AG83),"Revisar bruto/proventos","Revisar descontos")))))</x:f>
      </x:c>
    </x:row>
    <x:row r="84">
      <x:c r="A84" s="93" t="str">
        <x:f>IF(Cadastro!A84="","",Cadastro!A84)</x:f>
      </x:c>
      <x:c r="B84" s="93" t="str">
        <x:f>IF(Cadastro!B84="","",Cadastro!B84)</x:f>
      </x:c>
      <x:c r="C84" s="93" t="str">
        <x:f>IF(Cadastro!F84="","",Cadastro!F84)</x:f>
      </x:c>
      <x:c r="D84" s="94" t="str">
        <x:f>IF(Cadastro!I84="","",Cadastro!I84)</x:f>
      </x:c>
      <x:c r="E84" s="95" t="str">
        <x:f>IF($A84="","",SUMIFS('Movimentações'!$D$2:$D$501,'Movimentações'!$A$2:$A$501,'Parâmetros'!$B$4,'Movimentações'!$B$2:$B$501,$A84,'Movimentações'!$C$2:$C$501,"Falta (dias)"))</x:f>
      </x:c>
      <x:c r="F84" s="95" t="str">
        <x:f>IF($A84="","",SUMIFS('Movimentações'!$D$2:$D$501,'Movimentações'!$A$2:$A$501,'Parâmetros'!$B$4,'Movimentações'!$B$2:$B$501,$A84,'Movimentações'!$C$2:$C$501,"HE 50% (horas)"))</x:f>
      </x:c>
      <x:c r="G84" s="95" t="str">
        <x:f>IF($A84="","",SUMIFS('Movimentações'!$D$2:$D$501,'Movimentações'!$A$2:$A$501,'Parâmetros'!$B$4,'Movimentações'!$B$2:$B$501,$A84,'Movimentações'!$C$2:$C$501,"HE 100% (horas)"))</x:f>
      </x:c>
      <x:c r="H84" s="94" t="str">
        <x:f>IF($A84="","",SUMIFS('Movimentações'!$E$2:$E$501,'Movimentações'!$A$2:$A$501,'Parâmetros'!$B$4,'Movimentações'!$B$2:$B$501,$A84,'Movimentações'!$C$2:$C$501,"Comissão"))</x:f>
      </x:c>
      <x:c r="I84" s="94" t="str">
        <x:f>IF($A84="","",SUMIFS('Movimentações'!$E$2:$E$501,'Movimentações'!$A$2:$A$501,'Parâmetros'!$B$4,'Movimentações'!$B$2:$B$501,$A84,'Movimentações'!$C$2:$C$501,"Bônus/Gratificação"))</x:f>
      </x:c>
      <x:c r="J84" s="94" t="str">
        <x:f>IF($A84="","",SUMIFS('Movimentações'!$E$2:$E$501,'Movimentações'!$A$2:$A$501,'Parâmetros'!$B$4,'Movimentações'!$B$2:$B$501,$A84,'Movimentações'!$C$2:$C$501,"Adicional"))</x:f>
      </x:c>
      <x:c r="K84" s="94" t="str">
        <x:f>IF($A84="","",SUMIFS('Movimentações'!$E$2:$E$501,'Movimentações'!$A$2:$A$501,'Parâmetros'!$B$4,'Movimentações'!$B$2:$B$501,$A84,'Movimentações'!$C$2:$C$501,"Crédito Extra"))</x:f>
      </x:c>
      <x:c r="L84" s="94" t="str">
        <x:f>IF($A84="","",SUMIFS('Movimentações'!$E$2:$E$501,'Movimentações'!$A$2:$A$501,'Parâmetros'!$B$4,'Movimentações'!$B$2:$B$501,$A84,'Movimentações'!$C$2:$C$501,"Desconto Extra"))</x:f>
      </x:c>
      <x:c r="M84" s="96" t="str">
        <x:f>IF($A84="","",D84/IF(Cadastro!J84=0,'Parâmetros'!$B$12,Cadastro!J84))</x:f>
      </x:c>
      <x:c r="N84" s="96" t="str">
        <x:f>IF($A84="","",(D84/'Parâmetros'!$B$7)*E84)</x:f>
      </x:c>
      <x:c r="O84" s="96" t="str">
        <x:f>IF($A84="","",IF(E84&gt;0,D84/'Parâmetros'!$B$7,0))</x:f>
      </x:c>
      <x:c r="P84" s="96" t="str">
        <x:f>IF($A84="","",(M84*'Parâmetros'!$B$10)*F84)</x:f>
      </x:c>
      <x:c r="Q84" s="96" t="str">
        <x:f>IF($A84="","",(M84*'Parâmetros'!$B$11)*G84)</x:f>
      </x:c>
      <x:c r="R84" s="96" t="str">
        <x:f>IF($A84="","",((P84+Q84)/'Parâmetros'!$B$5)*'Parâmetros'!$B$6)</x:f>
      </x:c>
      <x:c r="S84" s="96" t="str">
        <x:f>IF($A84="","",(H84/'Parâmetros'!$B$5)*'Parâmetros'!$B$6)</x:f>
      </x:c>
      <x:c r="T84" s="96" t="str">
        <x:f>IF($A84="","",D84-N84-O84+H84+I84+J84+K84+P84+Q84+R84+S84)</x:f>
      </x:c>
      <x:c r="U84" s="96" t="str">
        <x:f>IF($A84="","",MIN(D84*'Parâmetros'!$B$9,Cadastro!L84))</x:f>
      </x:c>
      <x:c r="V84" s="96" t="str">
        <x:f>IF($A84="","",IF(T84&lt;='Parâmetros'!$C$16,T84*'Parâmetros'!$D$16,IF(T84&lt;='Parâmetros'!$C$17,T84*'Parâmetros'!$D$17-'Parâmetros'!$E$17,IF(T84&lt;='Parâmetros'!$C$18,T84*'Parâmetros'!$D$18-'Parâmetros'!$E$18,IF(T84&lt;='Parâmetros'!$C$19,T84*'Parâmetros'!$D$19-'Parâmetros'!$E$19,'Parâmetros'!$C$19*'Parâmetros'!$D$19-'Parâmetros'!$E$19)))))</x:f>
      </x:c>
      <x:c r="W84" s="96" t="str">
        <x:f>IF($A84="","",MAX(0,((T84-V84-(Cadastro!K84*'Parâmetros'!$H$6))*'Parâmetros'!$H$4)-'Parâmetros'!$H$5))</x:f>
      </x:c>
      <x:c r="X84" s="96" t="str">
        <x:f>IF($A84="","",Cadastro!M84)</x:f>
      </x:c>
      <x:c r="Y84" s="96" t="str">
        <x:f>IF($A84="","",Cadastro!N84)</x:f>
      </x:c>
      <x:c r="Z84" s="96" t="str">
        <x:f>IF($A84="","",Cadastro!O84)</x:f>
      </x:c>
      <x:c r="AA84" s="96" t="str">
        <x:f>IF($A84="","",N84+O84+U84+V84+W84+X84+Y84+Z84+L84)</x:f>
      </x:c>
      <x:c r="AB84" s="96" t="str">
        <x:f>IF($A84="","",T84-(U84+V84+W84+X84+Y84+Z84+L84))</x:f>
      </x:c>
      <x:c r="AC84" s="88" t="str">
        <x:f>IF($A84="","",SUMIFS('Importação Contabilidade'!$T$7:$T$500,'Importação Contabilidade'!$A$7:$A$500,'Parâmetros'!$B$4,'Importação Contabilidade'!$B$7:$B$500,$A84))</x:f>
      </x:c>
      <x:c r="AD84" s="88" t="str">
        <x:f>IF($A84="","",SUMIFS('Importação Contabilidade'!$U$7:$U$500,'Importação Contabilidade'!$A$7:$A$500,'Parâmetros'!$B$4,'Importação Contabilidade'!$B$7:$B$500,$A84))</x:f>
      </x:c>
      <x:c r="AE84" s="88" t="str">
        <x:f>IF($A84="","",SUMIFS('Importação Contabilidade'!$V$7:$V$500,'Importação Contabilidade'!$A$7:$A$500,'Parâmetros'!$B$4,'Importação Contabilidade'!$B$7:$B$500,$A84))</x:f>
      </x:c>
      <x:c r="AF84" s="97" t="str">
        <x:f>IF($A84="","",T84-AC84)</x:f>
      </x:c>
      <x:c r="AG84" s="97" t="str">
        <x:f>IF($A84="","",AA84-AD84)</x:f>
      </x:c>
      <x:c r="AH84" s="97" t="str">
        <x:f>IF($A84="","",AB84-AE84)</x:f>
      </x:c>
      <x:c r="AI84" s="98" t="str">
        <x:f>IF($A84="","",IF(COUNTIFS('Importação Contabilidade'!$A$7:$A$500,'Parâmetros'!$B$4,'Importação Contabilidade'!$B$7:$B$500,$A84)=0,"PENDENTE IMPORTAÇÃO",IF(AND(ABS(AF84)&lt;='Parâmetros'!$B$8,ABS(AG84)&lt;='Parâmetros'!$B$8,ABS(AH84)&lt;='Parâmetros'!$B$8),"OK","REVISAR")))</x:f>
      </x:c>
      <x:c r="AJ84" s="98" t="str">
        <x:f>IF($A84="","",IF(AI84="PENDENTE IMPORTAÇÃO","Funcionário/competência não encontrados na Importação Contabilidade",IF(AI84="OK","Sem divergência relevante",IF(ABS(AH84)&gt;=MAX(ABS(AF84),ABS(AG84)),"Revisar salário líquido",IF(ABS(AF84)&gt;=ABS(AG84),"Revisar bruto/proventos","Revisar descontos")))))</x:f>
      </x:c>
    </x:row>
    <x:row r="85">
      <x:c r="A85" s="93" t="str">
        <x:f>IF(Cadastro!A85="","",Cadastro!A85)</x:f>
      </x:c>
      <x:c r="B85" s="93" t="str">
        <x:f>IF(Cadastro!B85="","",Cadastro!B85)</x:f>
      </x:c>
      <x:c r="C85" s="93" t="str">
        <x:f>IF(Cadastro!F85="","",Cadastro!F85)</x:f>
      </x:c>
      <x:c r="D85" s="94" t="str">
        <x:f>IF(Cadastro!I85="","",Cadastro!I85)</x:f>
      </x:c>
      <x:c r="E85" s="95" t="str">
        <x:f>IF($A85="","",SUMIFS('Movimentações'!$D$2:$D$501,'Movimentações'!$A$2:$A$501,'Parâmetros'!$B$4,'Movimentações'!$B$2:$B$501,$A85,'Movimentações'!$C$2:$C$501,"Falta (dias)"))</x:f>
      </x:c>
      <x:c r="F85" s="95" t="str">
        <x:f>IF($A85="","",SUMIFS('Movimentações'!$D$2:$D$501,'Movimentações'!$A$2:$A$501,'Parâmetros'!$B$4,'Movimentações'!$B$2:$B$501,$A85,'Movimentações'!$C$2:$C$501,"HE 50% (horas)"))</x:f>
      </x:c>
      <x:c r="G85" s="95" t="str">
        <x:f>IF($A85="","",SUMIFS('Movimentações'!$D$2:$D$501,'Movimentações'!$A$2:$A$501,'Parâmetros'!$B$4,'Movimentações'!$B$2:$B$501,$A85,'Movimentações'!$C$2:$C$501,"HE 100% (horas)"))</x:f>
      </x:c>
      <x:c r="H85" s="94" t="str">
        <x:f>IF($A85="","",SUMIFS('Movimentações'!$E$2:$E$501,'Movimentações'!$A$2:$A$501,'Parâmetros'!$B$4,'Movimentações'!$B$2:$B$501,$A85,'Movimentações'!$C$2:$C$501,"Comissão"))</x:f>
      </x:c>
      <x:c r="I85" s="94" t="str">
        <x:f>IF($A85="","",SUMIFS('Movimentações'!$E$2:$E$501,'Movimentações'!$A$2:$A$501,'Parâmetros'!$B$4,'Movimentações'!$B$2:$B$501,$A85,'Movimentações'!$C$2:$C$501,"Bônus/Gratificação"))</x:f>
      </x:c>
      <x:c r="J85" s="94" t="str">
        <x:f>IF($A85="","",SUMIFS('Movimentações'!$E$2:$E$501,'Movimentações'!$A$2:$A$501,'Parâmetros'!$B$4,'Movimentações'!$B$2:$B$501,$A85,'Movimentações'!$C$2:$C$501,"Adicional"))</x:f>
      </x:c>
      <x:c r="K85" s="94" t="str">
        <x:f>IF($A85="","",SUMIFS('Movimentações'!$E$2:$E$501,'Movimentações'!$A$2:$A$501,'Parâmetros'!$B$4,'Movimentações'!$B$2:$B$501,$A85,'Movimentações'!$C$2:$C$501,"Crédito Extra"))</x:f>
      </x:c>
      <x:c r="L85" s="94" t="str">
        <x:f>IF($A85="","",SUMIFS('Movimentações'!$E$2:$E$501,'Movimentações'!$A$2:$A$501,'Parâmetros'!$B$4,'Movimentações'!$B$2:$B$501,$A85,'Movimentações'!$C$2:$C$501,"Desconto Extra"))</x:f>
      </x:c>
      <x:c r="M85" s="96" t="str">
        <x:f>IF($A85="","",D85/IF(Cadastro!J85=0,'Parâmetros'!$B$12,Cadastro!J85))</x:f>
      </x:c>
      <x:c r="N85" s="96" t="str">
        <x:f>IF($A85="","",(D85/'Parâmetros'!$B$7)*E85)</x:f>
      </x:c>
      <x:c r="O85" s="96" t="str">
        <x:f>IF($A85="","",IF(E85&gt;0,D85/'Parâmetros'!$B$7,0))</x:f>
      </x:c>
      <x:c r="P85" s="96" t="str">
        <x:f>IF($A85="","",(M85*'Parâmetros'!$B$10)*F85)</x:f>
      </x:c>
      <x:c r="Q85" s="96" t="str">
        <x:f>IF($A85="","",(M85*'Parâmetros'!$B$11)*G85)</x:f>
      </x:c>
      <x:c r="R85" s="96" t="str">
        <x:f>IF($A85="","",((P85+Q85)/'Parâmetros'!$B$5)*'Parâmetros'!$B$6)</x:f>
      </x:c>
      <x:c r="S85" s="96" t="str">
        <x:f>IF($A85="","",(H85/'Parâmetros'!$B$5)*'Parâmetros'!$B$6)</x:f>
      </x:c>
      <x:c r="T85" s="96" t="str">
        <x:f>IF($A85="","",D85-N85-O85+H85+I85+J85+K85+P85+Q85+R85+S85)</x:f>
      </x:c>
      <x:c r="U85" s="96" t="str">
        <x:f>IF($A85="","",MIN(D85*'Parâmetros'!$B$9,Cadastro!L85))</x:f>
      </x:c>
      <x:c r="V85" s="96" t="str">
        <x:f>IF($A85="","",IF(T85&lt;='Parâmetros'!$C$16,T85*'Parâmetros'!$D$16,IF(T85&lt;='Parâmetros'!$C$17,T85*'Parâmetros'!$D$17-'Parâmetros'!$E$17,IF(T85&lt;='Parâmetros'!$C$18,T85*'Parâmetros'!$D$18-'Parâmetros'!$E$18,IF(T85&lt;='Parâmetros'!$C$19,T85*'Parâmetros'!$D$19-'Parâmetros'!$E$19,'Parâmetros'!$C$19*'Parâmetros'!$D$19-'Parâmetros'!$E$19)))))</x:f>
      </x:c>
      <x:c r="W85" s="96" t="str">
        <x:f>IF($A85="","",MAX(0,((T85-V85-(Cadastro!K85*'Parâmetros'!$H$6))*'Parâmetros'!$H$4)-'Parâmetros'!$H$5))</x:f>
      </x:c>
      <x:c r="X85" s="96" t="str">
        <x:f>IF($A85="","",Cadastro!M85)</x:f>
      </x:c>
      <x:c r="Y85" s="96" t="str">
        <x:f>IF($A85="","",Cadastro!N85)</x:f>
      </x:c>
      <x:c r="Z85" s="96" t="str">
        <x:f>IF($A85="","",Cadastro!O85)</x:f>
      </x:c>
      <x:c r="AA85" s="96" t="str">
        <x:f>IF($A85="","",N85+O85+U85+V85+W85+X85+Y85+Z85+L85)</x:f>
      </x:c>
      <x:c r="AB85" s="96" t="str">
        <x:f>IF($A85="","",T85-(U85+V85+W85+X85+Y85+Z85+L85))</x:f>
      </x:c>
      <x:c r="AC85" s="88" t="str">
        <x:f>IF($A85="","",SUMIFS('Importação Contabilidade'!$T$7:$T$500,'Importação Contabilidade'!$A$7:$A$500,'Parâmetros'!$B$4,'Importação Contabilidade'!$B$7:$B$500,$A85))</x:f>
      </x:c>
      <x:c r="AD85" s="88" t="str">
        <x:f>IF($A85="","",SUMIFS('Importação Contabilidade'!$U$7:$U$500,'Importação Contabilidade'!$A$7:$A$500,'Parâmetros'!$B$4,'Importação Contabilidade'!$B$7:$B$500,$A85))</x:f>
      </x:c>
      <x:c r="AE85" s="88" t="str">
        <x:f>IF($A85="","",SUMIFS('Importação Contabilidade'!$V$7:$V$500,'Importação Contabilidade'!$A$7:$A$500,'Parâmetros'!$B$4,'Importação Contabilidade'!$B$7:$B$500,$A85))</x:f>
      </x:c>
      <x:c r="AF85" s="97" t="str">
        <x:f>IF($A85="","",T85-AC85)</x:f>
      </x:c>
      <x:c r="AG85" s="97" t="str">
        <x:f>IF($A85="","",AA85-AD85)</x:f>
      </x:c>
      <x:c r="AH85" s="97" t="str">
        <x:f>IF($A85="","",AB85-AE85)</x:f>
      </x:c>
      <x:c r="AI85" s="98" t="str">
        <x:f>IF($A85="","",IF(COUNTIFS('Importação Contabilidade'!$A$7:$A$500,'Parâmetros'!$B$4,'Importação Contabilidade'!$B$7:$B$500,$A85)=0,"PENDENTE IMPORTAÇÃO",IF(AND(ABS(AF85)&lt;='Parâmetros'!$B$8,ABS(AG85)&lt;='Parâmetros'!$B$8,ABS(AH85)&lt;='Parâmetros'!$B$8),"OK","REVISAR")))</x:f>
      </x:c>
      <x:c r="AJ85" s="98" t="str">
        <x:f>IF($A85="","",IF(AI85="PENDENTE IMPORTAÇÃO","Funcionário/competência não encontrados na Importação Contabilidade",IF(AI85="OK","Sem divergência relevante",IF(ABS(AH85)&gt;=MAX(ABS(AF85),ABS(AG85)),"Revisar salário líquido",IF(ABS(AF85)&gt;=ABS(AG85),"Revisar bruto/proventos","Revisar descontos")))))</x:f>
      </x:c>
    </x:row>
    <x:row r="86">
      <x:c r="A86" s="93" t="str">
        <x:f>IF(Cadastro!A86="","",Cadastro!A86)</x:f>
      </x:c>
      <x:c r="B86" s="93" t="str">
        <x:f>IF(Cadastro!B86="","",Cadastro!B86)</x:f>
      </x:c>
      <x:c r="C86" s="93" t="str">
        <x:f>IF(Cadastro!F86="","",Cadastro!F86)</x:f>
      </x:c>
      <x:c r="D86" s="94" t="str">
        <x:f>IF(Cadastro!I86="","",Cadastro!I86)</x:f>
      </x:c>
      <x:c r="E86" s="95" t="str">
        <x:f>IF($A86="","",SUMIFS('Movimentações'!$D$2:$D$501,'Movimentações'!$A$2:$A$501,'Parâmetros'!$B$4,'Movimentações'!$B$2:$B$501,$A86,'Movimentações'!$C$2:$C$501,"Falta (dias)"))</x:f>
      </x:c>
      <x:c r="F86" s="95" t="str">
        <x:f>IF($A86="","",SUMIFS('Movimentações'!$D$2:$D$501,'Movimentações'!$A$2:$A$501,'Parâmetros'!$B$4,'Movimentações'!$B$2:$B$501,$A86,'Movimentações'!$C$2:$C$501,"HE 50% (horas)"))</x:f>
      </x:c>
      <x:c r="G86" s="95" t="str">
        <x:f>IF($A86="","",SUMIFS('Movimentações'!$D$2:$D$501,'Movimentações'!$A$2:$A$501,'Parâmetros'!$B$4,'Movimentações'!$B$2:$B$501,$A86,'Movimentações'!$C$2:$C$501,"HE 100% (horas)"))</x:f>
      </x:c>
      <x:c r="H86" s="94" t="str">
        <x:f>IF($A86="","",SUMIFS('Movimentações'!$E$2:$E$501,'Movimentações'!$A$2:$A$501,'Parâmetros'!$B$4,'Movimentações'!$B$2:$B$501,$A86,'Movimentações'!$C$2:$C$501,"Comissão"))</x:f>
      </x:c>
      <x:c r="I86" s="94" t="str">
        <x:f>IF($A86="","",SUMIFS('Movimentações'!$E$2:$E$501,'Movimentações'!$A$2:$A$501,'Parâmetros'!$B$4,'Movimentações'!$B$2:$B$501,$A86,'Movimentações'!$C$2:$C$501,"Bônus/Gratificação"))</x:f>
      </x:c>
      <x:c r="J86" s="94" t="str">
        <x:f>IF($A86="","",SUMIFS('Movimentações'!$E$2:$E$501,'Movimentações'!$A$2:$A$501,'Parâmetros'!$B$4,'Movimentações'!$B$2:$B$501,$A86,'Movimentações'!$C$2:$C$501,"Adicional"))</x:f>
      </x:c>
      <x:c r="K86" s="94" t="str">
        <x:f>IF($A86="","",SUMIFS('Movimentações'!$E$2:$E$501,'Movimentações'!$A$2:$A$501,'Parâmetros'!$B$4,'Movimentações'!$B$2:$B$501,$A86,'Movimentações'!$C$2:$C$501,"Crédito Extra"))</x:f>
      </x:c>
      <x:c r="L86" s="94" t="str">
        <x:f>IF($A86="","",SUMIFS('Movimentações'!$E$2:$E$501,'Movimentações'!$A$2:$A$501,'Parâmetros'!$B$4,'Movimentações'!$B$2:$B$501,$A86,'Movimentações'!$C$2:$C$501,"Desconto Extra"))</x:f>
      </x:c>
      <x:c r="M86" s="96" t="str">
        <x:f>IF($A86="","",D86/IF(Cadastro!J86=0,'Parâmetros'!$B$12,Cadastro!J86))</x:f>
      </x:c>
      <x:c r="N86" s="96" t="str">
        <x:f>IF($A86="","",(D86/'Parâmetros'!$B$7)*E86)</x:f>
      </x:c>
      <x:c r="O86" s="96" t="str">
        <x:f>IF($A86="","",IF(E86&gt;0,D86/'Parâmetros'!$B$7,0))</x:f>
      </x:c>
      <x:c r="P86" s="96" t="str">
        <x:f>IF($A86="","",(M86*'Parâmetros'!$B$10)*F86)</x:f>
      </x:c>
      <x:c r="Q86" s="96" t="str">
        <x:f>IF($A86="","",(M86*'Parâmetros'!$B$11)*G86)</x:f>
      </x:c>
      <x:c r="R86" s="96" t="str">
        <x:f>IF($A86="","",((P86+Q86)/'Parâmetros'!$B$5)*'Parâmetros'!$B$6)</x:f>
      </x:c>
      <x:c r="S86" s="96" t="str">
        <x:f>IF($A86="","",(H86/'Parâmetros'!$B$5)*'Parâmetros'!$B$6)</x:f>
      </x:c>
      <x:c r="T86" s="96" t="str">
        <x:f>IF($A86="","",D86-N86-O86+H86+I86+J86+K86+P86+Q86+R86+S86)</x:f>
      </x:c>
      <x:c r="U86" s="96" t="str">
        <x:f>IF($A86="","",MIN(D86*'Parâmetros'!$B$9,Cadastro!L86))</x:f>
      </x:c>
      <x:c r="V86" s="96" t="str">
        <x:f>IF($A86="","",IF(T86&lt;='Parâmetros'!$C$16,T86*'Parâmetros'!$D$16,IF(T86&lt;='Parâmetros'!$C$17,T86*'Parâmetros'!$D$17-'Parâmetros'!$E$17,IF(T86&lt;='Parâmetros'!$C$18,T86*'Parâmetros'!$D$18-'Parâmetros'!$E$18,IF(T86&lt;='Parâmetros'!$C$19,T86*'Parâmetros'!$D$19-'Parâmetros'!$E$19,'Parâmetros'!$C$19*'Parâmetros'!$D$19-'Parâmetros'!$E$19)))))</x:f>
      </x:c>
      <x:c r="W86" s="96" t="str">
        <x:f>IF($A86="","",MAX(0,((T86-V86-(Cadastro!K86*'Parâmetros'!$H$6))*'Parâmetros'!$H$4)-'Parâmetros'!$H$5))</x:f>
      </x:c>
      <x:c r="X86" s="96" t="str">
        <x:f>IF($A86="","",Cadastro!M86)</x:f>
      </x:c>
      <x:c r="Y86" s="96" t="str">
        <x:f>IF($A86="","",Cadastro!N86)</x:f>
      </x:c>
      <x:c r="Z86" s="96" t="str">
        <x:f>IF($A86="","",Cadastro!O86)</x:f>
      </x:c>
      <x:c r="AA86" s="96" t="str">
        <x:f>IF($A86="","",N86+O86+U86+V86+W86+X86+Y86+Z86+L86)</x:f>
      </x:c>
      <x:c r="AB86" s="96" t="str">
        <x:f>IF($A86="","",T86-(U86+V86+W86+X86+Y86+Z86+L86))</x:f>
      </x:c>
      <x:c r="AC86" s="88" t="str">
        <x:f>IF($A86="","",SUMIFS('Importação Contabilidade'!$T$7:$T$500,'Importação Contabilidade'!$A$7:$A$500,'Parâmetros'!$B$4,'Importação Contabilidade'!$B$7:$B$500,$A86))</x:f>
      </x:c>
      <x:c r="AD86" s="88" t="str">
        <x:f>IF($A86="","",SUMIFS('Importação Contabilidade'!$U$7:$U$500,'Importação Contabilidade'!$A$7:$A$500,'Parâmetros'!$B$4,'Importação Contabilidade'!$B$7:$B$500,$A86))</x:f>
      </x:c>
      <x:c r="AE86" s="88" t="str">
        <x:f>IF($A86="","",SUMIFS('Importação Contabilidade'!$V$7:$V$500,'Importação Contabilidade'!$A$7:$A$500,'Parâmetros'!$B$4,'Importação Contabilidade'!$B$7:$B$500,$A86))</x:f>
      </x:c>
      <x:c r="AF86" s="97" t="str">
        <x:f>IF($A86="","",T86-AC86)</x:f>
      </x:c>
      <x:c r="AG86" s="97" t="str">
        <x:f>IF($A86="","",AA86-AD86)</x:f>
      </x:c>
      <x:c r="AH86" s="97" t="str">
        <x:f>IF($A86="","",AB86-AE86)</x:f>
      </x:c>
      <x:c r="AI86" s="98" t="str">
        <x:f>IF($A86="","",IF(COUNTIFS('Importação Contabilidade'!$A$7:$A$500,'Parâmetros'!$B$4,'Importação Contabilidade'!$B$7:$B$500,$A86)=0,"PENDENTE IMPORTAÇÃO",IF(AND(ABS(AF86)&lt;='Parâmetros'!$B$8,ABS(AG86)&lt;='Parâmetros'!$B$8,ABS(AH86)&lt;='Parâmetros'!$B$8),"OK","REVISAR")))</x:f>
      </x:c>
      <x:c r="AJ86" s="98" t="str">
        <x:f>IF($A86="","",IF(AI86="PENDENTE IMPORTAÇÃO","Funcionário/competência não encontrados na Importação Contabilidade",IF(AI86="OK","Sem divergência relevante",IF(ABS(AH86)&gt;=MAX(ABS(AF86),ABS(AG86)),"Revisar salário líquido",IF(ABS(AF86)&gt;=ABS(AG86),"Revisar bruto/proventos","Revisar descontos")))))</x:f>
      </x:c>
    </x:row>
    <x:row r="87">
      <x:c r="A87" s="93" t="str">
        <x:f>IF(Cadastro!A87="","",Cadastro!A87)</x:f>
      </x:c>
      <x:c r="B87" s="93" t="str">
        <x:f>IF(Cadastro!B87="","",Cadastro!B87)</x:f>
      </x:c>
      <x:c r="C87" s="93" t="str">
        <x:f>IF(Cadastro!F87="","",Cadastro!F87)</x:f>
      </x:c>
      <x:c r="D87" s="94" t="str">
        <x:f>IF(Cadastro!I87="","",Cadastro!I87)</x:f>
      </x:c>
      <x:c r="E87" s="95" t="str">
        <x:f>IF($A87="","",SUMIFS('Movimentações'!$D$2:$D$501,'Movimentações'!$A$2:$A$501,'Parâmetros'!$B$4,'Movimentações'!$B$2:$B$501,$A87,'Movimentações'!$C$2:$C$501,"Falta (dias)"))</x:f>
      </x:c>
      <x:c r="F87" s="95" t="str">
        <x:f>IF($A87="","",SUMIFS('Movimentações'!$D$2:$D$501,'Movimentações'!$A$2:$A$501,'Parâmetros'!$B$4,'Movimentações'!$B$2:$B$501,$A87,'Movimentações'!$C$2:$C$501,"HE 50% (horas)"))</x:f>
      </x:c>
      <x:c r="G87" s="95" t="str">
        <x:f>IF($A87="","",SUMIFS('Movimentações'!$D$2:$D$501,'Movimentações'!$A$2:$A$501,'Parâmetros'!$B$4,'Movimentações'!$B$2:$B$501,$A87,'Movimentações'!$C$2:$C$501,"HE 100% (horas)"))</x:f>
      </x:c>
      <x:c r="H87" s="94" t="str">
        <x:f>IF($A87="","",SUMIFS('Movimentações'!$E$2:$E$501,'Movimentações'!$A$2:$A$501,'Parâmetros'!$B$4,'Movimentações'!$B$2:$B$501,$A87,'Movimentações'!$C$2:$C$501,"Comissão"))</x:f>
      </x:c>
      <x:c r="I87" s="94" t="str">
        <x:f>IF($A87="","",SUMIFS('Movimentações'!$E$2:$E$501,'Movimentações'!$A$2:$A$501,'Parâmetros'!$B$4,'Movimentações'!$B$2:$B$501,$A87,'Movimentações'!$C$2:$C$501,"Bônus/Gratificação"))</x:f>
      </x:c>
      <x:c r="J87" s="94" t="str">
        <x:f>IF($A87="","",SUMIFS('Movimentações'!$E$2:$E$501,'Movimentações'!$A$2:$A$501,'Parâmetros'!$B$4,'Movimentações'!$B$2:$B$501,$A87,'Movimentações'!$C$2:$C$501,"Adicional"))</x:f>
      </x:c>
      <x:c r="K87" s="94" t="str">
        <x:f>IF($A87="","",SUMIFS('Movimentações'!$E$2:$E$501,'Movimentações'!$A$2:$A$501,'Parâmetros'!$B$4,'Movimentações'!$B$2:$B$501,$A87,'Movimentações'!$C$2:$C$501,"Crédito Extra"))</x:f>
      </x:c>
      <x:c r="L87" s="94" t="str">
        <x:f>IF($A87="","",SUMIFS('Movimentações'!$E$2:$E$501,'Movimentações'!$A$2:$A$501,'Parâmetros'!$B$4,'Movimentações'!$B$2:$B$501,$A87,'Movimentações'!$C$2:$C$501,"Desconto Extra"))</x:f>
      </x:c>
      <x:c r="M87" s="96" t="str">
        <x:f>IF($A87="","",D87/IF(Cadastro!J87=0,'Parâmetros'!$B$12,Cadastro!J87))</x:f>
      </x:c>
      <x:c r="N87" s="96" t="str">
        <x:f>IF($A87="","",(D87/'Parâmetros'!$B$7)*E87)</x:f>
      </x:c>
      <x:c r="O87" s="96" t="str">
        <x:f>IF($A87="","",IF(E87&gt;0,D87/'Parâmetros'!$B$7,0))</x:f>
      </x:c>
      <x:c r="P87" s="96" t="str">
        <x:f>IF($A87="","",(M87*'Parâmetros'!$B$10)*F87)</x:f>
      </x:c>
      <x:c r="Q87" s="96" t="str">
        <x:f>IF($A87="","",(M87*'Parâmetros'!$B$11)*G87)</x:f>
      </x:c>
      <x:c r="R87" s="96" t="str">
        <x:f>IF($A87="","",((P87+Q87)/'Parâmetros'!$B$5)*'Parâmetros'!$B$6)</x:f>
      </x:c>
      <x:c r="S87" s="96" t="str">
        <x:f>IF($A87="","",(H87/'Parâmetros'!$B$5)*'Parâmetros'!$B$6)</x:f>
      </x:c>
      <x:c r="T87" s="96" t="str">
        <x:f>IF($A87="","",D87-N87-O87+H87+I87+J87+K87+P87+Q87+R87+S87)</x:f>
      </x:c>
      <x:c r="U87" s="96" t="str">
        <x:f>IF($A87="","",MIN(D87*'Parâmetros'!$B$9,Cadastro!L87))</x:f>
      </x:c>
      <x:c r="V87" s="96" t="str">
        <x:f>IF($A87="","",IF(T87&lt;='Parâmetros'!$C$16,T87*'Parâmetros'!$D$16,IF(T87&lt;='Parâmetros'!$C$17,T87*'Parâmetros'!$D$17-'Parâmetros'!$E$17,IF(T87&lt;='Parâmetros'!$C$18,T87*'Parâmetros'!$D$18-'Parâmetros'!$E$18,IF(T87&lt;='Parâmetros'!$C$19,T87*'Parâmetros'!$D$19-'Parâmetros'!$E$19,'Parâmetros'!$C$19*'Parâmetros'!$D$19-'Parâmetros'!$E$19)))))</x:f>
      </x:c>
      <x:c r="W87" s="96" t="str">
        <x:f>IF($A87="","",MAX(0,((T87-V87-(Cadastro!K87*'Parâmetros'!$H$6))*'Parâmetros'!$H$4)-'Parâmetros'!$H$5))</x:f>
      </x:c>
      <x:c r="X87" s="96" t="str">
        <x:f>IF($A87="","",Cadastro!M87)</x:f>
      </x:c>
      <x:c r="Y87" s="96" t="str">
        <x:f>IF($A87="","",Cadastro!N87)</x:f>
      </x:c>
      <x:c r="Z87" s="96" t="str">
        <x:f>IF($A87="","",Cadastro!O87)</x:f>
      </x:c>
      <x:c r="AA87" s="96" t="str">
        <x:f>IF($A87="","",N87+O87+U87+V87+W87+X87+Y87+Z87+L87)</x:f>
      </x:c>
      <x:c r="AB87" s="96" t="str">
        <x:f>IF($A87="","",T87-(U87+V87+W87+X87+Y87+Z87+L87))</x:f>
      </x:c>
      <x:c r="AC87" s="88" t="str">
        <x:f>IF($A87="","",SUMIFS('Importação Contabilidade'!$T$7:$T$500,'Importação Contabilidade'!$A$7:$A$500,'Parâmetros'!$B$4,'Importação Contabilidade'!$B$7:$B$500,$A87))</x:f>
      </x:c>
      <x:c r="AD87" s="88" t="str">
        <x:f>IF($A87="","",SUMIFS('Importação Contabilidade'!$U$7:$U$500,'Importação Contabilidade'!$A$7:$A$500,'Parâmetros'!$B$4,'Importação Contabilidade'!$B$7:$B$500,$A87))</x:f>
      </x:c>
      <x:c r="AE87" s="88" t="str">
        <x:f>IF($A87="","",SUMIFS('Importação Contabilidade'!$V$7:$V$500,'Importação Contabilidade'!$A$7:$A$500,'Parâmetros'!$B$4,'Importação Contabilidade'!$B$7:$B$500,$A87))</x:f>
      </x:c>
      <x:c r="AF87" s="97" t="str">
        <x:f>IF($A87="","",T87-AC87)</x:f>
      </x:c>
      <x:c r="AG87" s="97" t="str">
        <x:f>IF($A87="","",AA87-AD87)</x:f>
      </x:c>
      <x:c r="AH87" s="97" t="str">
        <x:f>IF($A87="","",AB87-AE87)</x:f>
      </x:c>
      <x:c r="AI87" s="98" t="str">
        <x:f>IF($A87="","",IF(COUNTIFS('Importação Contabilidade'!$A$7:$A$500,'Parâmetros'!$B$4,'Importação Contabilidade'!$B$7:$B$500,$A87)=0,"PENDENTE IMPORTAÇÃO",IF(AND(ABS(AF87)&lt;='Parâmetros'!$B$8,ABS(AG87)&lt;='Parâmetros'!$B$8,ABS(AH87)&lt;='Parâmetros'!$B$8),"OK","REVISAR")))</x:f>
      </x:c>
      <x:c r="AJ87" s="98" t="str">
        <x:f>IF($A87="","",IF(AI87="PENDENTE IMPORTAÇÃO","Funcionário/competência não encontrados na Importação Contabilidade",IF(AI87="OK","Sem divergência relevante",IF(ABS(AH87)&gt;=MAX(ABS(AF87),ABS(AG87)),"Revisar salário líquido",IF(ABS(AF87)&gt;=ABS(AG87),"Revisar bruto/proventos","Revisar descontos")))))</x:f>
      </x:c>
    </x:row>
    <x:row r="88">
      <x:c r="A88" s="93" t="str">
        <x:f>IF(Cadastro!A88="","",Cadastro!A88)</x:f>
      </x:c>
      <x:c r="B88" s="93" t="str">
        <x:f>IF(Cadastro!B88="","",Cadastro!B88)</x:f>
      </x:c>
      <x:c r="C88" s="93" t="str">
        <x:f>IF(Cadastro!F88="","",Cadastro!F88)</x:f>
      </x:c>
      <x:c r="D88" s="94" t="str">
        <x:f>IF(Cadastro!I88="","",Cadastro!I88)</x:f>
      </x:c>
      <x:c r="E88" s="95" t="str">
        <x:f>IF($A88="","",SUMIFS('Movimentações'!$D$2:$D$501,'Movimentações'!$A$2:$A$501,'Parâmetros'!$B$4,'Movimentações'!$B$2:$B$501,$A88,'Movimentações'!$C$2:$C$501,"Falta (dias)"))</x:f>
      </x:c>
      <x:c r="F88" s="95" t="str">
        <x:f>IF($A88="","",SUMIFS('Movimentações'!$D$2:$D$501,'Movimentações'!$A$2:$A$501,'Parâmetros'!$B$4,'Movimentações'!$B$2:$B$501,$A88,'Movimentações'!$C$2:$C$501,"HE 50% (horas)"))</x:f>
      </x:c>
      <x:c r="G88" s="95" t="str">
        <x:f>IF($A88="","",SUMIFS('Movimentações'!$D$2:$D$501,'Movimentações'!$A$2:$A$501,'Parâmetros'!$B$4,'Movimentações'!$B$2:$B$501,$A88,'Movimentações'!$C$2:$C$501,"HE 100% (horas)"))</x:f>
      </x:c>
      <x:c r="H88" s="94" t="str">
        <x:f>IF($A88="","",SUMIFS('Movimentações'!$E$2:$E$501,'Movimentações'!$A$2:$A$501,'Parâmetros'!$B$4,'Movimentações'!$B$2:$B$501,$A88,'Movimentações'!$C$2:$C$501,"Comissão"))</x:f>
      </x:c>
      <x:c r="I88" s="94" t="str">
        <x:f>IF($A88="","",SUMIFS('Movimentações'!$E$2:$E$501,'Movimentações'!$A$2:$A$501,'Parâmetros'!$B$4,'Movimentações'!$B$2:$B$501,$A88,'Movimentações'!$C$2:$C$501,"Bônus/Gratificação"))</x:f>
      </x:c>
      <x:c r="J88" s="94" t="str">
        <x:f>IF($A88="","",SUMIFS('Movimentações'!$E$2:$E$501,'Movimentações'!$A$2:$A$501,'Parâmetros'!$B$4,'Movimentações'!$B$2:$B$501,$A88,'Movimentações'!$C$2:$C$501,"Adicional"))</x:f>
      </x:c>
      <x:c r="K88" s="94" t="str">
        <x:f>IF($A88="","",SUMIFS('Movimentações'!$E$2:$E$501,'Movimentações'!$A$2:$A$501,'Parâmetros'!$B$4,'Movimentações'!$B$2:$B$501,$A88,'Movimentações'!$C$2:$C$501,"Crédito Extra"))</x:f>
      </x:c>
      <x:c r="L88" s="94" t="str">
        <x:f>IF($A88="","",SUMIFS('Movimentações'!$E$2:$E$501,'Movimentações'!$A$2:$A$501,'Parâmetros'!$B$4,'Movimentações'!$B$2:$B$501,$A88,'Movimentações'!$C$2:$C$501,"Desconto Extra"))</x:f>
      </x:c>
      <x:c r="M88" s="96" t="str">
        <x:f>IF($A88="","",D88/IF(Cadastro!J88=0,'Parâmetros'!$B$12,Cadastro!J88))</x:f>
      </x:c>
      <x:c r="N88" s="96" t="str">
        <x:f>IF($A88="","",(D88/'Parâmetros'!$B$7)*E88)</x:f>
      </x:c>
      <x:c r="O88" s="96" t="str">
        <x:f>IF($A88="","",IF(E88&gt;0,D88/'Parâmetros'!$B$7,0))</x:f>
      </x:c>
      <x:c r="P88" s="96" t="str">
        <x:f>IF($A88="","",(M88*'Parâmetros'!$B$10)*F88)</x:f>
      </x:c>
      <x:c r="Q88" s="96" t="str">
        <x:f>IF($A88="","",(M88*'Parâmetros'!$B$11)*G88)</x:f>
      </x:c>
      <x:c r="R88" s="96" t="str">
        <x:f>IF($A88="","",((P88+Q88)/'Parâmetros'!$B$5)*'Parâmetros'!$B$6)</x:f>
      </x:c>
      <x:c r="S88" s="96" t="str">
        <x:f>IF($A88="","",(H88/'Parâmetros'!$B$5)*'Parâmetros'!$B$6)</x:f>
      </x:c>
      <x:c r="T88" s="96" t="str">
        <x:f>IF($A88="","",D88-N88-O88+H88+I88+J88+K88+P88+Q88+R88+S88)</x:f>
      </x:c>
      <x:c r="U88" s="96" t="str">
        <x:f>IF($A88="","",MIN(D88*'Parâmetros'!$B$9,Cadastro!L88))</x:f>
      </x:c>
      <x:c r="V88" s="96" t="str">
        <x:f>IF($A88="","",IF(T88&lt;='Parâmetros'!$C$16,T88*'Parâmetros'!$D$16,IF(T88&lt;='Parâmetros'!$C$17,T88*'Parâmetros'!$D$17-'Parâmetros'!$E$17,IF(T88&lt;='Parâmetros'!$C$18,T88*'Parâmetros'!$D$18-'Parâmetros'!$E$18,IF(T88&lt;='Parâmetros'!$C$19,T88*'Parâmetros'!$D$19-'Parâmetros'!$E$19,'Parâmetros'!$C$19*'Parâmetros'!$D$19-'Parâmetros'!$E$19)))))</x:f>
      </x:c>
      <x:c r="W88" s="96" t="str">
        <x:f>IF($A88="","",MAX(0,((T88-V88-(Cadastro!K88*'Parâmetros'!$H$6))*'Parâmetros'!$H$4)-'Parâmetros'!$H$5))</x:f>
      </x:c>
      <x:c r="X88" s="96" t="str">
        <x:f>IF($A88="","",Cadastro!M88)</x:f>
      </x:c>
      <x:c r="Y88" s="96" t="str">
        <x:f>IF($A88="","",Cadastro!N88)</x:f>
      </x:c>
      <x:c r="Z88" s="96" t="str">
        <x:f>IF($A88="","",Cadastro!O88)</x:f>
      </x:c>
      <x:c r="AA88" s="96" t="str">
        <x:f>IF($A88="","",N88+O88+U88+V88+W88+X88+Y88+Z88+L88)</x:f>
      </x:c>
      <x:c r="AB88" s="96" t="str">
        <x:f>IF($A88="","",T88-(U88+V88+W88+X88+Y88+Z88+L88))</x:f>
      </x:c>
      <x:c r="AC88" s="88" t="str">
        <x:f>IF($A88="","",SUMIFS('Importação Contabilidade'!$T$7:$T$500,'Importação Contabilidade'!$A$7:$A$500,'Parâmetros'!$B$4,'Importação Contabilidade'!$B$7:$B$500,$A88))</x:f>
      </x:c>
      <x:c r="AD88" s="88" t="str">
        <x:f>IF($A88="","",SUMIFS('Importação Contabilidade'!$U$7:$U$500,'Importação Contabilidade'!$A$7:$A$500,'Parâmetros'!$B$4,'Importação Contabilidade'!$B$7:$B$500,$A88))</x:f>
      </x:c>
      <x:c r="AE88" s="88" t="str">
        <x:f>IF($A88="","",SUMIFS('Importação Contabilidade'!$V$7:$V$500,'Importação Contabilidade'!$A$7:$A$500,'Parâmetros'!$B$4,'Importação Contabilidade'!$B$7:$B$500,$A88))</x:f>
      </x:c>
      <x:c r="AF88" s="97" t="str">
        <x:f>IF($A88="","",T88-AC88)</x:f>
      </x:c>
      <x:c r="AG88" s="97" t="str">
        <x:f>IF($A88="","",AA88-AD88)</x:f>
      </x:c>
      <x:c r="AH88" s="97" t="str">
        <x:f>IF($A88="","",AB88-AE88)</x:f>
      </x:c>
      <x:c r="AI88" s="98" t="str">
        <x:f>IF($A88="","",IF(COUNTIFS('Importação Contabilidade'!$A$7:$A$500,'Parâmetros'!$B$4,'Importação Contabilidade'!$B$7:$B$500,$A88)=0,"PENDENTE IMPORTAÇÃO",IF(AND(ABS(AF88)&lt;='Parâmetros'!$B$8,ABS(AG88)&lt;='Parâmetros'!$B$8,ABS(AH88)&lt;='Parâmetros'!$B$8),"OK","REVISAR")))</x:f>
      </x:c>
      <x:c r="AJ88" s="98" t="str">
        <x:f>IF($A88="","",IF(AI88="PENDENTE IMPORTAÇÃO","Funcionário/competência não encontrados na Importação Contabilidade",IF(AI88="OK","Sem divergência relevante",IF(ABS(AH88)&gt;=MAX(ABS(AF88),ABS(AG88)),"Revisar salário líquido",IF(ABS(AF88)&gt;=ABS(AG88),"Revisar bruto/proventos","Revisar descontos")))))</x:f>
      </x:c>
    </x:row>
    <x:row r="89">
      <x:c r="A89" s="93" t="str">
        <x:f>IF(Cadastro!A89="","",Cadastro!A89)</x:f>
      </x:c>
      <x:c r="B89" s="93" t="str">
        <x:f>IF(Cadastro!B89="","",Cadastro!B89)</x:f>
      </x:c>
      <x:c r="C89" s="93" t="str">
        <x:f>IF(Cadastro!F89="","",Cadastro!F89)</x:f>
      </x:c>
      <x:c r="D89" s="94" t="str">
        <x:f>IF(Cadastro!I89="","",Cadastro!I89)</x:f>
      </x:c>
      <x:c r="E89" s="95" t="str">
        <x:f>IF($A89="","",SUMIFS('Movimentações'!$D$2:$D$501,'Movimentações'!$A$2:$A$501,'Parâmetros'!$B$4,'Movimentações'!$B$2:$B$501,$A89,'Movimentações'!$C$2:$C$501,"Falta (dias)"))</x:f>
      </x:c>
      <x:c r="F89" s="95" t="str">
        <x:f>IF($A89="","",SUMIFS('Movimentações'!$D$2:$D$501,'Movimentações'!$A$2:$A$501,'Parâmetros'!$B$4,'Movimentações'!$B$2:$B$501,$A89,'Movimentações'!$C$2:$C$501,"HE 50% (horas)"))</x:f>
      </x:c>
      <x:c r="G89" s="95" t="str">
        <x:f>IF($A89="","",SUMIFS('Movimentações'!$D$2:$D$501,'Movimentações'!$A$2:$A$501,'Parâmetros'!$B$4,'Movimentações'!$B$2:$B$501,$A89,'Movimentações'!$C$2:$C$501,"HE 100% (horas)"))</x:f>
      </x:c>
      <x:c r="H89" s="94" t="str">
        <x:f>IF($A89="","",SUMIFS('Movimentações'!$E$2:$E$501,'Movimentações'!$A$2:$A$501,'Parâmetros'!$B$4,'Movimentações'!$B$2:$B$501,$A89,'Movimentações'!$C$2:$C$501,"Comissão"))</x:f>
      </x:c>
      <x:c r="I89" s="94" t="str">
        <x:f>IF($A89="","",SUMIFS('Movimentações'!$E$2:$E$501,'Movimentações'!$A$2:$A$501,'Parâmetros'!$B$4,'Movimentações'!$B$2:$B$501,$A89,'Movimentações'!$C$2:$C$501,"Bônus/Gratificação"))</x:f>
      </x:c>
      <x:c r="J89" s="94" t="str">
        <x:f>IF($A89="","",SUMIFS('Movimentações'!$E$2:$E$501,'Movimentações'!$A$2:$A$501,'Parâmetros'!$B$4,'Movimentações'!$B$2:$B$501,$A89,'Movimentações'!$C$2:$C$501,"Adicional"))</x:f>
      </x:c>
      <x:c r="K89" s="94" t="str">
        <x:f>IF($A89="","",SUMIFS('Movimentações'!$E$2:$E$501,'Movimentações'!$A$2:$A$501,'Parâmetros'!$B$4,'Movimentações'!$B$2:$B$501,$A89,'Movimentações'!$C$2:$C$501,"Crédito Extra"))</x:f>
      </x:c>
      <x:c r="L89" s="94" t="str">
        <x:f>IF($A89="","",SUMIFS('Movimentações'!$E$2:$E$501,'Movimentações'!$A$2:$A$501,'Parâmetros'!$B$4,'Movimentações'!$B$2:$B$501,$A89,'Movimentações'!$C$2:$C$501,"Desconto Extra"))</x:f>
      </x:c>
      <x:c r="M89" s="96" t="str">
        <x:f>IF($A89="","",D89/IF(Cadastro!J89=0,'Parâmetros'!$B$12,Cadastro!J89))</x:f>
      </x:c>
      <x:c r="N89" s="96" t="str">
        <x:f>IF($A89="","",(D89/'Parâmetros'!$B$7)*E89)</x:f>
      </x:c>
      <x:c r="O89" s="96" t="str">
        <x:f>IF($A89="","",IF(E89&gt;0,D89/'Parâmetros'!$B$7,0))</x:f>
      </x:c>
      <x:c r="P89" s="96" t="str">
        <x:f>IF($A89="","",(M89*'Parâmetros'!$B$10)*F89)</x:f>
      </x:c>
      <x:c r="Q89" s="96" t="str">
        <x:f>IF($A89="","",(M89*'Parâmetros'!$B$11)*G89)</x:f>
      </x:c>
      <x:c r="R89" s="96" t="str">
        <x:f>IF($A89="","",((P89+Q89)/'Parâmetros'!$B$5)*'Parâmetros'!$B$6)</x:f>
      </x:c>
      <x:c r="S89" s="96" t="str">
        <x:f>IF($A89="","",(H89/'Parâmetros'!$B$5)*'Parâmetros'!$B$6)</x:f>
      </x:c>
      <x:c r="T89" s="96" t="str">
        <x:f>IF($A89="","",D89-N89-O89+H89+I89+J89+K89+P89+Q89+R89+S89)</x:f>
      </x:c>
      <x:c r="U89" s="96" t="str">
        <x:f>IF($A89="","",MIN(D89*'Parâmetros'!$B$9,Cadastro!L89))</x:f>
      </x:c>
      <x:c r="V89" s="96" t="str">
        <x:f>IF($A89="","",IF(T89&lt;='Parâmetros'!$C$16,T89*'Parâmetros'!$D$16,IF(T89&lt;='Parâmetros'!$C$17,T89*'Parâmetros'!$D$17-'Parâmetros'!$E$17,IF(T89&lt;='Parâmetros'!$C$18,T89*'Parâmetros'!$D$18-'Parâmetros'!$E$18,IF(T89&lt;='Parâmetros'!$C$19,T89*'Parâmetros'!$D$19-'Parâmetros'!$E$19,'Parâmetros'!$C$19*'Parâmetros'!$D$19-'Parâmetros'!$E$19)))))</x:f>
      </x:c>
      <x:c r="W89" s="96" t="str">
        <x:f>IF($A89="","",MAX(0,((T89-V89-(Cadastro!K89*'Parâmetros'!$H$6))*'Parâmetros'!$H$4)-'Parâmetros'!$H$5))</x:f>
      </x:c>
      <x:c r="X89" s="96" t="str">
        <x:f>IF($A89="","",Cadastro!M89)</x:f>
      </x:c>
      <x:c r="Y89" s="96" t="str">
        <x:f>IF($A89="","",Cadastro!N89)</x:f>
      </x:c>
      <x:c r="Z89" s="96" t="str">
        <x:f>IF($A89="","",Cadastro!O89)</x:f>
      </x:c>
      <x:c r="AA89" s="96" t="str">
        <x:f>IF($A89="","",N89+O89+U89+V89+W89+X89+Y89+Z89+L89)</x:f>
      </x:c>
      <x:c r="AB89" s="96" t="str">
        <x:f>IF($A89="","",T89-(U89+V89+W89+X89+Y89+Z89+L89))</x:f>
      </x:c>
      <x:c r="AC89" s="88" t="str">
        <x:f>IF($A89="","",SUMIFS('Importação Contabilidade'!$T$7:$T$500,'Importação Contabilidade'!$A$7:$A$500,'Parâmetros'!$B$4,'Importação Contabilidade'!$B$7:$B$500,$A89))</x:f>
      </x:c>
      <x:c r="AD89" s="88" t="str">
        <x:f>IF($A89="","",SUMIFS('Importação Contabilidade'!$U$7:$U$500,'Importação Contabilidade'!$A$7:$A$500,'Parâmetros'!$B$4,'Importação Contabilidade'!$B$7:$B$500,$A89))</x:f>
      </x:c>
      <x:c r="AE89" s="88" t="str">
        <x:f>IF($A89="","",SUMIFS('Importação Contabilidade'!$V$7:$V$500,'Importação Contabilidade'!$A$7:$A$500,'Parâmetros'!$B$4,'Importação Contabilidade'!$B$7:$B$500,$A89))</x:f>
      </x:c>
      <x:c r="AF89" s="97" t="str">
        <x:f>IF($A89="","",T89-AC89)</x:f>
      </x:c>
      <x:c r="AG89" s="97" t="str">
        <x:f>IF($A89="","",AA89-AD89)</x:f>
      </x:c>
      <x:c r="AH89" s="97" t="str">
        <x:f>IF($A89="","",AB89-AE89)</x:f>
      </x:c>
      <x:c r="AI89" s="98" t="str">
        <x:f>IF($A89="","",IF(COUNTIFS('Importação Contabilidade'!$A$7:$A$500,'Parâmetros'!$B$4,'Importação Contabilidade'!$B$7:$B$500,$A89)=0,"PENDENTE IMPORTAÇÃO",IF(AND(ABS(AF89)&lt;='Parâmetros'!$B$8,ABS(AG89)&lt;='Parâmetros'!$B$8,ABS(AH89)&lt;='Parâmetros'!$B$8),"OK","REVISAR")))</x:f>
      </x:c>
      <x:c r="AJ89" s="98" t="str">
        <x:f>IF($A89="","",IF(AI89="PENDENTE IMPORTAÇÃO","Funcionário/competência não encontrados na Importação Contabilidade",IF(AI89="OK","Sem divergência relevante",IF(ABS(AH89)&gt;=MAX(ABS(AF89),ABS(AG89)),"Revisar salário líquido",IF(ABS(AF89)&gt;=ABS(AG89),"Revisar bruto/proventos","Revisar descontos")))))</x:f>
      </x:c>
    </x:row>
    <x:row r="90">
      <x:c r="A90" s="93" t="str">
        <x:f>IF(Cadastro!A90="","",Cadastro!A90)</x:f>
      </x:c>
      <x:c r="B90" s="93" t="str">
        <x:f>IF(Cadastro!B90="","",Cadastro!B90)</x:f>
      </x:c>
      <x:c r="C90" s="93" t="str">
        <x:f>IF(Cadastro!F90="","",Cadastro!F90)</x:f>
      </x:c>
      <x:c r="D90" s="94" t="str">
        <x:f>IF(Cadastro!I90="","",Cadastro!I90)</x:f>
      </x:c>
      <x:c r="E90" s="95" t="str">
        <x:f>IF($A90="","",SUMIFS('Movimentações'!$D$2:$D$501,'Movimentações'!$A$2:$A$501,'Parâmetros'!$B$4,'Movimentações'!$B$2:$B$501,$A90,'Movimentações'!$C$2:$C$501,"Falta (dias)"))</x:f>
      </x:c>
      <x:c r="F90" s="95" t="str">
        <x:f>IF($A90="","",SUMIFS('Movimentações'!$D$2:$D$501,'Movimentações'!$A$2:$A$501,'Parâmetros'!$B$4,'Movimentações'!$B$2:$B$501,$A90,'Movimentações'!$C$2:$C$501,"HE 50% (horas)"))</x:f>
      </x:c>
      <x:c r="G90" s="95" t="str">
        <x:f>IF($A90="","",SUMIFS('Movimentações'!$D$2:$D$501,'Movimentações'!$A$2:$A$501,'Parâmetros'!$B$4,'Movimentações'!$B$2:$B$501,$A90,'Movimentações'!$C$2:$C$501,"HE 100% (horas)"))</x:f>
      </x:c>
      <x:c r="H90" s="94" t="str">
        <x:f>IF($A90="","",SUMIFS('Movimentações'!$E$2:$E$501,'Movimentações'!$A$2:$A$501,'Parâmetros'!$B$4,'Movimentações'!$B$2:$B$501,$A90,'Movimentações'!$C$2:$C$501,"Comissão"))</x:f>
      </x:c>
      <x:c r="I90" s="94" t="str">
        <x:f>IF($A90="","",SUMIFS('Movimentações'!$E$2:$E$501,'Movimentações'!$A$2:$A$501,'Parâmetros'!$B$4,'Movimentações'!$B$2:$B$501,$A90,'Movimentações'!$C$2:$C$501,"Bônus/Gratificação"))</x:f>
      </x:c>
      <x:c r="J90" s="94" t="str">
        <x:f>IF($A90="","",SUMIFS('Movimentações'!$E$2:$E$501,'Movimentações'!$A$2:$A$501,'Parâmetros'!$B$4,'Movimentações'!$B$2:$B$501,$A90,'Movimentações'!$C$2:$C$501,"Adicional"))</x:f>
      </x:c>
      <x:c r="K90" s="94" t="str">
        <x:f>IF($A90="","",SUMIFS('Movimentações'!$E$2:$E$501,'Movimentações'!$A$2:$A$501,'Parâmetros'!$B$4,'Movimentações'!$B$2:$B$501,$A90,'Movimentações'!$C$2:$C$501,"Crédito Extra"))</x:f>
      </x:c>
      <x:c r="L90" s="94" t="str">
        <x:f>IF($A90="","",SUMIFS('Movimentações'!$E$2:$E$501,'Movimentações'!$A$2:$A$501,'Parâmetros'!$B$4,'Movimentações'!$B$2:$B$501,$A90,'Movimentações'!$C$2:$C$501,"Desconto Extra"))</x:f>
      </x:c>
      <x:c r="M90" s="96" t="str">
        <x:f>IF($A90="","",D90/IF(Cadastro!J90=0,'Parâmetros'!$B$12,Cadastro!J90))</x:f>
      </x:c>
      <x:c r="N90" s="96" t="str">
        <x:f>IF($A90="","",(D90/'Parâmetros'!$B$7)*E90)</x:f>
      </x:c>
      <x:c r="O90" s="96" t="str">
        <x:f>IF($A90="","",IF(E90&gt;0,D90/'Parâmetros'!$B$7,0))</x:f>
      </x:c>
      <x:c r="P90" s="96" t="str">
        <x:f>IF($A90="","",(M90*'Parâmetros'!$B$10)*F90)</x:f>
      </x:c>
      <x:c r="Q90" s="96" t="str">
        <x:f>IF($A90="","",(M90*'Parâmetros'!$B$11)*G90)</x:f>
      </x:c>
      <x:c r="R90" s="96" t="str">
        <x:f>IF($A90="","",((P90+Q90)/'Parâmetros'!$B$5)*'Parâmetros'!$B$6)</x:f>
      </x:c>
      <x:c r="S90" s="96" t="str">
        <x:f>IF($A90="","",(H90/'Parâmetros'!$B$5)*'Parâmetros'!$B$6)</x:f>
      </x:c>
      <x:c r="T90" s="96" t="str">
        <x:f>IF($A90="","",D90-N90-O90+H90+I90+J90+K90+P90+Q90+R90+S90)</x:f>
      </x:c>
      <x:c r="U90" s="96" t="str">
        <x:f>IF($A90="","",MIN(D90*'Parâmetros'!$B$9,Cadastro!L90))</x:f>
      </x:c>
      <x:c r="V90" s="96" t="str">
        <x:f>IF($A90="","",IF(T90&lt;='Parâmetros'!$C$16,T90*'Parâmetros'!$D$16,IF(T90&lt;='Parâmetros'!$C$17,T90*'Parâmetros'!$D$17-'Parâmetros'!$E$17,IF(T90&lt;='Parâmetros'!$C$18,T90*'Parâmetros'!$D$18-'Parâmetros'!$E$18,IF(T90&lt;='Parâmetros'!$C$19,T90*'Parâmetros'!$D$19-'Parâmetros'!$E$19,'Parâmetros'!$C$19*'Parâmetros'!$D$19-'Parâmetros'!$E$19)))))</x:f>
      </x:c>
      <x:c r="W90" s="96" t="str">
        <x:f>IF($A90="","",MAX(0,((T90-V90-(Cadastro!K90*'Parâmetros'!$H$6))*'Parâmetros'!$H$4)-'Parâmetros'!$H$5))</x:f>
      </x:c>
      <x:c r="X90" s="96" t="str">
        <x:f>IF($A90="","",Cadastro!M90)</x:f>
      </x:c>
      <x:c r="Y90" s="96" t="str">
        <x:f>IF($A90="","",Cadastro!N90)</x:f>
      </x:c>
      <x:c r="Z90" s="96" t="str">
        <x:f>IF($A90="","",Cadastro!O90)</x:f>
      </x:c>
      <x:c r="AA90" s="96" t="str">
        <x:f>IF($A90="","",N90+O90+U90+V90+W90+X90+Y90+Z90+L90)</x:f>
      </x:c>
      <x:c r="AB90" s="96" t="str">
        <x:f>IF($A90="","",T90-(U90+V90+W90+X90+Y90+Z90+L90))</x:f>
      </x:c>
      <x:c r="AC90" s="88" t="str">
        <x:f>IF($A90="","",SUMIFS('Importação Contabilidade'!$T$7:$T$500,'Importação Contabilidade'!$A$7:$A$500,'Parâmetros'!$B$4,'Importação Contabilidade'!$B$7:$B$500,$A90))</x:f>
      </x:c>
      <x:c r="AD90" s="88" t="str">
        <x:f>IF($A90="","",SUMIFS('Importação Contabilidade'!$U$7:$U$500,'Importação Contabilidade'!$A$7:$A$500,'Parâmetros'!$B$4,'Importação Contabilidade'!$B$7:$B$500,$A90))</x:f>
      </x:c>
      <x:c r="AE90" s="88" t="str">
        <x:f>IF($A90="","",SUMIFS('Importação Contabilidade'!$V$7:$V$500,'Importação Contabilidade'!$A$7:$A$500,'Parâmetros'!$B$4,'Importação Contabilidade'!$B$7:$B$500,$A90))</x:f>
      </x:c>
      <x:c r="AF90" s="97" t="str">
        <x:f>IF($A90="","",T90-AC90)</x:f>
      </x:c>
      <x:c r="AG90" s="97" t="str">
        <x:f>IF($A90="","",AA90-AD90)</x:f>
      </x:c>
      <x:c r="AH90" s="97" t="str">
        <x:f>IF($A90="","",AB90-AE90)</x:f>
      </x:c>
      <x:c r="AI90" s="98" t="str">
        <x:f>IF($A90="","",IF(COUNTIFS('Importação Contabilidade'!$A$7:$A$500,'Parâmetros'!$B$4,'Importação Contabilidade'!$B$7:$B$500,$A90)=0,"PENDENTE IMPORTAÇÃO",IF(AND(ABS(AF90)&lt;='Parâmetros'!$B$8,ABS(AG90)&lt;='Parâmetros'!$B$8,ABS(AH90)&lt;='Parâmetros'!$B$8),"OK","REVISAR")))</x:f>
      </x:c>
      <x:c r="AJ90" s="98" t="str">
        <x:f>IF($A90="","",IF(AI90="PENDENTE IMPORTAÇÃO","Funcionário/competência não encontrados na Importação Contabilidade",IF(AI90="OK","Sem divergência relevante",IF(ABS(AH90)&gt;=MAX(ABS(AF90),ABS(AG90)),"Revisar salário líquido",IF(ABS(AF90)&gt;=ABS(AG90),"Revisar bruto/proventos","Revisar descontos")))))</x:f>
      </x:c>
    </x:row>
    <x:row r="91">
      <x:c r="A91" s="93" t="str">
        <x:f>IF(Cadastro!A91="","",Cadastro!A91)</x:f>
      </x:c>
      <x:c r="B91" s="93" t="str">
        <x:f>IF(Cadastro!B91="","",Cadastro!B91)</x:f>
      </x:c>
      <x:c r="C91" s="93" t="str">
        <x:f>IF(Cadastro!F91="","",Cadastro!F91)</x:f>
      </x:c>
      <x:c r="D91" s="94" t="str">
        <x:f>IF(Cadastro!I91="","",Cadastro!I91)</x:f>
      </x:c>
      <x:c r="E91" s="95" t="str">
        <x:f>IF($A91="","",SUMIFS('Movimentações'!$D$2:$D$501,'Movimentações'!$A$2:$A$501,'Parâmetros'!$B$4,'Movimentações'!$B$2:$B$501,$A91,'Movimentações'!$C$2:$C$501,"Falta (dias)"))</x:f>
      </x:c>
      <x:c r="F91" s="95" t="str">
        <x:f>IF($A91="","",SUMIFS('Movimentações'!$D$2:$D$501,'Movimentações'!$A$2:$A$501,'Parâmetros'!$B$4,'Movimentações'!$B$2:$B$501,$A91,'Movimentações'!$C$2:$C$501,"HE 50% (horas)"))</x:f>
      </x:c>
      <x:c r="G91" s="95" t="str">
        <x:f>IF($A91="","",SUMIFS('Movimentações'!$D$2:$D$501,'Movimentações'!$A$2:$A$501,'Parâmetros'!$B$4,'Movimentações'!$B$2:$B$501,$A91,'Movimentações'!$C$2:$C$501,"HE 100% (horas)"))</x:f>
      </x:c>
      <x:c r="H91" s="94" t="str">
        <x:f>IF($A91="","",SUMIFS('Movimentações'!$E$2:$E$501,'Movimentações'!$A$2:$A$501,'Parâmetros'!$B$4,'Movimentações'!$B$2:$B$501,$A91,'Movimentações'!$C$2:$C$501,"Comissão"))</x:f>
      </x:c>
      <x:c r="I91" s="94" t="str">
        <x:f>IF($A91="","",SUMIFS('Movimentações'!$E$2:$E$501,'Movimentações'!$A$2:$A$501,'Parâmetros'!$B$4,'Movimentações'!$B$2:$B$501,$A91,'Movimentações'!$C$2:$C$501,"Bônus/Gratificação"))</x:f>
      </x:c>
      <x:c r="J91" s="94" t="str">
        <x:f>IF($A91="","",SUMIFS('Movimentações'!$E$2:$E$501,'Movimentações'!$A$2:$A$501,'Parâmetros'!$B$4,'Movimentações'!$B$2:$B$501,$A91,'Movimentações'!$C$2:$C$501,"Adicional"))</x:f>
      </x:c>
      <x:c r="K91" s="94" t="str">
        <x:f>IF($A91="","",SUMIFS('Movimentações'!$E$2:$E$501,'Movimentações'!$A$2:$A$501,'Parâmetros'!$B$4,'Movimentações'!$B$2:$B$501,$A91,'Movimentações'!$C$2:$C$501,"Crédito Extra"))</x:f>
      </x:c>
      <x:c r="L91" s="94" t="str">
        <x:f>IF($A91="","",SUMIFS('Movimentações'!$E$2:$E$501,'Movimentações'!$A$2:$A$501,'Parâmetros'!$B$4,'Movimentações'!$B$2:$B$501,$A91,'Movimentações'!$C$2:$C$501,"Desconto Extra"))</x:f>
      </x:c>
      <x:c r="M91" s="96" t="str">
        <x:f>IF($A91="","",D91/IF(Cadastro!J91=0,'Parâmetros'!$B$12,Cadastro!J91))</x:f>
      </x:c>
      <x:c r="N91" s="96" t="str">
        <x:f>IF($A91="","",(D91/'Parâmetros'!$B$7)*E91)</x:f>
      </x:c>
      <x:c r="O91" s="96" t="str">
        <x:f>IF($A91="","",IF(E91&gt;0,D91/'Parâmetros'!$B$7,0))</x:f>
      </x:c>
      <x:c r="P91" s="96" t="str">
        <x:f>IF($A91="","",(M91*'Parâmetros'!$B$10)*F91)</x:f>
      </x:c>
      <x:c r="Q91" s="96" t="str">
        <x:f>IF($A91="","",(M91*'Parâmetros'!$B$11)*G91)</x:f>
      </x:c>
      <x:c r="R91" s="96" t="str">
        <x:f>IF($A91="","",((P91+Q91)/'Parâmetros'!$B$5)*'Parâmetros'!$B$6)</x:f>
      </x:c>
      <x:c r="S91" s="96" t="str">
        <x:f>IF($A91="","",(H91/'Parâmetros'!$B$5)*'Parâmetros'!$B$6)</x:f>
      </x:c>
      <x:c r="T91" s="96" t="str">
        <x:f>IF($A91="","",D91-N91-O91+H91+I91+J91+K91+P91+Q91+R91+S91)</x:f>
      </x:c>
      <x:c r="U91" s="96" t="str">
        <x:f>IF($A91="","",MIN(D91*'Parâmetros'!$B$9,Cadastro!L91))</x:f>
      </x:c>
      <x:c r="V91" s="96" t="str">
        <x:f>IF($A91="","",IF(T91&lt;='Parâmetros'!$C$16,T91*'Parâmetros'!$D$16,IF(T91&lt;='Parâmetros'!$C$17,T91*'Parâmetros'!$D$17-'Parâmetros'!$E$17,IF(T91&lt;='Parâmetros'!$C$18,T91*'Parâmetros'!$D$18-'Parâmetros'!$E$18,IF(T91&lt;='Parâmetros'!$C$19,T91*'Parâmetros'!$D$19-'Parâmetros'!$E$19,'Parâmetros'!$C$19*'Parâmetros'!$D$19-'Parâmetros'!$E$19)))))</x:f>
      </x:c>
      <x:c r="W91" s="96" t="str">
        <x:f>IF($A91="","",MAX(0,((T91-V91-(Cadastro!K91*'Parâmetros'!$H$6))*'Parâmetros'!$H$4)-'Parâmetros'!$H$5))</x:f>
      </x:c>
      <x:c r="X91" s="96" t="str">
        <x:f>IF($A91="","",Cadastro!M91)</x:f>
      </x:c>
      <x:c r="Y91" s="96" t="str">
        <x:f>IF($A91="","",Cadastro!N91)</x:f>
      </x:c>
      <x:c r="Z91" s="96" t="str">
        <x:f>IF($A91="","",Cadastro!O91)</x:f>
      </x:c>
      <x:c r="AA91" s="96" t="str">
        <x:f>IF($A91="","",N91+O91+U91+V91+W91+X91+Y91+Z91+L91)</x:f>
      </x:c>
      <x:c r="AB91" s="96" t="str">
        <x:f>IF($A91="","",T91-(U91+V91+W91+X91+Y91+Z91+L91))</x:f>
      </x:c>
      <x:c r="AC91" s="88" t="str">
        <x:f>IF($A91="","",SUMIFS('Importação Contabilidade'!$T$7:$T$500,'Importação Contabilidade'!$A$7:$A$500,'Parâmetros'!$B$4,'Importação Contabilidade'!$B$7:$B$500,$A91))</x:f>
      </x:c>
      <x:c r="AD91" s="88" t="str">
        <x:f>IF($A91="","",SUMIFS('Importação Contabilidade'!$U$7:$U$500,'Importação Contabilidade'!$A$7:$A$500,'Parâmetros'!$B$4,'Importação Contabilidade'!$B$7:$B$500,$A91))</x:f>
      </x:c>
      <x:c r="AE91" s="88" t="str">
        <x:f>IF($A91="","",SUMIFS('Importação Contabilidade'!$V$7:$V$500,'Importação Contabilidade'!$A$7:$A$500,'Parâmetros'!$B$4,'Importação Contabilidade'!$B$7:$B$500,$A91))</x:f>
      </x:c>
      <x:c r="AF91" s="97" t="str">
        <x:f>IF($A91="","",T91-AC91)</x:f>
      </x:c>
      <x:c r="AG91" s="97" t="str">
        <x:f>IF($A91="","",AA91-AD91)</x:f>
      </x:c>
      <x:c r="AH91" s="97" t="str">
        <x:f>IF($A91="","",AB91-AE91)</x:f>
      </x:c>
      <x:c r="AI91" s="98" t="str">
        <x:f>IF($A91="","",IF(COUNTIFS('Importação Contabilidade'!$A$7:$A$500,'Parâmetros'!$B$4,'Importação Contabilidade'!$B$7:$B$500,$A91)=0,"PENDENTE IMPORTAÇÃO",IF(AND(ABS(AF91)&lt;='Parâmetros'!$B$8,ABS(AG91)&lt;='Parâmetros'!$B$8,ABS(AH91)&lt;='Parâmetros'!$B$8),"OK","REVISAR")))</x:f>
      </x:c>
      <x:c r="AJ91" s="98" t="str">
        <x:f>IF($A91="","",IF(AI91="PENDENTE IMPORTAÇÃO","Funcionário/competência não encontrados na Importação Contabilidade",IF(AI91="OK","Sem divergência relevante",IF(ABS(AH91)&gt;=MAX(ABS(AF91),ABS(AG91)),"Revisar salário líquido",IF(ABS(AF91)&gt;=ABS(AG91),"Revisar bruto/proventos","Revisar descontos")))))</x:f>
      </x:c>
    </x:row>
    <x:row r="92">
      <x:c r="A92" s="93" t="str">
        <x:f>IF(Cadastro!A92="","",Cadastro!A92)</x:f>
      </x:c>
      <x:c r="B92" s="93" t="str">
        <x:f>IF(Cadastro!B92="","",Cadastro!B92)</x:f>
      </x:c>
      <x:c r="C92" s="93" t="str">
        <x:f>IF(Cadastro!F92="","",Cadastro!F92)</x:f>
      </x:c>
      <x:c r="D92" s="94" t="str">
        <x:f>IF(Cadastro!I92="","",Cadastro!I92)</x:f>
      </x:c>
      <x:c r="E92" s="95" t="str">
        <x:f>IF($A92="","",SUMIFS('Movimentações'!$D$2:$D$501,'Movimentações'!$A$2:$A$501,'Parâmetros'!$B$4,'Movimentações'!$B$2:$B$501,$A92,'Movimentações'!$C$2:$C$501,"Falta (dias)"))</x:f>
      </x:c>
      <x:c r="F92" s="95" t="str">
        <x:f>IF($A92="","",SUMIFS('Movimentações'!$D$2:$D$501,'Movimentações'!$A$2:$A$501,'Parâmetros'!$B$4,'Movimentações'!$B$2:$B$501,$A92,'Movimentações'!$C$2:$C$501,"HE 50% (horas)"))</x:f>
      </x:c>
      <x:c r="G92" s="95" t="str">
        <x:f>IF($A92="","",SUMIFS('Movimentações'!$D$2:$D$501,'Movimentações'!$A$2:$A$501,'Parâmetros'!$B$4,'Movimentações'!$B$2:$B$501,$A92,'Movimentações'!$C$2:$C$501,"HE 100% (horas)"))</x:f>
      </x:c>
      <x:c r="H92" s="94" t="str">
        <x:f>IF($A92="","",SUMIFS('Movimentações'!$E$2:$E$501,'Movimentações'!$A$2:$A$501,'Parâmetros'!$B$4,'Movimentações'!$B$2:$B$501,$A92,'Movimentações'!$C$2:$C$501,"Comissão"))</x:f>
      </x:c>
      <x:c r="I92" s="94" t="str">
        <x:f>IF($A92="","",SUMIFS('Movimentações'!$E$2:$E$501,'Movimentações'!$A$2:$A$501,'Parâmetros'!$B$4,'Movimentações'!$B$2:$B$501,$A92,'Movimentações'!$C$2:$C$501,"Bônus/Gratificação"))</x:f>
      </x:c>
      <x:c r="J92" s="94" t="str">
        <x:f>IF($A92="","",SUMIFS('Movimentações'!$E$2:$E$501,'Movimentações'!$A$2:$A$501,'Parâmetros'!$B$4,'Movimentações'!$B$2:$B$501,$A92,'Movimentações'!$C$2:$C$501,"Adicional"))</x:f>
      </x:c>
      <x:c r="K92" s="94" t="str">
        <x:f>IF($A92="","",SUMIFS('Movimentações'!$E$2:$E$501,'Movimentações'!$A$2:$A$501,'Parâmetros'!$B$4,'Movimentações'!$B$2:$B$501,$A92,'Movimentações'!$C$2:$C$501,"Crédito Extra"))</x:f>
      </x:c>
      <x:c r="L92" s="94" t="str">
        <x:f>IF($A92="","",SUMIFS('Movimentações'!$E$2:$E$501,'Movimentações'!$A$2:$A$501,'Parâmetros'!$B$4,'Movimentações'!$B$2:$B$501,$A92,'Movimentações'!$C$2:$C$501,"Desconto Extra"))</x:f>
      </x:c>
      <x:c r="M92" s="96" t="str">
        <x:f>IF($A92="","",D92/IF(Cadastro!J92=0,'Parâmetros'!$B$12,Cadastro!J92))</x:f>
      </x:c>
      <x:c r="N92" s="96" t="str">
        <x:f>IF($A92="","",(D92/'Parâmetros'!$B$7)*E92)</x:f>
      </x:c>
      <x:c r="O92" s="96" t="str">
        <x:f>IF($A92="","",IF(E92&gt;0,D92/'Parâmetros'!$B$7,0))</x:f>
      </x:c>
      <x:c r="P92" s="96" t="str">
        <x:f>IF($A92="","",(M92*'Parâmetros'!$B$10)*F92)</x:f>
      </x:c>
      <x:c r="Q92" s="96" t="str">
        <x:f>IF($A92="","",(M92*'Parâmetros'!$B$11)*G92)</x:f>
      </x:c>
      <x:c r="R92" s="96" t="str">
        <x:f>IF($A92="","",((P92+Q92)/'Parâmetros'!$B$5)*'Parâmetros'!$B$6)</x:f>
      </x:c>
      <x:c r="S92" s="96" t="str">
        <x:f>IF($A92="","",(H92/'Parâmetros'!$B$5)*'Parâmetros'!$B$6)</x:f>
      </x:c>
      <x:c r="T92" s="96" t="str">
        <x:f>IF($A92="","",D92-N92-O92+H92+I92+J92+K92+P92+Q92+R92+S92)</x:f>
      </x:c>
      <x:c r="U92" s="96" t="str">
        <x:f>IF($A92="","",MIN(D92*'Parâmetros'!$B$9,Cadastro!L92))</x:f>
      </x:c>
      <x:c r="V92" s="96" t="str">
        <x:f>IF($A92="","",IF(T92&lt;='Parâmetros'!$C$16,T92*'Parâmetros'!$D$16,IF(T92&lt;='Parâmetros'!$C$17,T92*'Parâmetros'!$D$17-'Parâmetros'!$E$17,IF(T92&lt;='Parâmetros'!$C$18,T92*'Parâmetros'!$D$18-'Parâmetros'!$E$18,IF(T92&lt;='Parâmetros'!$C$19,T92*'Parâmetros'!$D$19-'Parâmetros'!$E$19,'Parâmetros'!$C$19*'Parâmetros'!$D$19-'Parâmetros'!$E$19)))))</x:f>
      </x:c>
      <x:c r="W92" s="96" t="str">
        <x:f>IF($A92="","",MAX(0,((T92-V92-(Cadastro!K92*'Parâmetros'!$H$6))*'Parâmetros'!$H$4)-'Parâmetros'!$H$5))</x:f>
      </x:c>
      <x:c r="X92" s="96" t="str">
        <x:f>IF($A92="","",Cadastro!M92)</x:f>
      </x:c>
      <x:c r="Y92" s="96" t="str">
        <x:f>IF($A92="","",Cadastro!N92)</x:f>
      </x:c>
      <x:c r="Z92" s="96" t="str">
        <x:f>IF($A92="","",Cadastro!O92)</x:f>
      </x:c>
      <x:c r="AA92" s="96" t="str">
        <x:f>IF($A92="","",N92+O92+U92+V92+W92+X92+Y92+Z92+L92)</x:f>
      </x:c>
      <x:c r="AB92" s="96" t="str">
        <x:f>IF($A92="","",T92-(U92+V92+W92+X92+Y92+Z92+L92))</x:f>
      </x:c>
      <x:c r="AC92" s="88" t="str">
        <x:f>IF($A92="","",SUMIFS('Importação Contabilidade'!$T$7:$T$500,'Importação Contabilidade'!$A$7:$A$500,'Parâmetros'!$B$4,'Importação Contabilidade'!$B$7:$B$500,$A92))</x:f>
      </x:c>
      <x:c r="AD92" s="88" t="str">
        <x:f>IF($A92="","",SUMIFS('Importação Contabilidade'!$U$7:$U$500,'Importação Contabilidade'!$A$7:$A$500,'Parâmetros'!$B$4,'Importação Contabilidade'!$B$7:$B$500,$A92))</x:f>
      </x:c>
      <x:c r="AE92" s="88" t="str">
        <x:f>IF($A92="","",SUMIFS('Importação Contabilidade'!$V$7:$V$500,'Importação Contabilidade'!$A$7:$A$500,'Parâmetros'!$B$4,'Importação Contabilidade'!$B$7:$B$500,$A92))</x:f>
      </x:c>
      <x:c r="AF92" s="97" t="str">
        <x:f>IF($A92="","",T92-AC92)</x:f>
      </x:c>
      <x:c r="AG92" s="97" t="str">
        <x:f>IF($A92="","",AA92-AD92)</x:f>
      </x:c>
      <x:c r="AH92" s="97" t="str">
        <x:f>IF($A92="","",AB92-AE92)</x:f>
      </x:c>
      <x:c r="AI92" s="98" t="str">
        <x:f>IF($A92="","",IF(COUNTIFS('Importação Contabilidade'!$A$7:$A$500,'Parâmetros'!$B$4,'Importação Contabilidade'!$B$7:$B$500,$A92)=0,"PENDENTE IMPORTAÇÃO",IF(AND(ABS(AF92)&lt;='Parâmetros'!$B$8,ABS(AG92)&lt;='Parâmetros'!$B$8,ABS(AH92)&lt;='Parâmetros'!$B$8),"OK","REVISAR")))</x:f>
      </x:c>
      <x:c r="AJ92" s="98" t="str">
        <x:f>IF($A92="","",IF(AI92="PENDENTE IMPORTAÇÃO","Funcionário/competência não encontrados na Importação Contabilidade",IF(AI92="OK","Sem divergência relevante",IF(ABS(AH92)&gt;=MAX(ABS(AF92),ABS(AG92)),"Revisar salário líquido",IF(ABS(AF92)&gt;=ABS(AG92),"Revisar bruto/proventos","Revisar descontos")))))</x:f>
      </x:c>
    </x:row>
    <x:row r="93">
      <x:c r="A93" s="93" t="str">
        <x:f>IF(Cadastro!A93="","",Cadastro!A93)</x:f>
      </x:c>
      <x:c r="B93" s="93" t="str">
        <x:f>IF(Cadastro!B93="","",Cadastro!B93)</x:f>
      </x:c>
      <x:c r="C93" s="93" t="str">
        <x:f>IF(Cadastro!F93="","",Cadastro!F93)</x:f>
      </x:c>
      <x:c r="D93" s="94" t="str">
        <x:f>IF(Cadastro!I93="","",Cadastro!I93)</x:f>
      </x:c>
      <x:c r="E93" s="95" t="str">
        <x:f>IF($A93="","",SUMIFS('Movimentações'!$D$2:$D$501,'Movimentações'!$A$2:$A$501,'Parâmetros'!$B$4,'Movimentações'!$B$2:$B$501,$A93,'Movimentações'!$C$2:$C$501,"Falta (dias)"))</x:f>
      </x:c>
      <x:c r="F93" s="95" t="str">
        <x:f>IF($A93="","",SUMIFS('Movimentações'!$D$2:$D$501,'Movimentações'!$A$2:$A$501,'Parâmetros'!$B$4,'Movimentações'!$B$2:$B$501,$A93,'Movimentações'!$C$2:$C$501,"HE 50% (horas)"))</x:f>
      </x:c>
      <x:c r="G93" s="95" t="str">
        <x:f>IF($A93="","",SUMIFS('Movimentações'!$D$2:$D$501,'Movimentações'!$A$2:$A$501,'Parâmetros'!$B$4,'Movimentações'!$B$2:$B$501,$A93,'Movimentações'!$C$2:$C$501,"HE 100% (horas)"))</x:f>
      </x:c>
      <x:c r="H93" s="94" t="str">
        <x:f>IF($A93="","",SUMIFS('Movimentações'!$E$2:$E$501,'Movimentações'!$A$2:$A$501,'Parâmetros'!$B$4,'Movimentações'!$B$2:$B$501,$A93,'Movimentações'!$C$2:$C$501,"Comissão"))</x:f>
      </x:c>
      <x:c r="I93" s="94" t="str">
        <x:f>IF($A93="","",SUMIFS('Movimentações'!$E$2:$E$501,'Movimentações'!$A$2:$A$501,'Parâmetros'!$B$4,'Movimentações'!$B$2:$B$501,$A93,'Movimentações'!$C$2:$C$501,"Bônus/Gratificação"))</x:f>
      </x:c>
      <x:c r="J93" s="94" t="str">
        <x:f>IF($A93="","",SUMIFS('Movimentações'!$E$2:$E$501,'Movimentações'!$A$2:$A$501,'Parâmetros'!$B$4,'Movimentações'!$B$2:$B$501,$A93,'Movimentações'!$C$2:$C$501,"Adicional"))</x:f>
      </x:c>
      <x:c r="K93" s="94" t="str">
        <x:f>IF($A93="","",SUMIFS('Movimentações'!$E$2:$E$501,'Movimentações'!$A$2:$A$501,'Parâmetros'!$B$4,'Movimentações'!$B$2:$B$501,$A93,'Movimentações'!$C$2:$C$501,"Crédito Extra"))</x:f>
      </x:c>
      <x:c r="L93" s="94" t="str">
        <x:f>IF($A93="","",SUMIFS('Movimentações'!$E$2:$E$501,'Movimentações'!$A$2:$A$501,'Parâmetros'!$B$4,'Movimentações'!$B$2:$B$501,$A93,'Movimentações'!$C$2:$C$501,"Desconto Extra"))</x:f>
      </x:c>
      <x:c r="M93" s="96" t="str">
        <x:f>IF($A93="","",D93/IF(Cadastro!J93=0,'Parâmetros'!$B$12,Cadastro!J93))</x:f>
      </x:c>
      <x:c r="N93" s="96" t="str">
        <x:f>IF($A93="","",(D93/'Parâmetros'!$B$7)*E93)</x:f>
      </x:c>
      <x:c r="O93" s="96" t="str">
        <x:f>IF($A93="","",IF(E93&gt;0,D93/'Parâmetros'!$B$7,0))</x:f>
      </x:c>
      <x:c r="P93" s="96" t="str">
        <x:f>IF($A93="","",(M93*'Parâmetros'!$B$10)*F93)</x:f>
      </x:c>
      <x:c r="Q93" s="96" t="str">
        <x:f>IF($A93="","",(M93*'Parâmetros'!$B$11)*G93)</x:f>
      </x:c>
      <x:c r="R93" s="96" t="str">
        <x:f>IF($A93="","",((P93+Q93)/'Parâmetros'!$B$5)*'Parâmetros'!$B$6)</x:f>
      </x:c>
      <x:c r="S93" s="96" t="str">
        <x:f>IF($A93="","",(H93/'Parâmetros'!$B$5)*'Parâmetros'!$B$6)</x:f>
      </x:c>
      <x:c r="T93" s="96" t="str">
        <x:f>IF($A93="","",D93-N93-O93+H93+I93+J93+K93+P93+Q93+R93+S93)</x:f>
      </x:c>
      <x:c r="U93" s="96" t="str">
        <x:f>IF($A93="","",MIN(D93*'Parâmetros'!$B$9,Cadastro!L93))</x:f>
      </x:c>
      <x:c r="V93" s="96" t="str">
        <x:f>IF($A93="","",IF(T93&lt;='Parâmetros'!$C$16,T93*'Parâmetros'!$D$16,IF(T93&lt;='Parâmetros'!$C$17,T93*'Parâmetros'!$D$17-'Parâmetros'!$E$17,IF(T93&lt;='Parâmetros'!$C$18,T93*'Parâmetros'!$D$18-'Parâmetros'!$E$18,IF(T93&lt;='Parâmetros'!$C$19,T93*'Parâmetros'!$D$19-'Parâmetros'!$E$19,'Parâmetros'!$C$19*'Parâmetros'!$D$19-'Parâmetros'!$E$19)))))</x:f>
      </x:c>
      <x:c r="W93" s="96" t="str">
        <x:f>IF($A93="","",MAX(0,((T93-V93-(Cadastro!K93*'Parâmetros'!$H$6))*'Parâmetros'!$H$4)-'Parâmetros'!$H$5))</x:f>
      </x:c>
      <x:c r="X93" s="96" t="str">
        <x:f>IF($A93="","",Cadastro!M93)</x:f>
      </x:c>
      <x:c r="Y93" s="96" t="str">
        <x:f>IF($A93="","",Cadastro!N93)</x:f>
      </x:c>
      <x:c r="Z93" s="96" t="str">
        <x:f>IF($A93="","",Cadastro!O93)</x:f>
      </x:c>
      <x:c r="AA93" s="96" t="str">
        <x:f>IF($A93="","",N93+O93+U93+V93+W93+X93+Y93+Z93+L93)</x:f>
      </x:c>
      <x:c r="AB93" s="96" t="str">
        <x:f>IF($A93="","",T93-(U93+V93+W93+X93+Y93+Z93+L93))</x:f>
      </x:c>
      <x:c r="AC93" s="88" t="str">
        <x:f>IF($A93="","",SUMIFS('Importação Contabilidade'!$T$7:$T$500,'Importação Contabilidade'!$A$7:$A$500,'Parâmetros'!$B$4,'Importação Contabilidade'!$B$7:$B$500,$A93))</x:f>
      </x:c>
      <x:c r="AD93" s="88" t="str">
        <x:f>IF($A93="","",SUMIFS('Importação Contabilidade'!$U$7:$U$500,'Importação Contabilidade'!$A$7:$A$500,'Parâmetros'!$B$4,'Importação Contabilidade'!$B$7:$B$500,$A93))</x:f>
      </x:c>
      <x:c r="AE93" s="88" t="str">
        <x:f>IF($A93="","",SUMIFS('Importação Contabilidade'!$V$7:$V$500,'Importação Contabilidade'!$A$7:$A$500,'Parâmetros'!$B$4,'Importação Contabilidade'!$B$7:$B$500,$A93))</x:f>
      </x:c>
      <x:c r="AF93" s="97" t="str">
        <x:f>IF($A93="","",T93-AC93)</x:f>
      </x:c>
      <x:c r="AG93" s="97" t="str">
        <x:f>IF($A93="","",AA93-AD93)</x:f>
      </x:c>
      <x:c r="AH93" s="97" t="str">
        <x:f>IF($A93="","",AB93-AE93)</x:f>
      </x:c>
      <x:c r="AI93" s="98" t="str">
        <x:f>IF($A93="","",IF(COUNTIFS('Importação Contabilidade'!$A$7:$A$500,'Parâmetros'!$B$4,'Importação Contabilidade'!$B$7:$B$500,$A93)=0,"PENDENTE IMPORTAÇÃO",IF(AND(ABS(AF93)&lt;='Parâmetros'!$B$8,ABS(AG93)&lt;='Parâmetros'!$B$8,ABS(AH93)&lt;='Parâmetros'!$B$8),"OK","REVISAR")))</x:f>
      </x:c>
      <x:c r="AJ93" s="98" t="str">
        <x:f>IF($A93="","",IF(AI93="PENDENTE IMPORTAÇÃO","Funcionário/competência não encontrados na Importação Contabilidade",IF(AI93="OK","Sem divergência relevante",IF(ABS(AH93)&gt;=MAX(ABS(AF93),ABS(AG93)),"Revisar salário líquido",IF(ABS(AF93)&gt;=ABS(AG93),"Revisar bruto/proventos","Revisar descontos")))))</x:f>
      </x:c>
    </x:row>
    <x:row r="94">
      <x:c r="A94" s="93" t="str">
        <x:f>IF(Cadastro!A94="","",Cadastro!A94)</x:f>
      </x:c>
      <x:c r="B94" s="93" t="str">
        <x:f>IF(Cadastro!B94="","",Cadastro!B94)</x:f>
      </x:c>
      <x:c r="C94" s="93" t="str">
        <x:f>IF(Cadastro!F94="","",Cadastro!F94)</x:f>
      </x:c>
      <x:c r="D94" s="94" t="str">
        <x:f>IF(Cadastro!I94="","",Cadastro!I94)</x:f>
      </x:c>
      <x:c r="E94" s="95" t="str">
        <x:f>IF($A94="","",SUMIFS('Movimentações'!$D$2:$D$501,'Movimentações'!$A$2:$A$501,'Parâmetros'!$B$4,'Movimentações'!$B$2:$B$501,$A94,'Movimentações'!$C$2:$C$501,"Falta (dias)"))</x:f>
      </x:c>
      <x:c r="F94" s="95" t="str">
        <x:f>IF($A94="","",SUMIFS('Movimentações'!$D$2:$D$501,'Movimentações'!$A$2:$A$501,'Parâmetros'!$B$4,'Movimentações'!$B$2:$B$501,$A94,'Movimentações'!$C$2:$C$501,"HE 50% (horas)"))</x:f>
      </x:c>
      <x:c r="G94" s="95" t="str">
        <x:f>IF($A94="","",SUMIFS('Movimentações'!$D$2:$D$501,'Movimentações'!$A$2:$A$501,'Parâmetros'!$B$4,'Movimentações'!$B$2:$B$501,$A94,'Movimentações'!$C$2:$C$501,"HE 100% (horas)"))</x:f>
      </x:c>
      <x:c r="H94" s="94" t="str">
        <x:f>IF($A94="","",SUMIFS('Movimentações'!$E$2:$E$501,'Movimentações'!$A$2:$A$501,'Parâmetros'!$B$4,'Movimentações'!$B$2:$B$501,$A94,'Movimentações'!$C$2:$C$501,"Comissão"))</x:f>
      </x:c>
      <x:c r="I94" s="94" t="str">
        <x:f>IF($A94="","",SUMIFS('Movimentações'!$E$2:$E$501,'Movimentações'!$A$2:$A$501,'Parâmetros'!$B$4,'Movimentações'!$B$2:$B$501,$A94,'Movimentações'!$C$2:$C$501,"Bônus/Gratificação"))</x:f>
      </x:c>
      <x:c r="J94" s="94" t="str">
        <x:f>IF($A94="","",SUMIFS('Movimentações'!$E$2:$E$501,'Movimentações'!$A$2:$A$501,'Parâmetros'!$B$4,'Movimentações'!$B$2:$B$501,$A94,'Movimentações'!$C$2:$C$501,"Adicional"))</x:f>
      </x:c>
      <x:c r="K94" s="94" t="str">
        <x:f>IF($A94="","",SUMIFS('Movimentações'!$E$2:$E$501,'Movimentações'!$A$2:$A$501,'Parâmetros'!$B$4,'Movimentações'!$B$2:$B$501,$A94,'Movimentações'!$C$2:$C$501,"Crédito Extra"))</x:f>
      </x:c>
      <x:c r="L94" s="94" t="str">
        <x:f>IF($A94="","",SUMIFS('Movimentações'!$E$2:$E$501,'Movimentações'!$A$2:$A$501,'Parâmetros'!$B$4,'Movimentações'!$B$2:$B$501,$A94,'Movimentações'!$C$2:$C$501,"Desconto Extra"))</x:f>
      </x:c>
      <x:c r="M94" s="96" t="str">
        <x:f>IF($A94="","",D94/IF(Cadastro!J94=0,'Parâmetros'!$B$12,Cadastro!J94))</x:f>
      </x:c>
      <x:c r="N94" s="96" t="str">
        <x:f>IF($A94="","",(D94/'Parâmetros'!$B$7)*E94)</x:f>
      </x:c>
      <x:c r="O94" s="96" t="str">
        <x:f>IF($A94="","",IF(E94&gt;0,D94/'Parâmetros'!$B$7,0))</x:f>
      </x:c>
      <x:c r="P94" s="96" t="str">
        <x:f>IF($A94="","",(M94*'Parâmetros'!$B$10)*F94)</x:f>
      </x:c>
      <x:c r="Q94" s="96" t="str">
        <x:f>IF($A94="","",(M94*'Parâmetros'!$B$11)*G94)</x:f>
      </x:c>
      <x:c r="R94" s="96" t="str">
        <x:f>IF($A94="","",((P94+Q94)/'Parâmetros'!$B$5)*'Parâmetros'!$B$6)</x:f>
      </x:c>
      <x:c r="S94" s="96" t="str">
        <x:f>IF($A94="","",(H94/'Parâmetros'!$B$5)*'Parâmetros'!$B$6)</x:f>
      </x:c>
      <x:c r="T94" s="96" t="str">
        <x:f>IF($A94="","",D94-N94-O94+H94+I94+J94+K94+P94+Q94+R94+S94)</x:f>
      </x:c>
      <x:c r="U94" s="96" t="str">
        <x:f>IF($A94="","",MIN(D94*'Parâmetros'!$B$9,Cadastro!L94))</x:f>
      </x:c>
      <x:c r="V94" s="96" t="str">
        <x:f>IF($A94="","",IF(T94&lt;='Parâmetros'!$C$16,T94*'Parâmetros'!$D$16,IF(T94&lt;='Parâmetros'!$C$17,T94*'Parâmetros'!$D$17-'Parâmetros'!$E$17,IF(T94&lt;='Parâmetros'!$C$18,T94*'Parâmetros'!$D$18-'Parâmetros'!$E$18,IF(T94&lt;='Parâmetros'!$C$19,T94*'Parâmetros'!$D$19-'Parâmetros'!$E$19,'Parâmetros'!$C$19*'Parâmetros'!$D$19-'Parâmetros'!$E$19)))))</x:f>
      </x:c>
      <x:c r="W94" s="96" t="str">
        <x:f>IF($A94="","",MAX(0,((T94-V94-(Cadastro!K94*'Parâmetros'!$H$6))*'Parâmetros'!$H$4)-'Parâmetros'!$H$5))</x:f>
      </x:c>
      <x:c r="X94" s="96" t="str">
        <x:f>IF($A94="","",Cadastro!M94)</x:f>
      </x:c>
      <x:c r="Y94" s="96" t="str">
        <x:f>IF($A94="","",Cadastro!N94)</x:f>
      </x:c>
      <x:c r="Z94" s="96" t="str">
        <x:f>IF($A94="","",Cadastro!O94)</x:f>
      </x:c>
      <x:c r="AA94" s="96" t="str">
        <x:f>IF($A94="","",N94+O94+U94+V94+W94+X94+Y94+Z94+L94)</x:f>
      </x:c>
      <x:c r="AB94" s="96" t="str">
        <x:f>IF($A94="","",T94-(U94+V94+W94+X94+Y94+Z94+L94))</x:f>
      </x:c>
      <x:c r="AC94" s="88" t="str">
        <x:f>IF($A94="","",SUMIFS('Importação Contabilidade'!$T$7:$T$500,'Importação Contabilidade'!$A$7:$A$500,'Parâmetros'!$B$4,'Importação Contabilidade'!$B$7:$B$500,$A94))</x:f>
      </x:c>
      <x:c r="AD94" s="88" t="str">
        <x:f>IF($A94="","",SUMIFS('Importação Contabilidade'!$U$7:$U$500,'Importação Contabilidade'!$A$7:$A$500,'Parâmetros'!$B$4,'Importação Contabilidade'!$B$7:$B$500,$A94))</x:f>
      </x:c>
      <x:c r="AE94" s="88" t="str">
        <x:f>IF($A94="","",SUMIFS('Importação Contabilidade'!$V$7:$V$500,'Importação Contabilidade'!$A$7:$A$500,'Parâmetros'!$B$4,'Importação Contabilidade'!$B$7:$B$500,$A94))</x:f>
      </x:c>
      <x:c r="AF94" s="97" t="str">
        <x:f>IF($A94="","",T94-AC94)</x:f>
      </x:c>
      <x:c r="AG94" s="97" t="str">
        <x:f>IF($A94="","",AA94-AD94)</x:f>
      </x:c>
      <x:c r="AH94" s="97" t="str">
        <x:f>IF($A94="","",AB94-AE94)</x:f>
      </x:c>
      <x:c r="AI94" s="98" t="str">
        <x:f>IF($A94="","",IF(COUNTIFS('Importação Contabilidade'!$A$7:$A$500,'Parâmetros'!$B$4,'Importação Contabilidade'!$B$7:$B$500,$A94)=0,"PENDENTE IMPORTAÇÃO",IF(AND(ABS(AF94)&lt;='Parâmetros'!$B$8,ABS(AG94)&lt;='Parâmetros'!$B$8,ABS(AH94)&lt;='Parâmetros'!$B$8),"OK","REVISAR")))</x:f>
      </x:c>
      <x:c r="AJ94" s="98" t="str">
        <x:f>IF($A94="","",IF(AI94="PENDENTE IMPORTAÇÃO","Funcionário/competência não encontrados na Importação Contabilidade",IF(AI94="OK","Sem divergência relevante",IF(ABS(AH94)&gt;=MAX(ABS(AF94),ABS(AG94)),"Revisar salário líquido",IF(ABS(AF94)&gt;=ABS(AG94),"Revisar bruto/proventos","Revisar descontos")))))</x:f>
      </x:c>
    </x:row>
    <x:row r="95">
      <x:c r="A95" s="93" t="str">
        <x:f>IF(Cadastro!A95="","",Cadastro!A95)</x:f>
      </x:c>
      <x:c r="B95" s="93" t="str">
        <x:f>IF(Cadastro!B95="","",Cadastro!B95)</x:f>
      </x:c>
      <x:c r="C95" s="93" t="str">
        <x:f>IF(Cadastro!F95="","",Cadastro!F95)</x:f>
      </x:c>
      <x:c r="D95" s="94" t="str">
        <x:f>IF(Cadastro!I95="","",Cadastro!I95)</x:f>
      </x:c>
      <x:c r="E95" s="95" t="str">
        <x:f>IF($A95="","",SUMIFS('Movimentações'!$D$2:$D$501,'Movimentações'!$A$2:$A$501,'Parâmetros'!$B$4,'Movimentações'!$B$2:$B$501,$A95,'Movimentações'!$C$2:$C$501,"Falta (dias)"))</x:f>
      </x:c>
      <x:c r="F95" s="95" t="str">
        <x:f>IF($A95="","",SUMIFS('Movimentações'!$D$2:$D$501,'Movimentações'!$A$2:$A$501,'Parâmetros'!$B$4,'Movimentações'!$B$2:$B$501,$A95,'Movimentações'!$C$2:$C$501,"HE 50% (horas)"))</x:f>
      </x:c>
      <x:c r="G95" s="95" t="str">
        <x:f>IF($A95="","",SUMIFS('Movimentações'!$D$2:$D$501,'Movimentações'!$A$2:$A$501,'Parâmetros'!$B$4,'Movimentações'!$B$2:$B$501,$A95,'Movimentações'!$C$2:$C$501,"HE 100% (horas)"))</x:f>
      </x:c>
      <x:c r="H95" s="94" t="str">
        <x:f>IF($A95="","",SUMIFS('Movimentações'!$E$2:$E$501,'Movimentações'!$A$2:$A$501,'Parâmetros'!$B$4,'Movimentações'!$B$2:$B$501,$A95,'Movimentações'!$C$2:$C$501,"Comissão"))</x:f>
      </x:c>
      <x:c r="I95" s="94" t="str">
        <x:f>IF($A95="","",SUMIFS('Movimentações'!$E$2:$E$501,'Movimentações'!$A$2:$A$501,'Parâmetros'!$B$4,'Movimentações'!$B$2:$B$501,$A95,'Movimentações'!$C$2:$C$501,"Bônus/Gratificação"))</x:f>
      </x:c>
      <x:c r="J95" s="94" t="str">
        <x:f>IF($A95="","",SUMIFS('Movimentações'!$E$2:$E$501,'Movimentações'!$A$2:$A$501,'Parâmetros'!$B$4,'Movimentações'!$B$2:$B$501,$A95,'Movimentações'!$C$2:$C$501,"Adicional"))</x:f>
      </x:c>
      <x:c r="K95" s="94" t="str">
        <x:f>IF($A95="","",SUMIFS('Movimentações'!$E$2:$E$501,'Movimentações'!$A$2:$A$501,'Parâmetros'!$B$4,'Movimentações'!$B$2:$B$501,$A95,'Movimentações'!$C$2:$C$501,"Crédito Extra"))</x:f>
      </x:c>
      <x:c r="L95" s="94" t="str">
        <x:f>IF($A95="","",SUMIFS('Movimentações'!$E$2:$E$501,'Movimentações'!$A$2:$A$501,'Parâmetros'!$B$4,'Movimentações'!$B$2:$B$501,$A95,'Movimentações'!$C$2:$C$501,"Desconto Extra"))</x:f>
      </x:c>
      <x:c r="M95" s="96" t="str">
        <x:f>IF($A95="","",D95/IF(Cadastro!J95=0,'Parâmetros'!$B$12,Cadastro!J95))</x:f>
      </x:c>
      <x:c r="N95" s="96" t="str">
        <x:f>IF($A95="","",(D95/'Parâmetros'!$B$7)*E95)</x:f>
      </x:c>
      <x:c r="O95" s="96" t="str">
        <x:f>IF($A95="","",IF(E95&gt;0,D95/'Parâmetros'!$B$7,0))</x:f>
      </x:c>
      <x:c r="P95" s="96" t="str">
        <x:f>IF($A95="","",(M95*'Parâmetros'!$B$10)*F95)</x:f>
      </x:c>
      <x:c r="Q95" s="96" t="str">
        <x:f>IF($A95="","",(M95*'Parâmetros'!$B$11)*G95)</x:f>
      </x:c>
      <x:c r="R95" s="96" t="str">
        <x:f>IF($A95="","",((P95+Q95)/'Parâmetros'!$B$5)*'Parâmetros'!$B$6)</x:f>
      </x:c>
      <x:c r="S95" s="96" t="str">
        <x:f>IF($A95="","",(H95/'Parâmetros'!$B$5)*'Parâmetros'!$B$6)</x:f>
      </x:c>
      <x:c r="T95" s="96" t="str">
        <x:f>IF($A95="","",D95-N95-O95+H95+I95+J95+K95+P95+Q95+R95+S95)</x:f>
      </x:c>
      <x:c r="U95" s="96" t="str">
        <x:f>IF($A95="","",MIN(D95*'Parâmetros'!$B$9,Cadastro!L95))</x:f>
      </x:c>
      <x:c r="V95" s="96" t="str">
        <x:f>IF($A95="","",IF(T95&lt;='Parâmetros'!$C$16,T95*'Parâmetros'!$D$16,IF(T95&lt;='Parâmetros'!$C$17,T95*'Parâmetros'!$D$17-'Parâmetros'!$E$17,IF(T95&lt;='Parâmetros'!$C$18,T95*'Parâmetros'!$D$18-'Parâmetros'!$E$18,IF(T95&lt;='Parâmetros'!$C$19,T95*'Parâmetros'!$D$19-'Parâmetros'!$E$19,'Parâmetros'!$C$19*'Parâmetros'!$D$19-'Parâmetros'!$E$19)))))</x:f>
      </x:c>
      <x:c r="W95" s="96" t="str">
        <x:f>IF($A95="","",MAX(0,((T95-V95-(Cadastro!K95*'Parâmetros'!$H$6))*'Parâmetros'!$H$4)-'Parâmetros'!$H$5))</x:f>
      </x:c>
      <x:c r="X95" s="96" t="str">
        <x:f>IF($A95="","",Cadastro!M95)</x:f>
      </x:c>
      <x:c r="Y95" s="96" t="str">
        <x:f>IF($A95="","",Cadastro!N95)</x:f>
      </x:c>
      <x:c r="Z95" s="96" t="str">
        <x:f>IF($A95="","",Cadastro!O95)</x:f>
      </x:c>
      <x:c r="AA95" s="96" t="str">
        <x:f>IF($A95="","",N95+O95+U95+V95+W95+X95+Y95+Z95+L95)</x:f>
      </x:c>
      <x:c r="AB95" s="96" t="str">
        <x:f>IF($A95="","",T95-(U95+V95+W95+X95+Y95+Z95+L95))</x:f>
      </x:c>
      <x:c r="AC95" s="88" t="str">
        <x:f>IF($A95="","",SUMIFS('Importação Contabilidade'!$T$7:$T$500,'Importação Contabilidade'!$A$7:$A$500,'Parâmetros'!$B$4,'Importação Contabilidade'!$B$7:$B$500,$A95))</x:f>
      </x:c>
      <x:c r="AD95" s="88" t="str">
        <x:f>IF($A95="","",SUMIFS('Importação Contabilidade'!$U$7:$U$500,'Importação Contabilidade'!$A$7:$A$500,'Parâmetros'!$B$4,'Importação Contabilidade'!$B$7:$B$500,$A95))</x:f>
      </x:c>
      <x:c r="AE95" s="88" t="str">
        <x:f>IF($A95="","",SUMIFS('Importação Contabilidade'!$V$7:$V$500,'Importação Contabilidade'!$A$7:$A$500,'Parâmetros'!$B$4,'Importação Contabilidade'!$B$7:$B$500,$A95))</x:f>
      </x:c>
      <x:c r="AF95" s="97" t="str">
        <x:f>IF($A95="","",T95-AC95)</x:f>
      </x:c>
      <x:c r="AG95" s="97" t="str">
        <x:f>IF($A95="","",AA95-AD95)</x:f>
      </x:c>
      <x:c r="AH95" s="97" t="str">
        <x:f>IF($A95="","",AB95-AE95)</x:f>
      </x:c>
      <x:c r="AI95" s="98" t="str">
        <x:f>IF($A95="","",IF(COUNTIFS('Importação Contabilidade'!$A$7:$A$500,'Parâmetros'!$B$4,'Importação Contabilidade'!$B$7:$B$500,$A95)=0,"PENDENTE IMPORTAÇÃO",IF(AND(ABS(AF95)&lt;='Parâmetros'!$B$8,ABS(AG95)&lt;='Parâmetros'!$B$8,ABS(AH95)&lt;='Parâmetros'!$B$8),"OK","REVISAR")))</x:f>
      </x:c>
      <x:c r="AJ95" s="98" t="str">
        <x:f>IF($A95="","",IF(AI95="PENDENTE IMPORTAÇÃO","Funcionário/competência não encontrados na Importação Contabilidade",IF(AI95="OK","Sem divergência relevante",IF(ABS(AH95)&gt;=MAX(ABS(AF95),ABS(AG95)),"Revisar salário líquido",IF(ABS(AF95)&gt;=ABS(AG95),"Revisar bruto/proventos","Revisar descontos")))))</x:f>
      </x:c>
    </x:row>
    <x:row r="96">
      <x:c r="A96" s="93" t="str">
        <x:f>IF(Cadastro!A96="","",Cadastro!A96)</x:f>
      </x:c>
      <x:c r="B96" s="93" t="str">
        <x:f>IF(Cadastro!B96="","",Cadastro!B96)</x:f>
      </x:c>
      <x:c r="C96" s="93" t="str">
        <x:f>IF(Cadastro!F96="","",Cadastro!F96)</x:f>
      </x:c>
      <x:c r="D96" s="94" t="str">
        <x:f>IF(Cadastro!I96="","",Cadastro!I96)</x:f>
      </x:c>
      <x:c r="E96" s="95" t="str">
        <x:f>IF($A96="","",SUMIFS('Movimentações'!$D$2:$D$501,'Movimentações'!$A$2:$A$501,'Parâmetros'!$B$4,'Movimentações'!$B$2:$B$501,$A96,'Movimentações'!$C$2:$C$501,"Falta (dias)"))</x:f>
      </x:c>
      <x:c r="F96" s="95" t="str">
        <x:f>IF($A96="","",SUMIFS('Movimentações'!$D$2:$D$501,'Movimentações'!$A$2:$A$501,'Parâmetros'!$B$4,'Movimentações'!$B$2:$B$501,$A96,'Movimentações'!$C$2:$C$501,"HE 50% (horas)"))</x:f>
      </x:c>
      <x:c r="G96" s="95" t="str">
        <x:f>IF($A96="","",SUMIFS('Movimentações'!$D$2:$D$501,'Movimentações'!$A$2:$A$501,'Parâmetros'!$B$4,'Movimentações'!$B$2:$B$501,$A96,'Movimentações'!$C$2:$C$501,"HE 100% (horas)"))</x:f>
      </x:c>
      <x:c r="H96" s="94" t="str">
        <x:f>IF($A96="","",SUMIFS('Movimentações'!$E$2:$E$501,'Movimentações'!$A$2:$A$501,'Parâmetros'!$B$4,'Movimentações'!$B$2:$B$501,$A96,'Movimentações'!$C$2:$C$501,"Comissão"))</x:f>
      </x:c>
      <x:c r="I96" s="94" t="str">
        <x:f>IF($A96="","",SUMIFS('Movimentações'!$E$2:$E$501,'Movimentações'!$A$2:$A$501,'Parâmetros'!$B$4,'Movimentações'!$B$2:$B$501,$A96,'Movimentações'!$C$2:$C$501,"Bônus/Gratificação"))</x:f>
      </x:c>
      <x:c r="J96" s="94" t="str">
        <x:f>IF($A96="","",SUMIFS('Movimentações'!$E$2:$E$501,'Movimentações'!$A$2:$A$501,'Parâmetros'!$B$4,'Movimentações'!$B$2:$B$501,$A96,'Movimentações'!$C$2:$C$501,"Adicional"))</x:f>
      </x:c>
      <x:c r="K96" s="94" t="str">
        <x:f>IF($A96="","",SUMIFS('Movimentações'!$E$2:$E$501,'Movimentações'!$A$2:$A$501,'Parâmetros'!$B$4,'Movimentações'!$B$2:$B$501,$A96,'Movimentações'!$C$2:$C$501,"Crédito Extra"))</x:f>
      </x:c>
      <x:c r="L96" s="94" t="str">
        <x:f>IF($A96="","",SUMIFS('Movimentações'!$E$2:$E$501,'Movimentações'!$A$2:$A$501,'Parâmetros'!$B$4,'Movimentações'!$B$2:$B$501,$A96,'Movimentações'!$C$2:$C$501,"Desconto Extra"))</x:f>
      </x:c>
      <x:c r="M96" s="96" t="str">
        <x:f>IF($A96="","",D96/IF(Cadastro!J96=0,'Parâmetros'!$B$12,Cadastro!J96))</x:f>
      </x:c>
      <x:c r="N96" s="96" t="str">
        <x:f>IF($A96="","",(D96/'Parâmetros'!$B$7)*E96)</x:f>
      </x:c>
      <x:c r="O96" s="96" t="str">
        <x:f>IF($A96="","",IF(E96&gt;0,D96/'Parâmetros'!$B$7,0))</x:f>
      </x:c>
      <x:c r="P96" s="96" t="str">
        <x:f>IF($A96="","",(M96*'Parâmetros'!$B$10)*F96)</x:f>
      </x:c>
      <x:c r="Q96" s="96" t="str">
        <x:f>IF($A96="","",(M96*'Parâmetros'!$B$11)*G96)</x:f>
      </x:c>
      <x:c r="R96" s="96" t="str">
        <x:f>IF($A96="","",((P96+Q96)/'Parâmetros'!$B$5)*'Parâmetros'!$B$6)</x:f>
      </x:c>
      <x:c r="S96" s="96" t="str">
        <x:f>IF($A96="","",(H96/'Parâmetros'!$B$5)*'Parâmetros'!$B$6)</x:f>
      </x:c>
      <x:c r="T96" s="96" t="str">
        <x:f>IF($A96="","",D96-N96-O96+H96+I96+J96+K96+P96+Q96+R96+S96)</x:f>
      </x:c>
      <x:c r="U96" s="96" t="str">
        <x:f>IF($A96="","",MIN(D96*'Parâmetros'!$B$9,Cadastro!L96))</x:f>
      </x:c>
      <x:c r="V96" s="96" t="str">
        <x:f>IF($A96="","",IF(T96&lt;='Parâmetros'!$C$16,T96*'Parâmetros'!$D$16,IF(T96&lt;='Parâmetros'!$C$17,T96*'Parâmetros'!$D$17-'Parâmetros'!$E$17,IF(T96&lt;='Parâmetros'!$C$18,T96*'Parâmetros'!$D$18-'Parâmetros'!$E$18,IF(T96&lt;='Parâmetros'!$C$19,T96*'Parâmetros'!$D$19-'Parâmetros'!$E$19,'Parâmetros'!$C$19*'Parâmetros'!$D$19-'Parâmetros'!$E$19)))))</x:f>
      </x:c>
      <x:c r="W96" s="96" t="str">
        <x:f>IF($A96="","",MAX(0,((T96-V96-(Cadastro!K96*'Parâmetros'!$H$6))*'Parâmetros'!$H$4)-'Parâmetros'!$H$5))</x:f>
      </x:c>
      <x:c r="X96" s="96" t="str">
        <x:f>IF($A96="","",Cadastro!M96)</x:f>
      </x:c>
      <x:c r="Y96" s="96" t="str">
        <x:f>IF($A96="","",Cadastro!N96)</x:f>
      </x:c>
      <x:c r="Z96" s="96" t="str">
        <x:f>IF($A96="","",Cadastro!O96)</x:f>
      </x:c>
      <x:c r="AA96" s="96" t="str">
        <x:f>IF($A96="","",N96+O96+U96+V96+W96+X96+Y96+Z96+L96)</x:f>
      </x:c>
      <x:c r="AB96" s="96" t="str">
        <x:f>IF($A96="","",T96-(U96+V96+W96+X96+Y96+Z96+L96))</x:f>
      </x:c>
      <x:c r="AC96" s="88" t="str">
        <x:f>IF($A96="","",SUMIFS('Importação Contabilidade'!$T$7:$T$500,'Importação Contabilidade'!$A$7:$A$500,'Parâmetros'!$B$4,'Importação Contabilidade'!$B$7:$B$500,$A96))</x:f>
      </x:c>
      <x:c r="AD96" s="88" t="str">
        <x:f>IF($A96="","",SUMIFS('Importação Contabilidade'!$U$7:$U$500,'Importação Contabilidade'!$A$7:$A$500,'Parâmetros'!$B$4,'Importação Contabilidade'!$B$7:$B$500,$A96))</x:f>
      </x:c>
      <x:c r="AE96" s="88" t="str">
        <x:f>IF($A96="","",SUMIFS('Importação Contabilidade'!$V$7:$V$500,'Importação Contabilidade'!$A$7:$A$500,'Parâmetros'!$B$4,'Importação Contabilidade'!$B$7:$B$500,$A96))</x:f>
      </x:c>
      <x:c r="AF96" s="97" t="str">
        <x:f>IF($A96="","",T96-AC96)</x:f>
      </x:c>
      <x:c r="AG96" s="97" t="str">
        <x:f>IF($A96="","",AA96-AD96)</x:f>
      </x:c>
      <x:c r="AH96" s="97" t="str">
        <x:f>IF($A96="","",AB96-AE96)</x:f>
      </x:c>
      <x:c r="AI96" s="98" t="str">
        <x:f>IF($A96="","",IF(COUNTIFS('Importação Contabilidade'!$A$7:$A$500,'Parâmetros'!$B$4,'Importação Contabilidade'!$B$7:$B$500,$A96)=0,"PENDENTE IMPORTAÇÃO",IF(AND(ABS(AF96)&lt;='Parâmetros'!$B$8,ABS(AG96)&lt;='Parâmetros'!$B$8,ABS(AH96)&lt;='Parâmetros'!$B$8),"OK","REVISAR")))</x:f>
      </x:c>
      <x:c r="AJ96" s="98" t="str">
        <x:f>IF($A96="","",IF(AI96="PENDENTE IMPORTAÇÃO","Funcionário/competência não encontrados na Importação Contabilidade",IF(AI96="OK","Sem divergência relevante",IF(ABS(AH96)&gt;=MAX(ABS(AF96),ABS(AG96)),"Revisar salário líquido",IF(ABS(AF96)&gt;=ABS(AG96),"Revisar bruto/proventos","Revisar descontos")))))</x:f>
      </x:c>
    </x:row>
    <x:row r="97">
      <x:c r="A97" s="93" t="str">
        <x:f>IF(Cadastro!A97="","",Cadastro!A97)</x:f>
      </x:c>
      <x:c r="B97" s="93" t="str">
        <x:f>IF(Cadastro!B97="","",Cadastro!B97)</x:f>
      </x:c>
      <x:c r="C97" s="93" t="str">
        <x:f>IF(Cadastro!F97="","",Cadastro!F97)</x:f>
      </x:c>
      <x:c r="D97" s="94" t="str">
        <x:f>IF(Cadastro!I97="","",Cadastro!I97)</x:f>
      </x:c>
      <x:c r="E97" s="95" t="str">
        <x:f>IF($A97="","",SUMIFS('Movimentações'!$D$2:$D$501,'Movimentações'!$A$2:$A$501,'Parâmetros'!$B$4,'Movimentações'!$B$2:$B$501,$A97,'Movimentações'!$C$2:$C$501,"Falta (dias)"))</x:f>
      </x:c>
      <x:c r="F97" s="95" t="str">
        <x:f>IF($A97="","",SUMIFS('Movimentações'!$D$2:$D$501,'Movimentações'!$A$2:$A$501,'Parâmetros'!$B$4,'Movimentações'!$B$2:$B$501,$A97,'Movimentações'!$C$2:$C$501,"HE 50% (horas)"))</x:f>
      </x:c>
      <x:c r="G97" s="95" t="str">
        <x:f>IF($A97="","",SUMIFS('Movimentações'!$D$2:$D$501,'Movimentações'!$A$2:$A$501,'Parâmetros'!$B$4,'Movimentações'!$B$2:$B$501,$A97,'Movimentações'!$C$2:$C$501,"HE 100% (horas)"))</x:f>
      </x:c>
      <x:c r="H97" s="94" t="str">
        <x:f>IF($A97="","",SUMIFS('Movimentações'!$E$2:$E$501,'Movimentações'!$A$2:$A$501,'Parâmetros'!$B$4,'Movimentações'!$B$2:$B$501,$A97,'Movimentações'!$C$2:$C$501,"Comissão"))</x:f>
      </x:c>
      <x:c r="I97" s="94" t="str">
        <x:f>IF($A97="","",SUMIFS('Movimentações'!$E$2:$E$501,'Movimentações'!$A$2:$A$501,'Parâmetros'!$B$4,'Movimentações'!$B$2:$B$501,$A97,'Movimentações'!$C$2:$C$501,"Bônus/Gratificação"))</x:f>
      </x:c>
      <x:c r="J97" s="94" t="str">
        <x:f>IF($A97="","",SUMIFS('Movimentações'!$E$2:$E$501,'Movimentações'!$A$2:$A$501,'Parâmetros'!$B$4,'Movimentações'!$B$2:$B$501,$A97,'Movimentações'!$C$2:$C$501,"Adicional"))</x:f>
      </x:c>
      <x:c r="K97" s="94" t="str">
        <x:f>IF($A97="","",SUMIFS('Movimentações'!$E$2:$E$501,'Movimentações'!$A$2:$A$501,'Parâmetros'!$B$4,'Movimentações'!$B$2:$B$501,$A97,'Movimentações'!$C$2:$C$501,"Crédito Extra"))</x:f>
      </x:c>
      <x:c r="L97" s="94" t="str">
        <x:f>IF($A97="","",SUMIFS('Movimentações'!$E$2:$E$501,'Movimentações'!$A$2:$A$501,'Parâmetros'!$B$4,'Movimentações'!$B$2:$B$501,$A97,'Movimentações'!$C$2:$C$501,"Desconto Extra"))</x:f>
      </x:c>
      <x:c r="M97" s="96" t="str">
        <x:f>IF($A97="","",D97/IF(Cadastro!J97=0,'Parâmetros'!$B$12,Cadastro!J97))</x:f>
      </x:c>
      <x:c r="N97" s="96" t="str">
        <x:f>IF($A97="","",(D97/'Parâmetros'!$B$7)*E97)</x:f>
      </x:c>
      <x:c r="O97" s="96" t="str">
        <x:f>IF($A97="","",IF(E97&gt;0,D97/'Parâmetros'!$B$7,0))</x:f>
      </x:c>
      <x:c r="P97" s="96" t="str">
        <x:f>IF($A97="","",(M97*'Parâmetros'!$B$10)*F97)</x:f>
      </x:c>
      <x:c r="Q97" s="96" t="str">
        <x:f>IF($A97="","",(M97*'Parâmetros'!$B$11)*G97)</x:f>
      </x:c>
      <x:c r="R97" s="96" t="str">
        <x:f>IF($A97="","",((P97+Q97)/'Parâmetros'!$B$5)*'Parâmetros'!$B$6)</x:f>
      </x:c>
      <x:c r="S97" s="96" t="str">
        <x:f>IF($A97="","",(H97/'Parâmetros'!$B$5)*'Parâmetros'!$B$6)</x:f>
      </x:c>
      <x:c r="T97" s="96" t="str">
        <x:f>IF($A97="","",D97-N97-O97+H97+I97+J97+K97+P97+Q97+R97+S97)</x:f>
      </x:c>
      <x:c r="U97" s="96" t="str">
        <x:f>IF($A97="","",MIN(D97*'Parâmetros'!$B$9,Cadastro!L97))</x:f>
      </x:c>
      <x:c r="V97" s="96" t="str">
        <x:f>IF($A97="","",IF(T97&lt;='Parâmetros'!$C$16,T97*'Parâmetros'!$D$16,IF(T97&lt;='Parâmetros'!$C$17,T97*'Parâmetros'!$D$17-'Parâmetros'!$E$17,IF(T97&lt;='Parâmetros'!$C$18,T97*'Parâmetros'!$D$18-'Parâmetros'!$E$18,IF(T97&lt;='Parâmetros'!$C$19,T97*'Parâmetros'!$D$19-'Parâmetros'!$E$19,'Parâmetros'!$C$19*'Parâmetros'!$D$19-'Parâmetros'!$E$19)))))</x:f>
      </x:c>
      <x:c r="W97" s="96" t="str">
        <x:f>IF($A97="","",MAX(0,((T97-V97-(Cadastro!K97*'Parâmetros'!$H$6))*'Parâmetros'!$H$4)-'Parâmetros'!$H$5))</x:f>
      </x:c>
      <x:c r="X97" s="96" t="str">
        <x:f>IF($A97="","",Cadastro!M97)</x:f>
      </x:c>
      <x:c r="Y97" s="96" t="str">
        <x:f>IF($A97="","",Cadastro!N97)</x:f>
      </x:c>
      <x:c r="Z97" s="96" t="str">
        <x:f>IF($A97="","",Cadastro!O97)</x:f>
      </x:c>
      <x:c r="AA97" s="96" t="str">
        <x:f>IF($A97="","",N97+O97+U97+V97+W97+X97+Y97+Z97+L97)</x:f>
      </x:c>
      <x:c r="AB97" s="96" t="str">
        <x:f>IF($A97="","",T97-(U97+V97+W97+X97+Y97+Z97+L97))</x:f>
      </x:c>
      <x:c r="AC97" s="88" t="str">
        <x:f>IF($A97="","",SUMIFS('Importação Contabilidade'!$T$7:$T$500,'Importação Contabilidade'!$A$7:$A$500,'Parâmetros'!$B$4,'Importação Contabilidade'!$B$7:$B$500,$A97))</x:f>
      </x:c>
      <x:c r="AD97" s="88" t="str">
        <x:f>IF($A97="","",SUMIFS('Importação Contabilidade'!$U$7:$U$500,'Importação Contabilidade'!$A$7:$A$500,'Parâmetros'!$B$4,'Importação Contabilidade'!$B$7:$B$500,$A97))</x:f>
      </x:c>
      <x:c r="AE97" s="88" t="str">
        <x:f>IF($A97="","",SUMIFS('Importação Contabilidade'!$V$7:$V$500,'Importação Contabilidade'!$A$7:$A$500,'Parâmetros'!$B$4,'Importação Contabilidade'!$B$7:$B$500,$A97))</x:f>
      </x:c>
      <x:c r="AF97" s="97" t="str">
        <x:f>IF($A97="","",T97-AC97)</x:f>
      </x:c>
      <x:c r="AG97" s="97" t="str">
        <x:f>IF($A97="","",AA97-AD97)</x:f>
      </x:c>
      <x:c r="AH97" s="97" t="str">
        <x:f>IF($A97="","",AB97-AE97)</x:f>
      </x:c>
      <x:c r="AI97" s="98" t="str">
        <x:f>IF($A97="","",IF(COUNTIFS('Importação Contabilidade'!$A$7:$A$500,'Parâmetros'!$B$4,'Importação Contabilidade'!$B$7:$B$500,$A97)=0,"PENDENTE IMPORTAÇÃO",IF(AND(ABS(AF97)&lt;='Parâmetros'!$B$8,ABS(AG97)&lt;='Parâmetros'!$B$8,ABS(AH97)&lt;='Parâmetros'!$B$8),"OK","REVISAR")))</x:f>
      </x:c>
      <x:c r="AJ97" s="98" t="str">
        <x:f>IF($A97="","",IF(AI97="PENDENTE IMPORTAÇÃO","Funcionário/competência não encontrados na Importação Contabilidade",IF(AI97="OK","Sem divergência relevante",IF(ABS(AH97)&gt;=MAX(ABS(AF97),ABS(AG97)),"Revisar salário líquido",IF(ABS(AF97)&gt;=ABS(AG97),"Revisar bruto/proventos","Revisar descontos")))))</x:f>
      </x:c>
    </x:row>
    <x:row r="98">
      <x:c r="A98" s="93" t="str">
        <x:f>IF(Cadastro!A98="","",Cadastro!A98)</x:f>
      </x:c>
      <x:c r="B98" s="93" t="str">
        <x:f>IF(Cadastro!B98="","",Cadastro!B98)</x:f>
      </x:c>
      <x:c r="C98" s="93" t="str">
        <x:f>IF(Cadastro!F98="","",Cadastro!F98)</x:f>
      </x:c>
      <x:c r="D98" s="94" t="str">
        <x:f>IF(Cadastro!I98="","",Cadastro!I98)</x:f>
      </x:c>
      <x:c r="E98" s="95" t="str">
        <x:f>IF($A98="","",SUMIFS('Movimentações'!$D$2:$D$501,'Movimentações'!$A$2:$A$501,'Parâmetros'!$B$4,'Movimentações'!$B$2:$B$501,$A98,'Movimentações'!$C$2:$C$501,"Falta (dias)"))</x:f>
      </x:c>
      <x:c r="F98" s="95" t="str">
        <x:f>IF($A98="","",SUMIFS('Movimentações'!$D$2:$D$501,'Movimentações'!$A$2:$A$501,'Parâmetros'!$B$4,'Movimentações'!$B$2:$B$501,$A98,'Movimentações'!$C$2:$C$501,"HE 50% (horas)"))</x:f>
      </x:c>
      <x:c r="G98" s="95" t="str">
        <x:f>IF($A98="","",SUMIFS('Movimentações'!$D$2:$D$501,'Movimentações'!$A$2:$A$501,'Parâmetros'!$B$4,'Movimentações'!$B$2:$B$501,$A98,'Movimentações'!$C$2:$C$501,"HE 100% (horas)"))</x:f>
      </x:c>
      <x:c r="H98" s="94" t="str">
        <x:f>IF($A98="","",SUMIFS('Movimentações'!$E$2:$E$501,'Movimentações'!$A$2:$A$501,'Parâmetros'!$B$4,'Movimentações'!$B$2:$B$501,$A98,'Movimentações'!$C$2:$C$501,"Comissão"))</x:f>
      </x:c>
      <x:c r="I98" s="94" t="str">
        <x:f>IF($A98="","",SUMIFS('Movimentações'!$E$2:$E$501,'Movimentações'!$A$2:$A$501,'Parâmetros'!$B$4,'Movimentações'!$B$2:$B$501,$A98,'Movimentações'!$C$2:$C$501,"Bônus/Gratificação"))</x:f>
      </x:c>
      <x:c r="J98" s="94" t="str">
        <x:f>IF($A98="","",SUMIFS('Movimentações'!$E$2:$E$501,'Movimentações'!$A$2:$A$501,'Parâmetros'!$B$4,'Movimentações'!$B$2:$B$501,$A98,'Movimentações'!$C$2:$C$501,"Adicional"))</x:f>
      </x:c>
      <x:c r="K98" s="94" t="str">
        <x:f>IF($A98="","",SUMIFS('Movimentações'!$E$2:$E$501,'Movimentações'!$A$2:$A$501,'Parâmetros'!$B$4,'Movimentações'!$B$2:$B$501,$A98,'Movimentações'!$C$2:$C$501,"Crédito Extra"))</x:f>
      </x:c>
      <x:c r="L98" s="94" t="str">
        <x:f>IF($A98="","",SUMIFS('Movimentações'!$E$2:$E$501,'Movimentações'!$A$2:$A$501,'Parâmetros'!$B$4,'Movimentações'!$B$2:$B$501,$A98,'Movimentações'!$C$2:$C$501,"Desconto Extra"))</x:f>
      </x:c>
      <x:c r="M98" s="96" t="str">
        <x:f>IF($A98="","",D98/IF(Cadastro!J98=0,'Parâmetros'!$B$12,Cadastro!J98))</x:f>
      </x:c>
      <x:c r="N98" s="96" t="str">
        <x:f>IF($A98="","",(D98/'Parâmetros'!$B$7)*E98)</x:f>
      </x:c>
      <x:c r="O98" s="96" t="str">
        <x:f>IF($A98="","",IF(E98&gt;0,D98/'Parâmetros'!$B$7,0))</x:f>
      </x:c>
      <x:c r="P98" s="96" t="str">
        <x:f>IF($A98="","",(M98*'Parâmetros'!$B$10)*F98)</x:f>
      </x:c>
      <x:c r="Q98" s="96" t="str">
        <x:f>IF($A98="","",(M98*'Parâmetros'!$B$11)*G98)</x:f>
      </x:c>
      <x:c r="R98" s="96" t="str">
        <x:f>IF($A98="","",((P98+Q98)/'Parâmetros'!$B$5)*'Parâmetros'!$B$6)</x:f>
      </x:c>
      <x:c r="S98" s="96" t="str">
        <x:f>IF($A98="","",(H98/'Parâmetros'!$B$5)*'Parâmetros'!$B$6)</x:f>
      </x:c>
      <x:c r="T98" s="96" t="str">
        <x:f>IF($A98="","",D98-N98-O98+H98+I98+J98+K98+P98+Q98+R98+S98)</x:f>
      </x:c>
      <x:c r="U98" s="96" t="str">
        <x:f>IF($A98="","",MIN(D98*'Parâmetros'!$B$9,Cadastro!L98))</x:f>
      </x:c>
      <x:c r="V98" s="96" t="str">
        <x:f>IF($A98="","",IF(T98&lt;='Parâmetros'!$C$16,T98*'Parâmetros'!$D$16,IF(T98&lt;='Parâmetros'!$C$17,T98*'Parâmetros'!$D$17-'Parâmetros'!$E$17,IF(T98&lt;='Parâmetros'!$C$18,T98*'Parâmetros'!$D$18-'Parâmetros'!$E$18,IF(T98&lt;='Parâmetros'!$C$19,T98*'Parâmetros'!$D$19-'Parâmetros'!$E$19,'Parâmetros'!$C$19*'Parâmetros'!$D$19-'Parâmetros'!$E$19)))))</x:f>
      </x:c>
      <x:c r="W98" s="96" t="str">
        <x:f>IF($A98="","",MAX(0,((T98-V98-(Cadastro!K98*'Parâmetros'!$H$6))*'Parâmetros'!$H$4)-'Parâmetros'!$H$5))</x:f>
      </x:c>
      <x:c r="X98" s="96" t="str">
        <x:f>IF($A98="","",Cadastro!M98)</x:f>
      </x:c>
      <x:c r="Y98" s="96" t="str">
        <x:f>IF($A98="","",Cadastro!N98)</x:f>
      </x:c>
      <x:c r="Z98" s="96" t="str">
        <x:f>IF($A98="","",Cadastro!O98)</x:f>
      </x:c>
      <x:c r="AA98" s="96" t="str">
        <x:f>IF($A98="","",N98+O98+U98+V98+W98+X98+Y98+Z98+L98)</x:f>
      </x:c>
      <x:c r="AB98" s="96" t="str">
        <x:f>IF($A98="","",T98-(U98+V98+W98+X98+Y98+Z98+L98))</x:f>
      </x:c>
      <x:c r="AC98" s="88" t="str">
        <x:f>IF($A98="","",SUMIFS('Importação Contabilidade'!$T$7:$T$500,'Importação Contabilidade'!$A$7:$A$500,'Parâmetros'!$B$4,'Importação Contabilidade'!$B$7:$B$500,$A98))</x:f>
      </x:c>
      <x:c r="AD98" s="88" t="str">
        <x:f>IF($A98="","",SUMIFS('Importação Contabilidade'!$U$7:$U$500,'Importação Contabilidade'!$A$7:$A$500,'Parâmetros'!$B$4,'Importação Contabilidade'!$B$7:$B$500,$A98))</x:f>
      </x:c>
      <x:c r="AE98" s="88" t="str">
        <x:f>IF($A98="","",SUMIFS('Importação Contabilidade'!$V$7:$V$500,'Importação Contabilidade'!$A$7:$A$500,'Parâmetros'!$B$4,'Importação Contabilidade'!$B$7:$B$500,$A98))</x:f>
      </x:c>
      <x:c r="AF98" s="97" t="str">
        <x:f>IF($A98="","",T98-AC98)</x:f>
      </x:c>
      <x:c r="AG98" s="97" t="str">
        <x:f>IF($A98="","",AA98-AD98)</x:f>
      </x:c>
      <x:c r="AH98" s="97" t="str">
        <x:f>IF($A98="","",AB98-AE98)</x:f>
      </x:c>
      <x:c r="AI98" s="98" t="str">
        <x:f>IF($A98="","",IF(COUNTIFS('Importação Contabilidade'!$A$7:$A$500,'Parâmetros'!$B$4,'Importação Contabilidade'!$B$7:$B$500,$A98)=0,"PENDENTE IMPORTAÇÃO",IF(AND(ABS(AF98)&lt;='Parâmetros'!$B$8,ABS(AG98)&lt;='Parâmetros'!$B$8,ABS(AH98)&lt;='Parâmetros'!$B$8),"OK","REVISAR")))</x:f>
      </x:c>
      <x:c r="AJ98" s="98" t="str">
        <x:f>IF($A98="","",IF(AI98="PENDENTE IMPORTAÇÃO","Funcionário/competência não encontrados na Importação Contabilidade",IF(AI98="OK","Sem divergência relevante",IF(ABS(AH98)&gt;=MAX(ABS(AF98),ABS(AG98)),"Revisar salário líquido",IF(ABS(AF98)&gt;=ABS(AG98),"Revisar bruto/proventos","Revisar descontos")))))</x:f>
      </x:c>
    </x:row>
    <x:row r="99">
      <x:c r="A99" s="93" t="str">
        <x:f>IF(Cadastro!A99="","",Cadastro!A99)</x:f>
      </x:c>
      <x:c r="B99" s="93" t="str">
        <x:f>IF(Cadastro!B99="","",Cadastro!B99)</x:f>
      </x:c>
      <x:c r="C99" s="93" t="str">
        <x:f>IF(Cadastro!F99="","",Cadastro!F99)</x:f>
      </x:c>
      <x:c r="D99" s="94" t="str">
        <x:f>IF(Cadastro!I99="","",Cadastro!I99)</x:f>
      </x:c>
      <x:c r="E99" s="95" t="str">
        <x:f>IF($A99="","",SUMIFS('Movimentações'!$D$2:$D$501,'Movimentações'!$A$2:$A$501,'Parâmetros'!$B$4,'Movimentações'!$B$2:$B$501,$A99,'Movimentações'!$C$2:$C$501,"Falta (dias)"))</x:f>
      </x:c>
      <x:c r="F99" s="95" t="str">
        <x:f>IF($A99="","",SUMIFS('Movimentações'!$D$2:$D$501,'Movimentações'!$A$2:$A$501,'Parâmetros'!$B$4,'Movimentações'!$B$2:$B$501,$A99,'Movimentações'!$C$2:$C$501,"HE 50% (horas)"))</x:f>
      </x:c>
      <x:c r="G99" s="95" t="str">
        <x:f>IF($A99="","",SUMIFS('Movimentações'!$D$2:$D$501,'Movimentações'!$A$2:$A$501,'Parâmetros'!$B$4,'Movimentações'!$B$2:$B$501,$A99,'Movimentações'!$C$2:$C$501,"HE 100% (horas)"))</x:f>
      </x:c>
      <x:c r="H99" s="94" t="str">
        <x:f>IF($A99="","",SUMIFS('Movimentações'!$E$2:$E$501,'Movimentações'!$A$2:$A$501,'Parâmetros'!$B$4,'Movimentações'!$B$2:$B$501,$A99,'Movimentações'!$C$2:$C$501,"Comissão"))</x:f>
      </x:c>
      <x:c r="I99" s="94" t="str">
        <x:f>IF($A99="","",SUMIFS('Movimentações'!$E$2:$E$501,'Movimentações'!$A$2:$A$501,'Parâmetros'!$B$4,'Movimentações'!$B$2:$B$501,$A99,'Movimentações'!$C$2:$C$501,"Bônus/Gratificação"))</x:f>
      </x:c>
      <x:c r="J99" s="94" t="str">
        <x:f>IF($A99="","",SUMIFS('Movimentações'!$E$2:$E$501,'Movimentações'!$A$2:$A$501,'Parâmetros'!$B$4,'Movimentações'!$B$2:$B$501,$A99,'Movimentações'!$C$2:$C$501,"Adicional"))</x:f>
      </x:c>
      <x:c r="K99" s="94" t="str">
        <x:f>IF($A99="","",SUMIFS('Movimentações'!$E$2:$E$501,'Movimentações'!$A$2:$A$501,'Parâmetros'!$B$4,'Movimentações'!$B$2:$B$501,$A99,'Movimentações'!$C$2:$C$501,"Crédito Extra"))</x:f>
      </x:c>
      <x:c r="L99" s="94" t="str">
        <x:f>IF($A99="","",SUMIFS('Movimentações'!$E$2:$E$501,'Movimentações'!$A$2:$A$501,'Parâmetros'!$B$4,'Movimentações'!$B$2:$B$501,$A99,'Movimentações'!$C$2:$C$501,"Desconto Extra"))</x:f>
      </x:c>
      <x:c r="M99" s="96" t="str">
        <x:f>IF($A99="","",D99/IF(Cadastro!J99=0,'Parâmetros'!$B$12,Cadastro!J99))</x:f>
      </x:c>
      <x:c r="N99" s="96" t="str">
        <x:f>IF($A99="","",(D99/'Parâmetros'!$B$7)*E99)</x:f>
      </x:c>
      <x:c r="O99" s="96" t="str">
        <x:f>IF($A99="","",IF(E99&gt;0,D99/'Parâmetros'!$B$7,0))</x:f>
      </x:c>
      <x:c r="P99" s="96" t="str">
        <x:f>IF($A99="","",(M99*'Parâmetros'!$B$10)*F99)</x:f>
      </x:c>
      <x:c r="Q99" s="96" t="str">
        <x:f>IF($A99="","",(M99*'Parâmetros'!$B$11)*G99)</x:f>
      </x:c>
      <x:c r="R99" s="96" t="str">
        <x:f>IF($A99="","",((P99+Q99)/'Parâmetros'!$B$5)*'Parâmetros'!$B$6)</x:f>
      </x:c>
      <x:c r="S99" s="96" t="str">
        <x:f>IF($A99="","",(H99/'Parâmetros'!$B$5)*'Parâmetros'!$B$6)</x:f>
      </x:c>
      <x:c r="T99" s="96" t="str">
        <x:f>IF($A99="","",D99-N99-O99+H99+I99+J99+K99+P99+Q99+R99+S99)</x:f>
      </x:c>
      <x:c r="U99" s="96" t="str">
        <x:f>IF($A99="","",MIN(D99*'Parâmetros'!$B$9,Cadastro!L99))</x:f>
      </x:c>
      <x:c r="V99" s="96" t="str">
        <x:f>IF($A99="","",IF(T99&lt;='Parâmetros'!$C$16,T99*'Parâmetros'!$D$16,IF(T99&lt;='Parâmetros'!$C$17,T99*'Parâmetros'!$D$17-'Parâmetros'!$E$17,IF(T99&lt;='Parâmetros'!$C$18,T99*'Parâmetros'!$D$18-'Parâmetros'!$E$18,IF(T99&lt;='Parâmetros'!$C$19,T99*'Parâmetros'!$D$19-'Parâmetros'!$E$19,'Parâmetros'!$C$19*'Parâmetros'!$D$19-'Parâmetros'!$E$19)))))</x:f>
      </x:c>
      <x:c r="W99" s="96" t="str">
        <x:f>IF($A99="","",MAX(0,((T99-V99-(Cadastro!K99*'Parâmetros'!$H$6))*'Parâmetros'!$H$4)-'Parâmetros'!$H$5))</x:f>
      </x:c>
      <x:c r="X99" s="96" t="str">
        <x:f>IF($A99="","",Cadastro!M99)</x:f>
      </x:c>
      <x:c r="Y99" s="96" t="str">
        <x:f>IF($A99="","",Cadastro!N99)</x:f>
      </x:c>
      <x:c r="Z99" s="96" t="str">
        <x:f>IF($A99="","",Cadastro!O99)</x:f>
      </x:c>
      <x:c r="AA99" s="96" t="str">
        <x:f>IF($A99="","",N99+O99+U99+V99+W99+X99+Y99+Z99+L99)</x:f>
      </x:c>
      <x:c r="AB99" s="96" t="str">
        <x:f>IF($A99="","",T99-(U99+V99+W99+X99+Y99+Z99+L99))</x:f>
      </x:c>
      <x:c r="AC99" s="88" t="str">
        <x:f>IF($A99="","",SUMIFS('Importação Contabilidade'!$T$7:$T$500,'Importação Contabilidade'!$A$7:$A$500,'Parâmetros'!$B$4,'Importação Contabilidade'!$B$7:$B$500,$A99))</x:f>
      </x:c>
      <x:c r="AD99" s="88" t="str">
        <x:f>IF($A99="","",SUMIFS('Importação Contabilidade'!$U$7:$U$500,'Importação Contabilidade'!$A$7:$A$500,'Parâmetros'!$B$4,'Importação Contabilidade'!$B$7:$B$500,$A99))</x:f>
      </x:c>
      <x:c r="AE99" s="88" t="str">
        <x:f>IF($A99="","",SUMIFS('Importação Contabilidade'!$V$7:$V$500,'Importação Contabilidade'!$A$7:$A$500,'Parâmetros'!$B$4,'Importação Contabilidade'!$B$7:$B$500,$A99))</x:f>
      </x:c>
      <x:c r="AF99" s="97" t="str">
        <x:f>IF($A99="","",T99-AC99)</x:f>
      </x:c>
      <x:c r="AG99" s="97" t="str">
        <x:f>IF($A99="","",AA99-AD99)</x:f>
      </x:c>
      <x:c r="AH99" s="97" t="str">
        <x:f>IF($A99="","",AB99-AE99)</x:f>
      </x:c>
      <x:c r="AI99" s="98" t="str">
        <x:f>IF($A99="","",IF(COUNTIFS('Importação Contabilidade'!$A$7:$A$500,'Parâmetros'!$B$4,'Importação Contabilidade'!$B$7:$B$500,$A99)=0,"PENDENTE IMPORTAÇÃO",IF(AND(ABS(AF99)&lt;='Parâmetros'!$B$8,ABS(AG99)&lt;='Parâmetros'!$B$8,ABS(AH99)&lt;='Parâmetros'!$B$8),"OK","REVISAR")))</x:f>
      </x:c>
      <x:c r="AJ99" s="98" t="str">
        <x:f>IF($A99="","",IF(AI99="PENDENTE IMPORTAÇÃO","Funcionário/competência não encontrados na Importação Contabilidade",IF(AI99="OK","Sem divergência relevante",IF(ABS(AH99)&gt;=MAX(ABS(AF99),ABS(AG99)),"Revisar salário líquido",IF(ABS(AF99)&gt;=ABS(AG99),"Revisar bruto/proventos","Revisar descontos")))))</x:f>
      </x:c>
    </x:row>
    <x:row r="100">
      <x:c r="A100" s="93" t="str">
        <x:f>IF(Cadastro!A100="","",Cadastro!A100)</x:f>
      </x:c>
      <x:c r="B100" s="93" t="str">
        <x:f>IF(Cadastro!B100="","",Cadastro!B100)</x:f>
      </x:c>
      <x:c r="C100" s="93" t="str">
        <x:f>IF(Cadastro!F100="","",Cadastro!F100)</x:f>
      </x:c>
      <x:c r="D100" s="94" t="str">
        <x:f>IF(Cadastro!I100="","",Cadastro!I100)</x:f>
      </x:c>
      <x:c r="E100" s="95" t="str">
        <x:f>IF($A100="","",SUMIFS('Movimentações'!$D$2:$D$501,'Movimentações'!$A$2:$A$501,'Parâmetros'!$B$4,'Movimentações'!$B$2:$B$501,$A100,'Movimentações'!$C$2:$C$501,"Falta (dias)"))</x:f>
      </x:c>
      <x:c r="F100" s="95" t="str">
        <x:f>IF($A100="","",SUMIFS('Movimentações'!$D$2:$D$501,'Movimentações'!$A$2:$A$501,'Parâmetros'!$B$4,'Movimentações'!$B$2:$B$501,$A100,'Movimentações'!$C$2:$C$501,"HE 50% (horas)"))</x:f>
      </x:c>
      <x:c r="G100" s="95" t="str">
        <x:f>IF($A100="","",SUMIFS('Movimentações'!$D$2:$D$501,'Movimentações'!$A$2:$A$501,'Parâmetros'!$B$4,'Movimentações'!$B$2:$B$501,$A100,'Movimentações'!$C$2:$C$501,"HE 100% (horas)"))</x:f>
      </x:c>
      <x:c r="H100" s="94" t="str">
        <x:f>IF($A100="","",SUMIFS('Movimentações'!$E$2:$E$501,'Movimentações'!$A$2:$A$501,'Parâmetros'!$B$4,'Movimentações'!$B$2:$B$501,$A100,'Movimentações'!$C$2:$C$501,"Comissão"))</x:f>
      </x:c>
      <x:c r="I100" s="94" t="str">
        <x:f>IF($A100="","",SUMIFS('Movimentações'!$E$2:$E$501,'Movimentações'!$A$2:$A$501,'Parâmetros'!$B$4,'Movimentações'!$B$2:$B$501,$A100,'Movimentações'!$C$2:$C$501,"Bônus/Gratificação"))</x:f>
      </x:c>
      <x:c r="J100" s="94" t="str">
        <x:f>IF($A100="","",SUMIFS('Movimentações'!$E$2:$E$501,'Movimentações'!$A$2:$A$501,'Parâmetros'!$B$4,'Movimentações'!$B$2:$B$501,$A100,'Movimentações'!$C$2:$C$501,"Adicional"))</x:f>
      </x:c>
      <x:c r="K100" s="94" t="str">
        <x:f>IF($A100="","",SUMIFS('Movimentações'!$E$2:$E$501,'Movimentações'!$A$2:$A$501,'Parâmetros'!$B$4,'Movimentações'!$B$2:$B$501,$A100,'Movimentações'!$C$2:$C$501,"Crédito Extra"))</x:f>
      </x:c>
      <x:c r="L100" s="94" t="str">
        <x:f>IF($A100="","",SUMIFS('Movimentações'!$E$2:$E$501,'Movimentações'!$A$2:$A$501,'Parâmetros'!$B$4,'Movimentações'!$B$2:$B$501,$A100,'Movimentações'!$C$2:$C$501,"Desconto Extra"))</x:f>
      </x:c>
      <x:c r="M100" s="96" t="str">
        <x:f>IF($A100="","",D100/IF(Cadastro!J100=0,'Parâmetros'!$B$12,Cadastro!J100))</x:f>
      </x:c>
      <x:c r="N100" s="96" t="str">
        <x:f>IF($A100="","",(D100/'Parâmetros'!$B$7)*E100)</x:f>
      </x:c>
      <x:c r="O100" s="96" t="str">
        <x:f>IF($A100="","",IF(E100&gt;0,D100/'Parâmetros'!$B$7,0))</x:f>
      </x:c>
      <x:c r="P100" s="96" t="str">
        <x:f>IF($A100="","",(M100*'Parâmetros'!$B$10)*F100)</x:f>
      </x:c>
      <x:c r="Q100" s="96" t="str">
        <x:f>IF($A100="","",(M100*'Parâmetros'!$B$11)*G100)</x:f>
      </x:c>
      <x:c r="R100" s="96" t="str">
        <x:f>IF($A100="","",((P100+Q100)/'Parâmetros'!$B$5)*'Parâmetros'!$B$6)</x:f>
      </x:c>
      <x:c r="S100" s="96" t="str">
        <x:f>IF($A100="","",(H100/'Parâmetros'!$B$5)*'Parâmetros'!$B$6)</x:f>
      </x:c>
      <x:c r="T100" s="96" t="str">
        <x:f>IF($A100="","",D100-N100-O100+H100+I100+J100+K100+P100+Q100+R100+S100)</x:f>
      </x:c>
      <x:c r="U100" s="96" t="str">
        <x:f>IF($A100="","",MIN(D100*'Parâmetros'!$B$9,Cadastro!L100))</x:f>
      </x:c>
      <x:c r="V100" s="96" t="str">
        <x:f>IF($A100="","",IF(T100&lt;='Parâmetros'!$C$16,T100*'Parâmetros'!$D$16,IF(T100&lt;='Parâmetros'!$C$17,T100*'Parâmetros'!$D$17-'Parâmetros'!$E$17,IF(T100&lt;='Parâmetros'!$C$18,T100*'Parâmetros'!$D$18-'Parâmetros'!$E$18,IF(T100&lt;='Parâmetros'!$C$19,T100*'Parâmetros'!$D$19-'Parâmetros'!$E$19,'Parâmetros'!$C$19*'Parâmetros'!$D$19-'Parâmetros'!$E$19)))))</x:f>
      </x:c>
      <x:c r="W100" s="96" t="str">
        <x:f>IF($A100="","",MAX(0,((T100-V100-(Cadastro!K100*'Parâmetros'!$H$6))*'Parâmetros'!$H$4)-'Parâmetros'!$H$5))</x:f>
      </x:c>
      <x:c r="X100" s="96" t="str">
        <x:f>IF($A100="","",Cadastro!M100)</x:f>
      </x:c>
      <x:c r="Y100" s="96" t="str">
        <x:f>IF($A100="","",Cadastro!N100)</x:f>
      </x:c>
      <x:c r="Z100" s="96" t="str">
        <x:f>IF($A100="","",Cadastro!O100)</x:f>
      </x:c>
      <x:c r="AA100" s="96" t="str">
        <x:f>IF($A100="","",N100+O100+U100+V100+W100+X100+Y100+Z100+L100)</x:f>
      </x:c>
      <x:c r="AB100" s="96" t="str">
        <x:f>IF($A100="","",T100-(U100+V100+W100+X100+Y100+Z100+L100))</x:f>
      </x:c>
      <x:c r="AC100" s="88" t="str">
        <x:f>IF($A100="","",SUMIFS('Importação Contabilidade'!$T$7:$T$500,'Importação Contabilidade'!$A$7:$A$500,'Parâmetros'!$B$4,'Importação Contabilidade'!$B$7:$B$500,$A100))</x:f>
      </x:c>
      <x:c r="AD100" s="88" t="str">
        <x:f>IF($A100="","",SUMIFS('Importação Contabilidade'!$U$7:$U$500,'Importação Contabilidade'!$A$7:$A$500,'Parâmetros'!$B$4,'Importação Contabilidade'!$B$7:$B$500,$A100))</x:f>
      </x:c>
      <x:c r="AE100" s="88" t="str">
        <x:f>IF($A100="","",SUMIFS('Importação Contabilidade'!$V$7:$V$500,'Importação Contabilidade'!$A$7:$A$500,'Parâmetros'!$B$4,'Importação Contabilidade'!$B$7:$B$500,$A100))</x:f>
      </x:c>
      <x:c r="AF100" s="97" t="str">
        <x:f>IF($A100="","",T100-AC100)</x:f>
      </x:c>
      <x:c r="AG100" s="97" t="str">
        <x:f>IF($A100="","",AA100-AD100)</x:f>
      </x:c>
      <x:c r="AH100" s="97" t="str">
        <x:f>IF($A100="","",AB100-AE100)</x:f>
      </x:c>
      <x:c r="AI100" s="98" t="str">
        <x:f>IF($A100="","",IF(COUNTIFS('Importação Contabilidade'!$A$7:$A$500,'Parâmetros'!$B$4,'Importação Contabilidade'!$B$7:$B$500,$A100)=0,"PENDENTE IMPORTAÇÃO",IF(AND(ABS(AF100)&lt;='Parâmetros'!$B$8,ABS(AG100)&lt;='Parâmetros'!$B$8,ABS(AH100)&lt;='Parâmetros'!$B$8),"OK","REVISAR")))</x:f>
      </x:c>
      <x:c r="AJ100" s="98" t="str">
        <x:f>IF($A100="","",IF(AI100="PENDENTE IMPORTAÇÃO","Funcionário/competência não encontrados na Importação Contabilidade",IF(AI100="OK","Sem divergência relevante",IF(ABS(AH100)&gt;=MAX(ABS(AF100),ABS(AG100)),"Revisar salário líquido",IF(ABS(AF100)&gt;=ABS(AG100),"Revisar bruto/proventos","Revisar descontos")))))</x:f>
      </x:c>
    </x:row>
    <x:row r="101">
      <x:c r="A101" s="93" t="str">
        <x:f>IF(Cadastro!A101="","",Cadastro!A101)</x:f>
      </x:c>
      <x:c r="B101" s="93" t="str">
        <x:f>IF(Cadastro!B101="","",Cadastro!B101)</x:f>
      </x:c>
      <x:c r="C101" s="93" t="str">
        <x:f>IF(Cadastro!F101="","",Cadastro!F101)</x:f>
      </x:c>
      <x:c r="D101" s="94" t="str">
        <x:f>IF(Cadastro!I101="","",Cadastro!I101)</x:f>
      </x:c>
      <x:c r="E101" s="95" t="str">
        <x:f>IF($A101="","",SUMIFS('Movimentações'!$D$2:$D$501,'Movimentações'!$A$2:$A$501,'Parâmetros'!$B$4,'Movimentações'!$B$2:$B$501,$A101,'Movimentações'!$C$2:$C$501,"Falta (dias)"))</x:f>
      </x:c>
      <x:c r="F101" s="95" t="str">
        <x:f>IF($A101="","",SUMIFS('Movimentações'!$D$2:$D$501,'Movimentações'!$A$2:$A$501,'Parâmetros'!$B$4,'Movimentações'!$B$2:$B$501,$A101,'Movimentações'!$C$2:$C$501,"HE 50% (horas)"))</x:f>
      </x:c>
      <x:c r="G101" s="95" t="str">
        <x:f>IF($A101="","",SUMIFS('Movimentações'!$D$2:$D$501,'Movimentações'!$A$2:$A$501,'Parâmetros'!$B$4,'Movimentações'!$B$2:$B$501,$A101,'Movimentações'!$C$2:$C$501,"HE 100% (horas)"))</x:f>
      </x:c>
      <x:c r="H101" s="94" t="str">
        <x:f>IF($A101="","",SUMIFS('Movimentações'!$E$2:$E$501,'Movimentações'!$A$2:$A$501,'Parâmetros'!$B$4,'Movimentações'!$B$2:$B$501,$A101,'Movimentações'!$C$2:$C$501,"Comissão"))</x:f>
      </x:c>
      <x:c r="I101" s="94" t="str">
        <x:f>IF($A101="","",SUMIFS('Movimentações'!$E$2:$E$501,'Movimentações'!$A$2:$A$501,'Parâmetros'!$B$4,'Movimentações'!$B$2:$B$501,$A101,'Movimentações'!$C$2:$C$501,"Bônus/Gratificação"))</x:f>
      </x:c>
      <x:c r="J101" s="94" t="str">
        <x:f>IF($A101="","",SUMIFS('Movimentações'!$E$2:$E$501,'Movimentações'!$A$2:$A$501,'Parâmetros'!$B$4,'Movimentações'!$B$2:$B$501,$A101,'Movimentações'!$C$2:$C$501,"Adicional"))</x:f>
      </x:c>
      <x:c r="K101" s="94" t="str">
        <x:f>IF($A101="","",SUMIFS('Movimentações'!$E$2:$E$501,'Movimentações'!$A$2:$A$501,'Parâmetros'!$B$4,'Movimentações'!$B$2:$B$501,$A101,'Movimentações'!$C$2:$C$501,"Crédito Extra"))</x:f>
      </x:c>
      <x:c r="L101" s="94" t="str">
        <x:f>IF($A101="","",SUMIFS('Movimentações'!$E$2:$E$501,'Movimentações'!$A$2:$A$501,'Parâmetros'!$B$4,'Movimentações'!$B$2:$B$501,$A101,'Movimentações'!$C$2:$C$501,"Desconto Extra"))</x:f>
      </x:c>
      <x:c r="M101" s="96" t="str">
        <x:f>IF($A101="","",D101/IF(Cadastro!J101=0,'Parâmetros'!$B$12,Cadastro!J101))</x:f>
      </x:c>
      <x:c r="N101" s="96" t="str">
        <x:f>IF($A101="","",(D101/'Parâmetros'!$B$7)*E101)</x:f>
      </x:c>
      <x:c r="O101" s="96" t="str">
        <x:f>IF($A101="","",IF(E101&gt;0,D101/'Parâmetros'!$B$7,0))</x:f>
      </x:c>
      <x:c r="P101" s="96" t="str">
        <x:f>IF($A101="","",(M101*'Parâmetros'!$B$10)*F101)</x:f>
      </x:c>
      <x:c r="Q101" s="96" t="str">
        <x:f>IF($A101="","",(M101*'Parâmetros'!$B$11)*G101)</x:f>
      </x:c>
      <x:c r="R101" s="96" t="str">
        <x:f>IF($A101="","",((P101+Q101)/'Parâmetros'!$B$5)*'Parâmetros'!$B$6)</x:f>
      </x:c>
      <x:c r="S101" s="96" t="str">
        <x:f>IF($A101="","",(H101/'Parâmetros'!$B$5)*'Parâmetros'!$B$6)</x:f>
      </x:c>
      <x:c r="T101" s="96" t="str">
        <x:f>IF($A101="","",D101-N101-O101+H101+I101+J101+K101+P101+Q101+R101+S101)</x:f>
      </x:c>
      <x:c r="U101" s="96" t="str">
        <x:f>IF($A101="","",MIN(D101*'Parâmetros'!$B$9,Cadastro!L101))</x:f>
      </x:c>
      <x:c r="V101" s="96" t="str">
        <x:f>IF($A101="","",IF(T101&lt;='Parâmetros'!$C$16,T101*'Parâmetros'!$D$16,IF(T101&lt;='Parâmetros'!$C$17,T101*'Parâmetros'!$D$17-'Parâmetros'!$E$17,IF(T101&lt;='Parâmetros'!$C$18,T101*'Parâmetros'!$D$18-'Parâmetros'!$E$18,IF(T101&lt;='Parâmetros'!$C$19,T101*'Parâmetros'!$D$19-'Parâmetros'!$E$19,'Parâmetros'!$C$19*'Parâmetros'!$D$19-'Parâmetros'!$E$19)))))</x:f>
      </x:c>
      <x:c r="W101" s="96" t="str">
        <x:f>IF($A101="","",MAX(0,((T101-V101-(Cadastro!K101*'Parâmetros'!$H$6))*'Parâmetros'!$H$4)-'Parâmetros'!$H$5))</x:f>
      </x:c>
      <x:c r="X101" s="96" t="str">
        <x:f>IF($A101="","",Cadastro!M101)</x:f>
      </x:c>
      <x:c r="Y101" s="96" t="str">
        <x:f>IF($A101="","",Cadastro!N101)</x:f>
      </x:c>
      <x:c r="Z101" s="96" t="str">
        <x:f>IF($A101="","",Cadastro!O101)</x:f>
      </x:c>
      <x:c r="AA101" s="96" t="str">
        <x:f>IF($A101="","",N101+O101+U101+V101+W101+X101+Y101+Z101+L101)</x:f>
      </x:c>
      <x:c r="AB101" s="96" t="str">
        <x:f>IF($A101="","",T101-(U101+V101+W101+X101+Y101+Z101+L101))</x:f>
      </x:c>
      <x:c r="AC101" s="88" t="str">
        <x:f>IF($A101="","",SUMIFS('Importação Contabilidade'!$T$7:$T$500,'Importação Contabilidade'!$A$7:$A$500,'Parâmetros'!$B$4,'Importação Contabilidade'!$B$7:$B$500,$A101))</x:f>
      </x:c>
      <x:c r="AD101" s="88" t="str">
        <x:f>IF($A101="","",SUMIFS('Importação Contabilidade'!$U$7:$U$500,'Importação Contabilidade'!$A$7:$A$500,'Parâmetros'!$B$4,'Importação Contabilidade'!$B$7:$B$500,$A101))</x:f>
      </x:c>
      <x:c r="AE101" s="88" t="str">
        <x:f>IF($A101="","",SUMIFS('Importação Contabilidade'!$V$7:$V$500,'Importação Contabilidade'!$A$7:$A$500,'Parâmetros'!$B$4,'Importação Contabilidade'!$B$7:$B$500,$A101))</x:f>
      </x:c>
      <x:c r="AF101" s="97" t="str">
        <x:f>IF($A101="","",T101-AC101)</x:f>
      </x:c>
      <x:c r="AG101" s="97" t="str">
        <x:f>IF($A101="","",AA101-AD101)</x:f>
      </x:c>
      <x:c r="AH101" s="97" t="str">
        <x:f>IF($A101="","",AB101-AE101)</x:f>
      </x:c>
      <x:c r="AI101" s="98" t="str">
        <x:f>IF($A101="","",IF(COUNTIFS('Importação Contabilidade'!$A$7:$A$500,'Parâmetros'!$B$4,'Importação Contabilidade'!$B$7:$B$500,$A101)=0,"PENDENTE IMPORTAÇÃO",IF(AND(ABS(AF101)&lt;='Parâmetros'!$B$8,ABS(AG101)&lt;='Parâmetros'!$B$8,ABS(AH101)&lt;='Parâmetros'!$B$8),"OK","REVISAR")))</x:f>
      </x:c>
      <x:c r="AJ101" s="98" t="str">
        <x:f>IF($A101="","",IF(AI101="PENDENTE IMPORTAÇÃO","Funcionário/competência não encontrados na Importação Contabilidade",IF(AI101="OK","Sem divergência relevante",IF(ABS(AH101)&gt;=MAX(ABS(AF101),ABS(AG101)),"Revisar salário líquido",IF(ABS(AF101)&gt;=ABS(AG101),"Revisar bruto/proventos","Revisar descontos")))))</x:f>
      </x:c>
    </x:row>
    <x:row r="102">
      <x:c r="A102" s="85"/>
      <x:c r="B102" s="85"/>
      <x:c r="C102" s="85"/>
      <x:c r="D102" s="85"/>
      <x:c r="E102" s="85"/>
      <x:c r="F102" s="85"/>
      <x:c r="G102" s="85"/>
      <x:c r="H102" s="85"/>
      <x:c r="I102" s="85"/>
      <x:c r="J102" s="85"/>
      <x:c r="K102" s="85"/>
      <x:c r="L102" s="85"/>
      <x:c r="M102" s="85"/>
      <x:c r="N102" s="85"/>
      <x:c r="O102" s="85"/>
      <x:c r="P102" s="85"/>
      <x:c r="Q102" s="85"/>
      <x:c r="R102" s="85"/>
      <x:c r="S102" s="85"/>
      <x:c r="T102" s="85"/>
      <x:c r="U102" s="85"/>
      <x:c r="V102" s="85"/>
      <x:c r="W102" s="85"/>
      <x:c r="X102" s="85"/>
      <x:c r="Y102" s="85"/>
      <x:c r="Z102" s="85"/>
      <x:c r="AA102" s="85"/>
      <x:c r="AB102" s="85"/>
      <x:c r="AC102" s="85"/>
      <x:c r="AD102" s="85"/>
      <x:c r="AE102" s="85"/>
      <x:c r="AF102" s="85"/>
      <x:c r="AG102" s="85"/>
      <x:c r="AH102" s="85"/>
      <x:c r="AI102" s="85"/>
      <x:c r="AJ102" s="85"/>
    </x:row>
    <x:row r="103">
      <x:c r="A103" s="85"/>
      <x:c r="B103" s="85"/>
      <x:c r="C103" s="85"/>
      <x:c r="D103" s="85"/>
      <x:c r="E103" s="85"/>
      <x:c r="F103" s="85"/>
      <x:c r="G103" s="85"/>
      <x:c r="H103" s="85"/>
      <x:c r="I103" s="85"/>
      <x:c r="J103" s="85"/>
      <x:c r="K103" s="85"/>
      <x:c r="L103" s="85"/>
      <x:c r="M103" s="85"/>
      <x:c r="N103" s="85"/>
      <x:c r="O103" s="85"/>
      <x:c r="P103" s="85"/>
      <x:c r="Q103" s="85"/>
      <x:c r="R103" s="85"/>
      <x:c r="S103" s="85"/>
      <x:c r="T103" s="85"/>
      <x:c r="U103" s="85"/>
      <x:c r="V103" s="85"/>
      <x:c r="W103" s="85"/>
      <x:c r="X103" s="85"/>
      <x:c r="Y103" s="85"/>
      <x:c r="Z103" s="85"/>
      <x:c r="AA103" s="85"/>
      <x:c r="AB103" s="85"/>
      <x:c r="AC103" s="85"/>
      <x:c r="AD103" s="85"/>
      <x:c r="AE103" s="85"/>
      <x:c r="AF103" s="85"/>
      <x:c r="AG103" s="85"/>
      <x:c r="AH103" s="85"/>
      <x:c r="AI103" s="85"/>
      <x:c r="AJ103" s="85"/>
    </x:row>
  </x:sheetData>
  <x:conditionalFormatting sqref="AI2:AI101">
    <x:cfRule type="expression" dxfId="0" priority="1">
      <x:formula>AI2="OK"</x:formula>
    </x:cfRule>
    <x:cfRule type="expression" dxfId="1" priority="2">
      <x:formula>AI2="REVISAR"</x:formula>
    </x:cfRule>
    <x:cfRule type="expression" dxfId="2" priority="3">
      <x:formula>AI2="PENDENTE"</x:formula>
    </x:cfRule>
    <x:cfRule type="expression" dxfId="36" priority="4">
      <x:formula>AI2="PENDENTE IMPORTAÇÃO"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90ec189db94d7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6" hidden="0" customWidth="1"/>
    <x:col min="4" max="4" width="19" hidden="0" customWidth="1"/>
    <x:col min="5" max="5" width="19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5" hidden="0" customWidth="1"/>
    <x:col min="11" max="11" width="16" hidden="0" customWidth="1"/>
    <x:col min="12" max="12" width="14" hidden="0" customWidth="1"/>
    <x:col min="13" max="13" width="28" hidden="0" customWidth="1"/>
  </x:cols>
  <x:sheetData>
    <x:row r="1">
      <x:c r="A1" s="107" t="str">
        <x:v>CONTROLE E CONFERÊNCIA DE FÉRIAS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  <x:c r="AA1" s="85"/>
      <x:c r="AB1" s="85"/>
      <x:c r="AC1" s="85"/>
      <x:c r="AD1" s="85"/>
      <x:c r="AE1" s="85"/>
      <x:c r="AF1" s="85"/>
      <x:c r="AG1" s="85"/>
      <x:c r="AH1" s="85"/>
      <x:c r="AI1" s="85"/>
      <x:c r="AJ1" s="85"/>
    </x:row>
    <x:row r="2">
      <x:c r="A2" s="85"/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  <x:c r="AA2" s="85"/>
      <x:c r="AB2" s="85"/>
      <x:c r="AC2" s="85"/>
      <x:c r="AD2" s="85"/>
      <x:c r="AE2" s="85"/>
      <x:c r="AF2" s="85"/>
      <x:c r="AG2" s="85"/>
      <x:c r="AH2" s="85"/>
      <x:c r="AI2" s="85"/>
      <x:c r="AJ2" s="85"/>
    </x:row>
    <x:row r="3">
      <x:c r="A3" s="117" t="str">
        <x:v>Matrícula</x:v>
      </x:c>
      <x:c r="B3" s="117" t="str">
        <x:v>Nome</x:v>
      </x:c>
      <x:c r="C3" s="117" t="str">
        <x:v>Departamento</x:v>
      </x:c>
      <x:c r="D3" s="117" t="str">
        <x:v>Período Aquisitivo Início</x:v>
      </x:c>
      <x:c r="E3" s="117" t="str">
        <x:v>Período Aquisitivo Fim</x:v>
      </x:c>
      <x:c r="F3" s="117" t="str">
        <x:v>Início Férias</x:v>
      </x:c>
      <x:c r="G3" s="117" t="str">
        <x:v>Fim Férias</x:v>
      </x:c>
      <x:c r="H3" s="117" t="str">
        <x:v>Dias Gozados</x:v>
      </x:c>
      <x:c r="I3" s="117" t="str">
        <x:v>Abono (dias)</x:v>
      </x:c>
      <x:c r="J3" s="117" t="str">
        <x:v>Data Pagamento</x:v>
      </x:c>
      <x:c r="K3" s="117" t="str">
        <x:v>Valor Férias (R$)</x:v>
      </x:c>
      <x:c r="L3" s="117" t="str">
        <x:v>Status</x:v>
      </x:c>
      <x:c r="M3" s="117" t="str">
        <x:v>Observação</x:v>
      </x:c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  <x:c r="AA3" s="85"/>
      <x:c r="AB3" s="85"/>
      <x:c r="AC3" s="85"/>
      <x:c r="AD3" s="85"/>
      <x:c r="AE3" s="85"/>
      <x:c r="AF3" s="85"/>
      <x:c r="AG3" s="85"/>
      <x:c r="AH3" s="85"/>
      <x:c r="AI3" s="85"/>
      <x:c r="AJ3" s="85"/>
    </x:row>
    <x:row r="4">
      <x:c r="A4" s="118" t="n">
        <x:v>1001</x:v>
      </x:c>
      <x:c r="B4" s="118" t="str">
        <x:v>Camila Silva</x:v>
      </x:c>
      <x:c r="C4" s="119" t="str">
        <x:v>Comercial</x:v>
      </x:c>
      <x:c r="D4" s="119" t="n">
        <x:v>44999</x:v>
      </x:c>
      <x:c r="E4" s="119" t="n">
        <x:v>45364</x:v>
      </x:c>
      <x:c r="F4" s="119" t="n">
        <x:v>45474</x:v>
      </x:c>
      <x:c r="G4" s="119" t="n">
        <x:v>45493</x:v>
      </x:c>
      <x:c r="H4" s="119" t="n">
        <x:v>20</x:v>
      </x:c>
      <x:c r="I4" s="120" t="n">
        <x:v>10</x:v>
      </x:c>
      <x:c r="J4" s="120" t="n">
        <x:v>45470</x:v>
      </x:c>
      <x:c r="K4" s="121" t="n">
        <x:v>7350</x:v>
      </x:c>
      <x:c r="L4" s="122" t="str">
        <x:v>Concluída</x:v>
      </x:c>
      <x:c r="M4" s="122" t="str">
        <x:v>10 dias vendidos</x:v>
      </x:c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  <x:c r="AA4" s="85"/>
      <x:c r="AB4" s="85"/>
      <x:c r="AC4" s="85"/>
      <x:c r="AD4" s="85"/>
      <x:c r="AE4" s="85"/>
      <x:c r="AF4" s="85"/>
      <x:c r="AG4" s="85"/>
      <x:c r="AH4" s="85"/>
      <x:c r="AI4" s="85"/>
      <x:c r="AJ4" s="85"/>
    </x:row>
    <x:row r="5">
      <x:c r="A5" s="118" t="n">
        <x:v>1001</x:v>
      </x:c>
      <x:c r="B5" s="118" t="str">
        <x:v>Camila Silva</x:v>
      </x:c>
      <x:c r="C5" s="119" t="str">
        <x:v>Comercial</x:v>
      </x:c>
      <x:c r="D5" s="119" t="n">
        <x:v>45365</x:v>
      </x:c>
      <x:c r="E5" s="119" t="n">
        <x:v>45729</x:v>
      </x:c>
      <x:c r="F5" s="119" t="n">
        <x:v>45873</x:v>
      </x:c>
      <x:c r="G5" s="119" t="n">
        <x:v>45892</x:v>
      </x:c>
      <x:c r="H5" s="119" t="n">
        <x:v>20</x:v>
      </x:c>
      <x:c r="I5" s="120" t="n">
        <x:v>10</x:v>
      </x:c>
      <x:c r="J5" s="120" t="n">
        <x:v>45869</x:v>
      </x:c>
      <x:c r="K5" s="121" t="n">
        <x:v>7680</x:v>
      </x:c>
      <x:c r="L5" s="122" t="str">
        <x:v>Concluída</x:v>
      </x:c>
      <x:c r="M5" s="122" t="str">
        <x:v>Programação anual</x:v>
      </x:c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  <x:c r="AA5" s="85"/>
      <x:c r="AB5" s="85"/>
      <x:c r="AC5" s="85"/>
      <x:c r="AD5" s="85"/>
      <x:c r="AE5" s="85"/>
      <x:c r="AF5" s="85"/>
      <x:c r="AG5" s="85"/>
      <x:c r="AH5" s="85"/>
      <x:c r="AI5" s="85"/>
      <x:c r="AJ5" s="85"/>
    </x:row>
    <x:row r="6">
      <x:c r="A6" s="118" t="n">
        <x:v>1002</x:v>
      </x:c>
      <x:c r="B6" s="118" t="str">
        <x:v>João Santos</x:v>
      </x:c>
      <x:c r="C6" s="119" t="str">
        <x:v>Comercial</x:v>
      </x:c>
      <x:c r="D6" s="119" t="n">
        <x:v>45139</x:v>
      </x:c>
      <x:c r="E6" s="119" t="n">
        <x:v>45504</x:v>
      </x:c>
      <x:c r="F6" s="119" t="n">
        <x:v>45628</x:v>
      </x:c>
      <x:c r="G6" s="119" t="n">
        <x:v>45657</x:v>
      </x:c>
      <x:c r="H6" s="119" t="n">
        <x:v>30</x:v>
      </x:c>
      <x:c r="I6" s="120" t="n">
        <x:v>0</x:v>
      </x:c>
      <x:c r="J6" s="120" t="n">
        <x:v>45624</x:v>
      </x:c>
      <x:c r="K6" s="121" t="n">
        <x:v>8220</x:v>
      </x:c>
      <x:c r="L6" s="122" t="str">
        <x:v>Concluída</x:v>
      </x:c>
      <x:c r="M6" s="122" t="str">
        <x:v>Férias integrais</x:v>
      </x:c>
      <x:c r="N6" s="85"/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  <x:c r="AA6" s="85"/>
      <x:c r="AB6" s="85"/>
      <x:c r="AC6" s="85"/>
      <x:c r="AD6" s="85"/>
      <x:c r="AE6" s="85"/>
      <x:c r="AF6" s="85"/>
      <x:c r="AG6" s="85"/>
      <x:c r="AH6" s="85"/>
      <x:c r="AI6" s="85"/>
      <x:c r="AJ6" s="85"/>
    </x:row>
    <x:row r="7">
      <x:c r="A7" s="118" t="n">
        <x:v>1002</x:v>
      </x:c>
      <x:c r="B7" s="118" t="str">
        <x:v>João Santos</x:v>
      </x:c>
      <x:c r="C7" s="119" t="str">
        <x:v>Comercial</x:v>
      </x:c>
      <x:c r="D7" s="119" t="n">
        <x:v>45505</x:v>
      </x:c>
      <x:c r="E7" s="119" t="n">
        <x:v>45869</x:v>
      </x:c>
      <x:c r="F7" s="119" t="n">
        <x:v>45964</x:v>
      </x:c>
      <x:c r="G7" s="119" t="n">
        <x:v>45983</x:v>
      </x:c>
      <x:c r="H7" s="119" t="n">
        <x:v>20</x:v>
      </x:c>
      <x:c r="I7" s="120" t="n">
        <x:v>10</x:v>
      </x:c>
      <x:c r="J7" s="120" t="n">
        <x:v>45960</x:v>
      </x:c>
      <x:c r="K7" s="121" t="n">
        <x:v>8950</x:v>
      </x:c>
      <x:c r="L7" s="122" t="str">
        <x:v>Concluída</x:v>
      </x:c>
      <x:c r="M7" s="122" t="str">
        <x:v>10 dias vendidos</x:v>
      </x:c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  <x:c r="AA7" s="85"/>
      <x:c r="AB7" s="85"/>
      <x:c r="AC7" s="85"/>
      <x:c r="AD7" s="85"/>
      <x:c r="AE7" s="85"/>
      <x:c r="AF7" s="85"/>
      <x:c r="AG7" s="85"/>
      <x:c r="AH7" s="85"/>
      <x:c r="AI7" s="85"/>
      <x:c r="AJ7" s="85"/>
    </x:row>
    <x:row r="8">
      <x:c r="A8" s="118" t="n">
        <x:v>1003</x:v>
      </x:c>
      <x:c r="B8" s="118" t="str">
        <x:v>Maria Lima</x:v>
      </x:c>
      <x:c r="C8" s="119" t="str">
        <x:v>Comercial</x:v>
      </x:c>
      <x:c r="D8" s="119" t="n">
        <x:v>45300</x:v>
      </x:c>
      <x:c r="E8" s="119" t="n">
        <x:v>45665</x:v>
      </x:c>
      <x:c r="F8" s="119" t="n">
        <x:v>45677</x:v>
      </x:c>
      <x:c r="G8" s="119" t="n">
        <x:v>45696</x:v>
      </x:c>
      <x:c r="H8" s="119" t="n">
        <x:v>20</x:v>
      </x:c>
      <x:c r="I8" s="120" t="n">
        <x:v>10</x:v>
      </x:c>
      <x:c r="J8" s="120" t="n">
        <x:v>45673</x:v>
      </x:c>
      <x:c r="K8" s="121" t="n">
        <x:v>14300</x:v>
      </x:c>
      <x:c r="L8" s="122" t="str">
        <x:v>Concluída</x:v>
      </x:c>
      <x:c r="M8" s="122" t="str">
        <x:v>Gestão comercial</x:v>
      </x:c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  <x:c r="AA8" s="85"/>
      <x:c r="AB8" s="85"/>
      <x:c r="AC8" s="85"/>
      <x:c r="AD8" s="85"/>
      <x:c r="AE8" s="85"/>
      <x:c r="AF8" s="85"/>
      <x:c r="AG8" s="85"/>
      <x:c r="AH8" s="85"/>
      <x:c r="AI8" s="85"/>
      <x:c r="AJ8" s="85"/>
    </x:row>
    <x:row r="9">
      <x:c r="A9" s="118" t="n">
        <x:v>1004</x:v>
      </x:c>
      <x:c r="B9" s="118" t="str">
        <x:v>Rafael Oliveira</x:v>
      </x:c>
      <x:c r="C9" s="119" t="str">
        <x:v>Comercial</x:v>
      </x:c>
      <x:c r="D9" s="119" t="n">
        <x:v>45462</x:v>
      </x:c>
      <x:c r="E9" s="119" t="n">
        <x:v>45826</x:v>
      </x:c>
      <x:c r="F9" s="119" t="n">
        <x:v>45901</x:v>
      </x:c>
      <x:c r="G9" s="119" t="n">
        <x:v>45930</x:v>
      </x:c>
      <x:c r="H9" s="119" t="n">
        <x:v>30</x:v>
      </x:c>
      <x:c r="I9" s="120" t="n">
        <x:v>0</x:v>
      </x:c>
      <x:c r="J9" s="120" t="n">
        <x:v>45897</x:v>
      </x:c>
      <x:c r="K9" s="121" t="n">
        <x:v>7450</x:v>
      </x:c>
      <x:c r="L9" s="122" t="str">
        <x:v>Concluída</x:v>
      </x:c>
      <x:c r="M9" s="122" t="str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  <x:c r="AA9" s="85"/>
      <x:c r="AB9" s="85"/>
      <x:c r="AC9" s="85"/>
      <x:c r="AD9" s="85"/>
      <x:c r="AE9" s="85"/>
      <x:c r="AF9" s="85"/>
      <x:c r="AG9" s="85"/>
      <x:c r="AH9" s="85"/>
      <x:c r="AI9" s="85"/>
      <x:c r="AJ9" s="85"/>
    </x:row>
    <x:row r="10">
      <x:c r="A10" s="118" t="n">
        <x:v>1005</x:v>
      </x:c>
      <x:c r="B10" s="118" t="str">
        <x:v>Fernanda Costa</x:v>
      </x:c>
      <x:c r="C10" s="119" t="str">
        <x:v>Comercial</x:v>
      </x:c>
      <x:c r="D10" s="119" t="n">
        <x:v>45327</x:v>
      </x:c>
      <x:c r="E10" s="119" t="n">
        <x:v>45692</x:v>
      </x:c>
      <x:c r="F10" s="119" t="n">
        <x:v>45754</x:v>
      </x:c>
      <x:c r="G10" s="119" t="n">
        <x:v>45773</x:v>
      </x:c>
      <x:c r="H10" s="119" t="n">
        <x:v>20</x:v>
      </x:c>
      <x:c r="I10" s="120" t="n">
        <x:v>10</x:v>
      </x:c>
      <x:c r="J10" s="120" t="n">
        <x:v>45750</x:v>
      </x:c>
      <x:c r="K10" s="121" t="n">
        <x:v>10900</x:v>
      </x:c>
      <x:c r="L10" s="122" t="str">
        <x:v>Concluída</x:v>
      </x:c>
      <x:c r="M10" s="122" t="str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  <x:c r="AA10" s="85"/>
      <x:c r="AB10" s="85"/>
      <x:c r="AC10" s="85"/>
      <x:c r="AD10" s="85"/>
      <x:c r="AE10" s="85"/>
      <x:c r="AF10" s="85"/>
      <x:c r="AG10" s="85"/>
      <x:c r="AH10" s="85"/>
      <x:c r="AI10" s="85"/>
      <x:c r="AJ10" s="85"/>
    </x:row>
    <x:row r="11">
      <x:c r="A11" s="118" t="n">
        <x:v>1006</x:v>
      </x:c>
      <x:c r="B11" s="118" t="str">
        <x:v>Bruno Martins</x:v>
      </x:c>
      <x:c r="C11" s="119" t="str">
        <x:v>Comercial</x:v>
      </x:c>
      <x:c r="D11" s="119" t="n">
        <x:v>45545</x:v>
      </x:c>
      <x:c r="E11" s="119" t="n">
        <x:v>45909</x:v>
      </x:c>
      <x:c r="F11" s="119" t="n">
        <x:v>46027</x:v>
      </x:c>
      <x:c r="G11" s="119" t="n">
        <x:v>46046</x:v>
      </x:c>
      <x:c r="H11" s="119" t="n">
        <x:v>20</x:v>
      </x:c>
      <x:c r="I11" s="120" t="n">
        <x:v>10</x:v>
      </x:c>
      <x:c r="J11" s="120" t="n">
        <x:v>46021</x:v>
      </x:c>
      <x:c r="K11" s="121" t="n">
        <x:v>7100</x:v>
      </x:c>
      <x:c r="L11" s="122" t="str">
        <x:v>Concluída</x:v>
      </x:c>
      <x:c r="M11" s="122" t="str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  <x:c r="AA11" s="85"/>
      <x:c r="AB11" s="85"/>
      <x:c r="AC11" s="85"/>
      <x:c r="AD11" s="85"/>
      <x:c r="AE11" s="85"/>
      <x:c r="AF11" s="85"/>
      <x:c r="AG11" s="85"/>
      <x:c r="AH11" s="85"/>
      <x:c r="AI11" s="85"/>
      <x:c r="AJ11" s="85"/>
    </x:row>
    <x:row r="12">
      <x:c r="A12" s="118" t="n">
        <x:v>1007</x:v>
      </x:c>
      <x:c r="B12" s="118" t="str">
        <x:v>Juliana Rocha</x:v>
      </x:c>
      <x:c r="C12" s="119" t="str">
        <x:v>Comercial</x:v>
      </x:c>
      <x:c r="D12" s="119" t="n">
        <x:v>45404</x:v>
      </x:c>
      <x:c r="E12" s="119" t="n">
        <x:v>45768</x:v>
      </x:c>
      <x:c r="F12" s="119" t="n">
        <x:v>45817</x:v>
      </x:c>
      <x:c r="G12" s="119" t="n">
        <x:v>45836</x:v>
      </x:c>
      <x:c r="H12" s="119" t="n">
        <x:v>20</x:v>
      </x:c>
      <x:c r="I12" s="120" t="n">
        <x:v>10</x:v>
      </x:c>
      <x:c r="J12" s="120" t="n">
        <x:v>45813</x:v>
      </x:c>
      <x:c r="K12" s="121" t="n">
        <x:v>8000</x:v>
      </x:c>
      <x:c r="L12" s="122" t="str">
        <x:v>Concluída</x:v>
      </x:c>
      <x:c r="M12" s="122" t="str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  <x:c r="AA12" s="85"/>
      <x:c r="AB12" s="85"/>
      <x:c r="AC12" s="85"/>
      <x:c r="AD12" s="85"/>
      <x:c r="AE12" s="85"/>
      <x:c r="AF12" s="85"/>
      <x:c r="AG12" s="85"/>
      <x:c r="AH12" s="85"/>
      <x:c r="AI12" s="85"/>
      <x:c r="AJ12" s="85"/>
    </x:row>
    <x:row r="13">
      <x:c r="A13" s="118" t="n">
        <x:v>1008</x:v>
      </x:c>
      <x:c r="B13" s="118" t="str">
        <x:v>Lucas Almeida</x:v>
      </x:c>
      <x:c r="C13" s="119" t="str">
        <x:v>Comercial</x:v>
      </x:c>
      <x:c r="D13" s="119" t="n">
        <x:v>45607</x:v>
      </x:c>
      <x:c r="E13" s="119" t="n">
        <x:v>45971</x:v>
      </x:c>
      <x:c r="F13" s="119" t="n">
        <x:v>46055</x:v>
      </x:c>
      <x:c r="G13" s="119" t="n">
        <x:v>46074</x:v>
      </x:c>
      <x:c r="H13" s="119" t="n">
        <x:v>20</x:v>
      </x:c>
      <x:c r="I13" s="120" t="n">
        <x:v>10</x:v>
      </x:c>
      <x:c r="J13" s="120" t="n">
        <x:v>46051</x:v>
      </x:c>
      <x:c r="K13" s="121" t="n">
        <x:v>6850</x:v>
      </x:c>
      <x:c r="L13" s="122" t="str">
        <x:v>Concluída</x:v>
      </x:c>
      <x:c r="M13" s="122" t="str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  <x:c r="AA13" s="85"/>
      <x:c r="AB13" s="85"/>
      <x:c r="AC13" s="85"/>
      <x:c r="AD13" s="85"/>
      <x:c r="AE13" s="85"/>
      <x:c r="AF13" s="85"/>
      <x:c r="AG13" s="85"/>
      <x:c r="AH13" s="85"/>
      <x:c r="AI13" s="85"/>
      <x:c r="AJ13" s="85"/>
    </x:row>
    <x:row r="14">
      <x:c r="A14" s="118" t="n">
        <x:v>1009</x:v>
      </x:c>
      <x:c r="B14" s="118" t="str">
        <x:v>Patricia Gomes</x:v>
      </x:c>
      <x:c r="C14" s="119" t="str">
        <x:v>Marketing</x:v>
      </x:c>
      <x:c r="D14" s="119" t="n">
        <x:v>45339</x:v>
      </x:c>
      <x:c r="E14" s="119" t="n">
        <x:v>45704</x:v>
      </x:c>
      <x:c r="F14" s="119" t="n">
        <x:v>45845</x:v>
      </x:c>
      <x:c r="G14" s="119" t="n">
        <x:v>45864</x:v>
      </x:c>
      <x:c r="H14" s="119" t="n">
        <x:v>20</x:v>
      </x:c>
      <x:c r="I14" s="120" t="n">
        <x:v>10</x:v>
      </x:c>
      <x:c r="J14" s="120" t="n">
        <x:v>45841</x:v>
      </x:c>
      <x:c r="K14" s="121" t="n">
        <x:v>8800</x:v>
      </x:c>
      <x:c r="L14" s="122" t="str">
        <x:v>Concluída</x:v>
      </x:c>
      <x:c r="M14" s="122" t="str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  <x:c r="AA14" s="85"/>
      <x:c r="AB14" s="85"/>
      <x:c r="AC14" s="85"/>
      <x:c r="AD14" s="85"/>
      <x:c r="AE14" s="85"/>
      <x:c r="AF14" s="85"/>
      <x:c r="AG14" s="85"/>
      <x:c r="AH14" s="85"/>
      <x:c r="AI14" s="85"/>
      <x:c r="AJ14" s="85"/>
    </x:row>
    <x:row r="15">
      <x:c r="A15" s="118" t="n">
        <x:v>1010</x:v>
      </x:c>
      <x:c r="B15" s="118" t="str">
        <x:v>Diego Ferreira</x:v>
      </x:c>
      <x:c r="C15" s="119" t="str">
        <x:v>Comercial</x:v>
      </x:c>
      <x:c r="D15" s="119" t="n">
        <x:v>45479</x:v>
      </x:c>
      <x:c r="E15" s="119" t="n">
        <x:v>45843</x:v>
      </x:c>
      <x:c r="F15" s="119" t="n">
        <x:v>45936</x:v>
      </x:c>
      <x:c r="G15" s="119" t="n">
        <x:v>45955</x:v>
      </x:c>
      <x:c r="H15" s="119" t="n">
        <x:v>20</x:v>
      </x:c>
      <x:c r="I15" s="120" t="n">
        <x:v>10</x:v>
      </x:c>
      <x:c r="J15" s="120" t="n">
        <x:v>45932</x:v>
      </x:c>
      <x:c r="K15" s="121" t="n">
        <x:v>6600</x:v>
      </x:c>
      <x:c r="L15" s="122" t="str">
        <x:v>Concluída</x:v>
      </x:c>
      <x:c r="M15" s="122" t="str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  <x:c r="AA15" s="85"/>
      <x:c r="AB15" s="85"/>
      <x:c r="AC15" s="85"/>
      <x:c r="AD15" s="85"/>
      <x:c r="AE15" s="85"/>
      <x:c r="AF15" s="85"/>
      <x:c r="AG15" s="85"/>
      <x:c r="AH15" s="85"/>
      <x:c r="AI15" s="85"/>
      <x:c r="AJ15" s="85"/>
    </x:row>
    <x:row r="16">
      <x:c r="A16" s="118" t="n">
        <x:v>1011</x:v>
      </x:c>
      <x:c r="B16" s="118" t="str">
        <x:v>Renata Barros</x:v>
      </x:c>
      <x:c r="C16" s="119" t="str">
        <x:v>Financeiro</x:v>
      </x:c>
      <x:c r="D16" s="119" t="n">
        <x:v>45309</x:v>
      </x:c>
      <x:c r="E16" s="119" t="n">
        <x:v>45674</x:v>
      </x:c>
      <x:c r="F16" s="119" t="n">
        <x:v>45726</x:v>
      </x:c>
      <x:c r="G16" s="119" t="n">
        <x:v>45745</x:v>
      </x:c>
      <x:c r="H16" s="119" t="n">
        <x:v>20</x:v>
      </x:c>
      <x:c r="I16" s="120" t="n">
        <x:v>10</x:v>
      </x:c>
      <x:c r="J16" s="120" t="n">
        <x:v>45722</x:v>
      </x:c>
      <x:c r="K16" s="121" t="n">
        <x:v>9100</x:v>
      </x:c>
      <x:c r="L16" s="122" t="str">
        <x:v>Concluída</x:v>
      </x:c>
      <x:c r="M16" s="122" t="str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  <x:c r="AA16" s="85"/>
      <x:c r="AB16" s="85"/>
      <x:c r="AC16" s="85"/>
      <x:c r="AD16" s="85"/>
      <x:c r="AE16" s="85"/>
      <x:c r="AF16" s="85"/>
      <x:c r="AG16" s="85"/>
      <x:c r="AH16" s="85"/>
      <x:c r="AI16" s="85"/>
      <x:c r="AJ16" s="85"/>
    </x:row>
    <x:row r="17">
      <x:c r="A17" s="118" t="n">
        <x:v>1012</x:v>
      </x:c>
      <x:c r="B17" s="118" t="str">
        <x:v>Gustavo Nunes</x:v>
      </x:c>
      <x:c r="C17" s="119" t="str">
        <x:v>Comercial</x:v>
      </x:c>
      <x:c r="D17" s="119" t="n">
        <x:v>45506</x:v>
      </x:c>
      <x:c r="E17" s="119" t="n">
        <x:v>45870</x:v>
      </x:c>
      <x:c r="F17" s="119" t="n">
        <x:v>45992</x:v>
      </x:c>
      <x:c r="G17" s="119" t="n">
        <x:v>46011</x:v>
      </x:c>
      <x:c r="H17" s="119" t="n">
        <x:v>20</x:v>
      </x:c>
      <x:c r="I17" s="120" t="n">
        <x:v>10</x:v>
      </x:c>
      <x:c r="J17" s="120" t="n">
        <x:v>45988</x:v>
      </x:c>
      <x:c r="K17" s="121" t="n">
        <x:v>5400</x:v>
      </x:c>
      <x:c r="L17" s="122" t="str">
        <x:v>Concluída</x:v>
      </x:c>
      <x:c r="M17" s="122" t="str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  <x:c r="AA17" s="85"/>
      <x:c r="AB17" s="85"/>
      <x:c r="AC17" s="85"/>
      <x:c r="AD17" s="85"/>
      <x:c r="AE17" s="85"/>
      <x:c r="AF17" s="85"/>
      <x:c r="AG17" s="85"/>
      <x:c r="AH17" s="85"/>
      <x:c r="AI17" s="85"/>
      <x:c r="AJ17" s="85"/>
    </x:row>
    <x:row r="18">
      <x:c r="A18" s="118" t="n">
        <x:v>1013</x:v>
      </x:c>
      <x:c r="B18" s="118" t="str">
        <x:v>Aline Ribeiro</x:v>
      </x:c>
      <x:c r="C18" s="119" t="str">
        <x:v>RH</x:v>
      </x:c>
      <x:c r="D18" s="119" t="n">
        <x:v>45358</x:v>
      </x:c>
      <x:c r="E18" s="119" t="n">
        <x:v>45722</x:v>
      </x:c>
      <x:c r="F18" s="119" t="n">
        <x:v>45782</x:v>
      </x:c>
      <x:c r="G18" s="119" t="n">
        <x:v>45801</x:v>
      </x:c>
      <x:c r="H18" s="119" t="n">
        <x:v>20</x:v>
      </x:c>
      <x:c r="I18" s="120" t="n">
        <x:v>10</x:v>
      </x:c>
      <x:c r="J18" s="120" t="n">
        <x:v>45777</x:v>
      </x:c>
      <x:c r="K18" s="121" t="n">
        <x:v>8350</x:v>
      </x:c>
      <x:c r="L18" s="122" t="str">
        <x:v>Concluída</x:v>
      </x:c>
      <x:c r="M18" s="122" t="str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  <x:c r="AA18" s="85"/>
      <x:c r="AB18" s="85"/>
      <x:c r="AC18" s="85"/>
      <x:c r="AD18" s="85"/>
      <x:c r="AE18" s="85"/>
      <x:c r="AF18" s="85"/>
      <x:c r="AG18" s="85"/>
      <x:c r="AH18" s="85"/>
      <x:c r="AI18" s="85"/>
      <x:c r="AJ18" s="85"/>
    </x:row>
    <x:row r="19">
      <x:c r="A19" s="118" t="n">
        <x:v>1014</x:v>
      </x:c>
      <x:c r="B19" s="118" t="str">
        <x:v>Marcos Vieira</x:v>
      </x:c>
      <x:c r="C19" s="119" t="str">
        <x:v>Comercial</x:v>
      </x:c>
      <x:c r="D19" s="119" t="n">
        <x:v>45568</x:v>
      </x:c>
      <x:c r="E19" s="119" t="n">
        <x:v>45932</x:v>
      </x:c>
      <x:c r="F19" s="119" t="n">
        <x:v>46083</x:v>
      </x:c>
      <x:c r="G19" s="119" t="n">
        <x:v>46102</x:v>
      </x:c>
      <x:c r="H19" s="119" t="n">
        <x:v>20</x:v>
      </x:c>
      <x:c r="I19" s="120" t="n">
        <x:v>10</x:v>
      </x:c>
      <x:c r="J19" s="120" t="n">
        <x:v>46079</x:v>
      </x:c>
      <x:c r="K19" s="121" t="n">
        <x:v>6500</x:v>
      </x:c>
      <x:c r="L19" s="122" t="str">
        <x:v>Concluída</x:v>
      </x:c>
      <x:c r="M19" s="122" t="str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  <x:c r="AA19" s="85"/>
      <x:c r="AB19" s="85"/>
      <x:c r="AC19" s="85"/>
      <x:c r="AD19" s="85"/>
      <x:c r="AE19" s="85"/>
      <x:c r="AF19" s="85"/>
      <x:c r="AG19" s="85"/>
      <x:c r="AH19" s="85"/>
      <x:c r="AI19" s="85"/>
      <x:c r="AJ19" s="85"/>
    </x:row>
    <x:row r="20">
      <x:c r="A20" s="118" t="n">
        <x:v>1015</x:v>
      </x:c>
      <x:c r="B20" s="118" t="str">
        <x:v>Beatriz Souza</x:v>
      </x:c>
      <x:c r="C20" s="119" t="str">
        <x:v>Pós-venda</x:v>
      </x:c>
      <x:c r="D20" s="119" t="n">
        <x:v>45335</x:v>
      </x:c>
      <x:c r="E20" s="119" t="n">
        <x:v>45700</x:v>
      </x:c>
      <x:c r="F20" s="119" t="n">
        <x:v>45880</x:v>
      </x:c>
      <x:c r="G20" s="119" t="n">
        <x:v>45899</x:v>
      </x:c>
      <x:c r="H20" s="119" t="n">
        <x:v>20</x:v>
      </x:c>
      <x:c r="I20" s="120" t="n">
        <x:v>10</x:v>
      </x:c>
      <x:c r="J20" s="120" t="n">
        <x:v>45876</x:v>
      </x:c>
      <x:c r="K20" s="121" t="n">
        <x:v>7100</x:v>
      </x:c>
      <x:c r="L20" s="122" t="str">
        <x:v>Concluída</x:v>
      </x:c>
      <x:c r="M20" s="122" t="str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  <x:c r="AA20" s="85"/>
      <x:c r="AB20" s="85"/>
      <x:c r="AC20" s="85"/>
      <x:c r="AD20" s="85"/>
      <x:c r="AE20" s="85"/>
      <x:c r="AF20" s="85"/>
      <x:c r="AG20" s="85"/>
      <x:c r="AH20" s="85"/>
      <x:c r="AI20" s="85"/>
      <x:c r="AJ20" s="85"/>
    </x:row>
    <x:row r="21">
      <x:c r="A21" s="118" t="n">
        <x:v>1016</x:v>
      </x:c>
      <x:c r="B21" s="118" t="str">
        <x:v>Eduardo Melo</x:v>
      </x:c>
      <x:c r="C21" s="119" t="str">
        <x:v>Comercial</x:v>
      </x:c>
      <x:c r="D21" s="119" t="n">
        <x:v>45490</x:v>
      </x:c>
      <x:c r="E21" s="119" t="n">
        <x:v>45854</x:v>
      </x:c>
      <x:c r="F21" s="119" t="n">
        <x:v>45908</x:v>
      </x:c>
      <x:c r="G21" s="119" t="n">
        <x:v>45927</x:v>
      </x:c>
      <x:c r="H21" s="119" t="n">
        <x:v>20</x:v>
      </x:c>
      <x:c r="I21" s="120" t="n">
        <x:v>10</x:v>
      </x:c>
      <x:c r="J21" s="120" t="n">
        <x:v>45904</x:v>
      </x:c>
      <x:c r="K21" s="121" t="n">
        <x:v>9500</x:v>
      </x:c>
      <x:c r="L21" s="122" t="str">
        <x:v>Concluída</x:v>
      </x:c>
      <x:c r="M21" s="122" t="str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  <x:c r="AA21" s="85"/>
      <x:c r="AB21" s="85"/>
      <x:c r="AC21" s="85"/>
      <x:c r="AD21" s="85"/>
      <x:c r="AE21" s="85"/>
      <x:c r="AF21" s="85"/>
      <x:c r="AG21" s="85"/>
      <x:c r="AH21" s="85"/>
      <x:c r="AI21" s="85"/>
      <x:c r="AJ21" s="85"/>
    </x:row>
    <x:row r="22">
      <x:c r="A22" s="118" t="n">
        <x:v>1017</x:v>
      </x:c>
      <x:c r="B22" s="118" t="str">
        <x:v>Larissa Campos</x:v>
      </x:c>
      <x:c r="C22" s="119" t="str">
        <x:v>Comercial</x:v>
      </x:c>
      <x:c r="D22" s="119" t="n">
        <x:v>45665</x:v>
      </x:c>
      <x:c r="E22" s="119" t="n">
        <x:v>46029</x:v>
      </x:c>
      <x:c r="F22" s="119" t="n">
        <x:v>46266</x:v>
      </x:c>
      <x:c r="G22" s="119" t="n">
        <x:v>46295</x:v>
      </x:c>
      <x:c r="H22" s="119" t="n">
        <x:v>30</x:v>
      </x:c>
      <x:c r="I22" s="120" t="n">
        <x:v>0</x:v>
      </x:c>
      <x:c r="J22" s="120" t="n">
        <x:v>46261</x:v>
      </x:c>
      <x:c r="K22" s="121" t="n">
        <x:v>6500</x:v>
      </x:c>
      <x:c r="L22" s="122" t="str">
        <x:v>Em férias</x:v>
      </x:c>
      <x:c r="M22" s="122" t="str">
        <x:v>Férias na competência atual</x:v>
      </x:c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  <x:c r="AA22" s="85"/>
      <x:c r="AB22" s="85"/>
      <x:c r="AC22" s="85"/>
      <x:c r="AD22" s="85"/>
      <x:c r="AE22" s="85"/>
      <x:c r="AF22" s="85"/>
      <x:c r="AG22" s="85"/>
      <x:c r="AH22" s="85"/>
      <x:c r="AI22" s="85"/>
      <x:c r="AJ22" s="85"/>
    </x:row>
    <x:row r="23">
      <x:c r="A23" s="118" t="n">
        <x:v>1018</x:v>
      </x:c>
      <x:c r="B23" s="118" t="str">
        <x:v>Thiago Pinto</x:v>
      </x:c>
      <x:c r="C23" s="119" t="str">
        <x:v>Financeiro</x:v>
      </x:c>
      <x:c r="D23" s="119" t="n">
        <x:v>45818</x:v>
      </x:c>
      <x:c r="E23" s="119" t="n">
        <x:v>46182</x:v>
      </x:c>
      <x:c r="F23" s="119" t="n">
        <x:v>46300</x:v>
      </x:c>
      <x:c r="G23" s="119" t="n">
        <x:v>46319</x:v>
      </x:c>
      <x:c r="H23" s="119" t="n">
        <x:v>20</x:v>
      </x:c>
      <x:c r="I23" s="120" t="n">
        <x:v>10</x:v>
      </x:c>
      <x:c r="J23" s="120" t="n">
        <x:v>46296</x:v>
      </x:c>
      <x:c r="K23" s="121" t="n">
        <x:v>5200</x:v>
      </x:c>
      <x:c r="L23" s="122" t="str">
        <x:v>Programada</x:v>
      </x:c>
      <x:c r="M23" s="122" t="str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  <x:c r="AA23" s="85"/>
      <x:c r="AB23" s="85"/>
      <x:c r="AC23" s="85"/>
      <x:c r="AD23" s="85"/>
      <x:c r="AE23" s="85"/>
      <x:c r="AF23" s="85"/>
      <x:c r="AG23" s="85"/>
      <x:c r="AH23" s="85"/>
      <x:c r="AI23" s="85"/>
      <x:c r="AJ23" s="85"/>
    </x:row>
    <x:row r="24">
      <x:c r="A24" s="118" t="n">
        <x:v>1019</x:v>
      </x:c>
      <x:c r="B24" s="118" t="str">
        <x:v>Natalia Freitas</x:v>
      </x:c>
      <x:c r="C24" s="119" t="str">
        <x:v>RH</x:v>
      </x:c>
      <x:c r="D24" s="119" t="n">
        <x:v>45691</x:v>
      </x:c>
      <x:c r="E24" s="119" t="n">
        <x:v>46055</x:v>
      </x:c>
      <x:c r="F24" s="119" t="n">
        <x:v>46335</x:v>
      </x:c>
      <x:c r="G24" s="119" t="n">
        <x:v>46354</x:v>
      </x:c>
      <x:c r="H24" s="119" t="n">
        <x:v>20</x:v>
      </x:c>
      <x:c r="I24" s="120" t="n">
        <x:v>10</x:v>
      </x:c>
      <x:c r="J24" s="120" t="n">
        <x:v>46331</x:v>
      </x:c>
      <x:c r="K24" s="121" t="n">
        <x:v>5050</x:v>
      </x:c>
      <x:c r="L24" s="122" t="str">
        <x:v>Programada</x:v>
      </x:c>
      <x:c r="M24" s="122" t="str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  <x:c r="AA24" s="85"/>
      <x:c r="AB24" s="85"/>
      <x:c r="AC24" s="85"/>
      <x:c r="AD24" s="85"/>
      <x:c r="AE24" s="85"/>
      <x:c r="AF24" s="85"/>
      <x:c r="AG24" s="85"/>
      <x:c r="AH24" s="85"/>
      <x:c r="AI24" s="85"/>
      <x:c r="AJ24" s="85"/>
    </x:row>
    <x:row r="25">
      <x:c r="A25" s="118" t="n">
        <x:v>1020</x:v>
      </x:c>
      <x:c r="B25" s="118" t="str">
        <x:v>Felipe Cardoso</x:v>
      </x:c>
      <x:c r="C25" s="119" t="str">
        <x:v>Comercial</x:v>
      </x:c>
      <x:c r="D25" s="119" t="n">
        <x:v>45915</x:v>
      </x:c>
      <x:c r="E25" s="119" t="n">
        <x:v>46279</x:v>
      </x:c>
      <x:c r="F25" s="119" t="n">
        <x:v>46398</x:v>
      </x:c>
      <x:c r="G25" s="119" t="n">
        <x:v>46417</x:v>
      </x:c>
      <x:c r="H25" s="119" t="n">
        <x:v>20</x:v>
      </x:c>
      <x:c r="I25" s="120" t="n">
        <x:v>10</x:v>
      </x:c>
      <x:c r="J25" s="120" t="n">
        <x:v>46394</x:v>
      </x:c>
      <x:c r="K25" s="121" t="n">
        <x:v>6200</x:v>
      </x:c>
      <x:c r="L25" s="122" t="str">
        <x:v>Planejada</x:v>
      </x:c>
      <x:c r="M25" s="122" t="str">
        <x:v>Primeiro período completo</x:v>
      </x:c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  <x:c r="AA25" s="85"/>
      <x:c r="AB25" s="85"/>
      <x:c r="AC25" s="85"/>
      <x:c r="AD25" s="85"/>
      <x:c r="AE25" s="85"/>
      <x:c r="AF25" s="85"/>
      <x:c r="AG25" s="85"/>
      <x:c r="AH25" s="85"/>
      <x:c r="AI25" s="85"/>
      <x:c r="AJ25" s="85"/>
    </x:row>
    <x:row r="26">
      <x:c r="A26" s="86"/>
      <x:c r="B26" s="86"/>
      <x:c r="C26" s="87"/>
      <x:c r="D26" s="87"/>
      <x:c r="E26" s="87"/>
      <x:c r="F26" s="87"/>
      <x:c r="G26" s="86"/>
      <x:c r="H26" s="86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  <x:c r="AA26" s="85"/>
      <x:c r="AB26" s="85"/>
      <x:c r="AC26" s="85"/>
      <x:c r="AD26" s="85"/>
      <x:c r="AE26" s="85"/>
      <x:c r="AF26" s="85"/>
      <x:c r="AG26" s="85"/>
      <x:c r="AH26" s="85"/>
      <x:c r="AI26" s="85"/>
      <x:c r="AJ26" s="85"/>
    </x:row>
    <x:row r="27">
      <x:c r="A27" s="86"/>
      <x:c r="B27" s="86"/>
      <x:c r="C27" s="87"/>
      <x:c r="D27" s="87"/>
      <x:c r="E27" s="87"/>
      <x:c r="F27" s="87"/>
      <x:c r="G27" s="86"/>
      <x:c r="H27" s="86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  <x:c r="AA27" s="85"/>
      <x:c r="AB27" s="85"/>
      <x:c r="AC27" s="85"/>
      <x:c r="AD27" s="85"/>
      <x:c r="AE27" s="85"/>
      <x:c r="AF27" s="85"/>
      <x:c r="AG27" s="85"/>
      <x:c r="AH27" s="85"/>
      <x:c r="AI27" s="85"/>
      <x:c r="AJ27" s="85"/>
    </x:row>
    <x:row r="28">
      <x:c r="A28" s="86"/>
      <x:c r="B28" s="86"/>
      <x:c r="C28" s="87"/>
      <x:c r="D28" s="87"/>
      <x:c r="E28" s="87"/>
      <x:c r="F28" s="87"/>
      <x:c r="G28" s="86"/>
      <x:c r="H28" s="86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  <x:c r="AA28" s="85"/>
      <x:c r="AB28" s="85"/>
      <x:c r="AC28" s="85"/>
      <x:c r="AD28" s="85"/>
      <x:c r="AE28" s="85"/>
      <x:c r="AF28" s="85"/>
      <x:c r="AG28" s="85"/>
      <x:c r="AH28" s="85"/>
      <x:c r="AI28" s="85"/>
      <x:c r="AJ28" s="85"/>
    </x:row>
    <x:row r="29">
      <x:c r="A29" s="86"/>
      <x:c r="B29" s="86"/>
      <x:c r="C29" s="87"/>
      <x:c r="D29" s="87"/>
      <x:c r="E29" s="87"/>
      <x:c r="F29" s="87"/>
      <x:c r="G29" s="86"/>
      <x:c r="H29" s="86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  <x:c r="AA29" s="85"/>
      <x:c r="AB29" s="85"/>
      <x:c r="AC29" s="85"/>
      <x:c r="AD29" s="85"/>
      <x:c r="AE29" s="85"/>
      <x:c r="AF29" s="85"/>
      <x:c r="AG29" s="85"/>
      <x:c r="AH29" s="85"/>
      <x:c r="AI29" s="85"/>
      <x:c r="AJ29" s="85"/>
    </x:row>
    <x:row r="30">
      <x:c r="A30" s="86"/>
      <x:c r="B30" s="86"/>
      <x:c r="C30" s="87"/>
      <x:c r="D30" s="87"/>
      <x:c r="E30" s="87"/>
      <x:c r="F30" s="87"/>
      <x:c r="G30" s="86"/>
      <x:c r="H30" s="86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  <x:c r="AA30" s="85"/>
      <x:c r="AB30" s="85"/>
      <x:c r="AC30" s="85"/>
      <x:c r="AD30" s="85"/>
      <x:c r="AE30" s="85"/>
      <x:c r="AF30" s="85"/>
      <x:c r="AG30" s="85"/>
      <x:c r="AH30" s="85"/>
      <x:c r="AI30" s="85"/>
      <x:c r="AJ30" s="85"/>
    </x:row>
    <x:row r="31">
      <x:c r="A31" s="86"/>
      <x:c r="B31" s="86"/>
      <x:c r="C31" s="87"/>
      <x:c r="D31" s="87"/>
      <x:c r="E31" s="87"/>
      <x:c r="F31" s="87"/>
      <x:c r="G31" s="86"/>
      <x:c r="H31" s="86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  <x:c r="AA31" s="85"/>
      <x:c r="AB31" s="85"/>
      <x:c r="AC31" s="85"/>
      <x:c r="AD31" s="85"/>
      <x:c r="AE31" s="85"/>
      <x:c r="AF31" s="85"/>
      <x:c r="AG31" s="85"/>
      <x:c r="AH31" s="85"/>
      <x:c r="AI31" s="85"/>
      <x:c r="AJ31" s="85"/>
    </x:row>
    <x:row r="32">
      <x:c r="A32" s="86"/>
      <x:c r="B32" s="86"/>
      <x:c r="C32" s="87"/>
      <x:c r="D32" s="87"/>
      <x:c r="E32" s="87"/>
      <x:c r="F32" s="87"/>
      <x:c r="G32" s="86"/>
      <x:c r="H32" s="86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  <x:c r="AA32" s="85"/>
      <x:c r="AB32" s="85"/>
      <x:c r="AC32" s="85"/>
      <x:c r="AD32" s="85"/>
      <x:c r="AE32" s="85"/>
      <x:c r="AF32" s="85"/>
      <x:c r="AG32" s="85"/>
      <x:c r="AH32" s="85"/>
      <x:c r="AI32" s="85"/>
      <x:c r="AJ32" s="85"/>
    </x:row>
    <x:row r="33">
      <x:c r="A33" s="86"/>
      <x:c r="B33" s="86"/>
      <x:c r="C33" s="87"/>
      <x:c r="D33" s="87"/>
      <x:c r="E33" s="87"/>
      <x:c r="F33" s="87"/>
      <x:c r="G33" s="86"/>
      <x:c r="H33" s="86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  <x:c r="AA33" s="85"/>
      <x:c r="AB33" s="85"/>
      <x:c r="AC33" s="85"/>
      <x:c r="AD33" s="85"/>
      <x:c r="AE33" s="85"/>
      <x:c r="AF33" s="85"/>
      <x:c r="AG33" s="85"/>
      <x:c r="AH33" s="85"/>
      <x:c r="AI33" s="85"/>
      <x:c r="AJ33" s="85"/>
    </x:row>
    <x:row r="34">
      <x:c r="A34" s="86"/>
      <x:c r="B34" s="86"/>
      <x:c r="C34" s="87"/>
      <x:c r="D34" s="87"/>
      <x:c r="E34" s="87"/>
      <x:c r="F34" s="87"/>
      <x:c r="G34" s="86"/>
      <x:c r="H34" s="86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  <x:c r="AA34" s="85"/>
      <x:c r="AB34" s="85"/>
      <x:c r="AC34" s="85"/>
      <x:c r="AD34" s="85"/>
      <x:c r="AE34" s="85"/>
      <x:c r="AF34" s="85"/>
      <x:c r="AG34" s="85"/>
      <x:c r="AH34" s="85"/>
      <x:c r="AI34" s="85"/>
      <x:c r="AJ34" s="85"/>
    </x:row>
    <x:row r="35">
      <x:c r="A35" s="86"/>
      <x:c r="B35" s="86"/>
      <x:c r="C35" s="87"/>
      <x:c r="D35" s="87"/>
      <x:c r="E35" s="87"/>
      <x:c r="F35" s="87"/>
      <x:c r="G35" s="86"/>
      <x:c r="H35" s="86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  <x:c r="AA35" s="85"/>
      <x:c r="AB35" s="85"/>
      <x:c r="AC35" s="85"/>
      <x:c r="AD35" s="85"/>
      <x:c r="AE35" s="85"/>
      <x:c r="AF35" s="85"/>
      <x:c r="AG35" s="85"/>
      <x:c r="AH35" s="85"/>
      <x:c r="AI35" s="85"/>
      <x:c r="AJ35" s="85"/>
    </x:row>
    <x:row r="36">
      <x:c r="A36" s="86"/>
      <x:c r="B36" s="86"/>
      <x:c r="C36" s="87"/>
      <x:c r="D36" s="87"/>
      <x:c r="E36" s="87"/>
      <x:c r="F36" s="87"/>
      <x:c r="G36" s="86"/>
      <x:c r="H36" s="86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  <x:c r="AA36" s="85"/>
      <x:c r="AB36" s="85"/>
      <x:c r="AC36" s="85"/>
      <x:c r="AD36" s="85"/>
      <x:c r="AE36" s="85"/>
      <x:c r="AF36" s="85"/>
      <x:c r="AG36" s="85"/>
      <x:c r="AH36" s="85"/>
      <x:c r="AI36" s="85"/>
      <x:c r="AJ36" s="85"/>
    </x:row>
    <x:row r="37">
      <x:c r="A37" s="86"/>
      <x:c r="B37" s="86"/>
      <x:c r="C37" s="87"/>
      <x:c r="D37" s="87"/>
      <x:c r="E37" s="87"/>
      <x:c r="F37" s="87"/>
      <x:c r="G37" s="86"/>
      <x:c r="H37" s="86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  <x:c r="AA37" s="85"/>
      <x:c r="AB37" s="85"/>
      <x:c r="AC37" s="85"/>
      <x:c r="AD37" s="85"/>
      <x:c r="AE37" s="85"/>
      <x:c r="AF37" s="85"/>
      <x:c r="AG37" s="85"/>
      <x:c r="AH37" s="85"/>
      <x:c r="AI37" s="85"/>
      <x:c r="AJ37" s="85"/>
    </x:row>
    <x:row r="38">
      <x:c r="A38" s="86"/>
      <x:c r="B38" s="86"/>
      <x:c r="C38" s="87"/>
      <x:c r="D38" s="87"/>
      <x:c r="E38" s="87"/>
      <x:c r="F38" s="87"/>
      <x:c r="G38" s="86"/>
      <x:c r="H38" s="86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  <x:c r="AA38" s="85"/>
      <x:c r="AB38" s="85"/>
      <x:c r="AC38" s="85"/>
      <x:c r="AD38" s="85"/>
      <x:c r="AE38" s="85"/>
      <x:c r="AF38" s="85"/>
      <x:c r="AG38" s="85"/>
      <x:c r="AH38" s="85"/>
      <x:c r="AI38" s="85"/>
      <x:c r="AJ38" s="85"/>
    </x:row>
    <x:row r="39">
      <x:c r="A39" s="86"/>
      <x:c r="B39" s="86"/>
      <x:c r="C39" s="87"/>
      <x:c r="D39" s="87"/>
      <x:c r="E39" s="87"/>
      <x:c r="F39" s="87"/>
      <x:c r="G39" s="86"/>
      <x:c r="H39" s="86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  <x:c r="AA39" s="85"/>
      <x:c r="AB39" s="85"/>
      <x:c r="AC39" s="85"/>
      <x:c r="AD39" s="85"/>
      <x:c r="AE39" s="85"/>
      <x:c r="AF39" s="85"/>
      <x:c r="AG39" s="85"/>
      <x:c r="AH39" s="85"/>
      <x:c r="AI39" s="85"/>
      <x:c r="AJ39" s="85"/>
    </x:row>
    <x:row r="40">
      <x:c r="A40" s="86"/>
      <x:c r="B40" s="86"/>
      <x:c r="C40" s="87"/>
      <x:c r="D40" s="87"/>
      <x:c r="E40" s="87"/>
      <x:c r="F40" s="87"/>
      <x:c r="G40" s="86"/>
      <x:c r="H40" s="86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  <x:c r="AA40" s="85"/>
      <x:c r="AB40" s="85"/>
      <x:c r="AC40" s="85"/>
      <x:c r="AD40" s="85"/>
      <x:c r="AE40" s="85"/>
      <x:c r="AF40" s="85"/>
      <x:c r="AG40" s="85"/>
      <x:c r="AH40" s="85"/>
      <x:c r="AI40" s="85"/>
      <x:c r="AJ40" s="85"/>
    </x:row>
    <x:row r="41">
      <x:c r="A41" s="86"/>
      <x:c r="B41" s="86"/>
      <x:c r="C41" s="87"/>
      <x:c r="D41" s="87"/>
      <x:c r="E41" s="87"/>
      <x:c r="F41" s="87"/>
      <x:c r="G41" s="86"/>
      <x:c r="H41" s="86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  <x:c r="AA41" s="85"/>
      <x:c r="AB41" s="85"/>
      <x:c r="AC41" s="85"/>
      <x:c r="AD41" s="85"/>
      <x:c r="AE41" s="85"/>
      <x:c r="AF41" s="85"/>
      <x:c r="AG41" s="85"/>
      <x:c r="AH41" s="85"/>
      <x:c r="AI41" s="85"/>
      <x:c r="AJ41" s="85"/>
    </x:row>
    <x:row r="42">
      <x:c r="A42" s="86"/>
      <x:c r="B42" s="86"/>
      <x:c r="C42" s="87"/>
      <x:c r="D42" s="87"/>
      <x:c r="E42" s="87"/>
      <x:c r="F42" s="87"/>
      <x:c r="G42" s="86"/>
      <x:c r="H42" s="86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  <x:c r="AA42" s="85"/>
      <x:c r="AB42" s="85"/>
      <x:c r="AC42" s="85"/>
      <x:c r="AD42" s="85"/>
      <x:c r="AE42" s="85"/>
      <x:c r="AF42" s="85"/>
      <x:c r="AG42" s="85"/>
      <x:c r="AH42" s="85"/>
      <x:c r="AI42" s="85"/>
      <x:c r="AJ42" s="85"/>
    </x:row>
    <x:row r="43">
      <x:c r="A43" s="86"/>
      <x:c r="B43" s="86"/>
      <x:c r="C43" s="87"/>
      <x:c r="D43" s="87"/>
      <x:c r="E43" s="87"/>
      <x:c r="F43" s="87"/>
      <x:c r="G43" s="86"/>
      <x:c r="H43" s="86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  <x:c r="AA43" s="85"/>
      <x:c r="AB43" s="85"/>
      <x:c r="AC43" s="85"/>
      <x:c r="AD43" s="85"/>
      <x:c r="AE43" s="85"/>
      <x:c r="AF43" s="85"/>
      <x:c r="AG43" s="85"/>
      <x:c r="AH43" s="85"/>
      <x:c r="AI43" s="85"/>
      <x:c r="AJ43" s="85"/>
    </x:row>
    <x:row r="44">
      <x:c r="A44" s="86"/>
      <x:c r="B44" s="86"/>
      <x:c r="C44" s="87"/>
      <x:c r="D44" s="87"/>
      <x:c r="E44" s="87"/>
      <x:c r="F44" s="87"/>
      <x:c r="G44" s="86"/>
      <x:c r="H44" s="86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  <x:c r="AA44" s="85"/>
      <x:c r="AB44" s="85"/>
      <x:c r="AC44" s="85"/>
      <x:c r="AD44" s="85"/>
      <x:c r="AE44" s="85"/>
      <x:c r="AF44" s="85"/>
      <x:c r="AG44" s="85"/>
      <x:c r="AH44" s="85"/>
      <x:c r="AI44" s="85"/>
      <x:c r="AJ44" s="85"/>
    </x:row>
    <x:row r="45">
      <x:c r="A45" s="86"/>
      <x:c r="B45" s="86"/>
      <x:c r="C45" s="87"/>
      <x:c r="D45" s="87"/>
      <x:c r="E45" s="87"/>
      <x:c r="F45" s="87"/>
      <x:c r="G45" s="86"/>
      <x:c r="H45" s="86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  <x:c r="AA45" s="85"/>
      <x:c r="AB45" s="85"/>
      <x:c r="AC45" s="85"/>
      <x:c r="AD45" s="85"/>
      <x:c r="AE45" s="85"/>
      <x:c r="AF45" s="85"/>
      <x:c r="AG45" s="85"/>
      <x:c r="AH45" s="85"/>
      <x:c r="AI45" s="85"/>
      <x:c r="AJ45" s="85"/>
    </x:row>
    <x:row r="46">
      <x:c r="A46" s="86"/>
      <x:c r="B46" s="86"/>
      <x:c r="C46" s="87"/>
      <x:c r="D46" s="87"/>
      <x:c r="E46" s="87"/>
      <x:c r="F46" s="87"/>
      <x:c r="G46" s="86"/>
      <x:c r="H46" s="86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  <x:c r="AA46" s="85"/>
      <x:c r="AB46" s="85"/>
      <x:c r="AC46" s="85"/>
      <x:c r="AD46" s="85"/>
      <x:c r="AE46" s="85"/>
      <x:c r="AF46" s="85"/>
      <x:c r="AG46" s="85"/>
      <x:c r="AH46" s="85"/>
      <x:c r="AI46" s="85"/>
      <x:c r="AJ46" s="85"/>
    </x:row>
    <x:row r="47">
      <x:c r="A47" s="86"/>
      <x:c r="B47" s="86"/>
      <x:c r="C47" s="87"/>
      <x:c r="D47" s="87"/>
      <x:c r="E47" s="87"/>
      <x:c r="F47" s="87"/>
      <x:c r="G47" s="86"/>
      <x:c r="H47" s="86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  <x:c r="AA47" s="85"/>
      <x:c r="AB47" s="85"/>
      <x:c r="AC47" s="85"/>
      <x:c r="AD47" s="85"/>
      <x:c r="AE47" s="85"/>
      <x:c r="AF47" s="85"/>
      <x:c r="AG47" s="85"/>
      <x:c r="AH47" s="85"/>
      <x:c r="AI47" s="85"/>
      <x:c r="AJ47" s="85"/>
    </x:row>
    <x:row r="48">
      <x:c r="A48" s="86"/>
      <x:c r="B48" s="86"/>
      <x:c r="C48" s="87"/>
      <x:c r="D48" s="87"/>
      <x:c r="E48" s="87"/>
      <x:c r="F48" s="87"/>
      <x:c r="G48" s="86"/>
      <x:c r="H48" s="86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  <x:c r="AA48" s="85"/>
      <x:c r="AB48" s="85"/>
      <x:c r="AC48" s="85"/>
      <x:c r="AD48" s="85"/>
      <x:c r="AE48" s="85"/>
      <x:c r="AF48" s="85"/>
      <x:c r="AG48" s="85"/>
      <x:c r="AH48" s="85"/>
      <x:c r="AI48" s="85"/>
      <x:c r="AJ48" s="85"/>
    </x:row>
    <x:row r="49">
      <x:c r="A49" s="86"/>
      <x:c r="B49" s="86"/>
      <x:c r="C49" s="87"/>
      <x:c r="D49" s="87"/>
      <x:c r="E49" s="87"/>
      <x:c r="F49" s="87"/>
      <x:c r="G49" s="86"/>
      <x:c r="H49" s="86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  <x:c r="AA49" s="85"/>
      <x:c r="AB49" s="85"/>
      <x:c r="AC49" s="85"/>
      <x:c r="AD49" s="85"/>
      <x:c r="AE49" s="85"/>
      <x:c r="AF49" s="85"/>
      <x:c r="AG49" s="85"/>
      <x:c r="AH49" s="85"/>
      <x:c r="AI49" s="85"/>
      <x:c r="AJ49" s="85"/>
    </x:row>
    <x:row r="50">
      <x:c r="A50" s="86"/>
      <x:c r="B50" s="86"/>
      <x:c r="C50" s="87"/>
      <x:c r="D50" s="87"/>
      <x:c r="E50" s="87"/>
      <x:c r="F50" s="87"/>
      <x:c r="G50" s="86"/>
      <x:c r="H50" s="86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  <x:c r="AA50" s="85"/>
      <x:c r="AB50" s="85"/>
      <x:c r="AC50" s="85"/>
      <x:c r="AD50" s="85"/>
      <x:c r="AE50" s="85"/>
      <x:c r="AF50" s="85"/>
      <x:c r="AG50" s="85"/>
      <x:c r="AH50" s="85"/>
      <x:c r="AI50" s="85"/>
      <x:c r="AJ50" s="85"/>
    </x:row>
    <x:row r="51">
      <x:c r="A51" s="86"/>
      <x:c r="B51" s="86"/>
      <x:c r="C51" s="87"/>
      <x:c r="D51" s="87"/>
      <x:c r="E51" s="87"/>
      <x:c r="F51" s="87"/>
      <x:c r="G51" s="86"/>
      <x:c r="H51" s="86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  <x:c r="AA51" s="85"/>
      <x:c r="AB51" s="85"/>
      <x:c r="AC51" s="85"/>
      <x:c r="AD51" s="85"/>
      <x:c r="AE51" s="85"/>
      <x:c r="AF51" s="85"/>
      <x:c r="AG51" s="85"/>
      <x:c r="AH51" s="85"/>
      <x:c r="AI51" s="85"/>
      <x:c r="AJ51" s="85"/>
    </x:row>
    <x:row r="52">
      <x:c r="A52" s="86"/>
      <x:c r="B52" s="86"/>
      <x:c r="C52" s="87"/>
      <x:c r="D52" s="87"/>
      <x:c r="E52" s="87"/>
      <x:c r="F52" s="87"/>
      <x:c r="G52" s="86"/>
      <x:c r="H52" s="86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  <x:c r="AA52" s="85"/>
      <x:c r="AB52" s="85"/>
      <x:c r="AC52" s="85"/>
      <x:c r="AD52" s="85"/>
      <x:c r="AE52" s="85"/>
      <x:c r="AF52" s="85"/>
      <x:c r="AG52" s="85"/>
      <x:c r="AH52" s="85"/>
      <x:c r="AI52" s="85"/>
      <x:c r="AJ52" s="85"/>
    </x:row>
    <x:row r="53">
      <x:c r="A53" s="86"/>
      <x:c r="B53" s="86"/>
      <x:c r="C53" s="87"/>
      <x:c r="D53" s="87"/>
      <x:c r="E53" s="87"/>
      <x:c r="F53" s="87"/>
      <x:c r="G53" s="86"/>
      <x:c r="H53" s="86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  <x:c r="AA53" s="85"/>
      <x:c r="AB53" s="85"/>
      <x:c r="AC53" s="85"/>
      <x:c r="AD53" s="85"/>
      <x:c r="AE53" s="85"/>
      <x:c r="AF53" s="85"/>
      <x:c r="AG53" s="85"/>
      <x:c r="AH53" s="85"/>
      <x:c r="AI53" s="85"/>
      <x:c r="AJ53" s="85"/>
    </x:row>
    <x:row r="54">
      <x:c r="A54" s="86"/>
      <x:c r="B54" s="86"/>
      <x:c r="C54" s="87"/>
      <x:c r="D54" s="87"/>
      <x:c r="E54" s="87"/>
      <x:c r="F54" s="87"/>
      <x:c r="G54" s="86"/>
      <x:c r="H54" s="86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  <x:c r="AA54" s="85"/>
      <x:c r="AB54" s="85"/>
      <x:c r="AC54" s="85"/>
      <x:c r="AD54" s="85"/>
      <x:c r="AE54" s="85"/>
      <x:c r="AF54" s="85"/>
      <x:c r="AG54" s="85"/>
      <x:c r="AH54" s="85"/>
      <x:c r="AI54" s="85"/>
      <x:c r="AJ54" s="85"/>
    </x:row>
    <x:row r="55">
      <x:c r="A55" s="86"/>
      <x:c r="B55" s="86"/>
      <x:c r="C55" s="87"/>
      <x:c r="D55" s="87"/>
      <x:c r="E55" s="87"/>
      <x:c r="F55" s="87"/>
      <x:c r="G55" s="86"/>
      <x:c r="H55" s="86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  <x:c r="AA55" s="85"/>
      <x:c r="AB55" s="85"/>
      <x:c r="AC55" s="85"/>
      <x:c r="AD55" s="85"/>
      <x:c r="AE55" s="85"/>
      <x:c r="AF55" s="85"/>
      <x:c r="AG55" s="85"/>
      <x:c r="AH55" s="85"/>
      <x:c r="AI55" s="85"/>
      <x:c r="AJ55" s="85"/>
    </x:row>
    <x:row r="56">
      <x:c r="A56" s="86"/>
      <x:c r="B56" s="86"/>
      <x:c r="C56" s="87"/>
      <x:c r="D56" s="87"/>
      <x:c r="E56" s="87"/>
      <x:c r="F56" s="87"/>
      <x:c r="G56" s="86"/>
      <x:c r="H56" s="86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  <x:c r="AA56" s="85"/>
      <x:c r="AB56" s="85"/>
      <x:c r="AC56" s="85"/>
      <x:c r="AD56" s="85"/>
      <x:c r="AE56" s="85"/>
      <x:c r="AF56" s="85"/>
      <x:c r="AG56" s="85"/>
      <x:c r="AH56" s="85"/>
      <x:c r="AI56" s="85"/>
      <x:c r="AJ56" s="85"/>
    </x:row>
    <x:row r="57">
      <x:c r="A57" s="86"/>
      <x:c r="B57" s="86"/>
      <x:c r="C57" s="87"/>
      <x:c r="D57" s="87"/>
      <x:c r="E57" s="87"/>
      <x:c r="F57" s="87"/>
      <x:c r="G57" s="86"/>
      <x:c r="H57" s="86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  <x:c r="AA57" s="85"/>
      <x:c r="AB57" s="85"/>
      <x:c r="AC57" s="85"/>
      <x:c r="AD57" s="85"/>
      <x:c r="AE57" s="85"/>
      <x:c r="AF57" s="85"/>
      <x:c r="AG57" s="85"/>
      <x:c r="AH57" s="85"/>
      <x:c r="AI57" s="85"/>
      <x:c r="AJ57" s="85"/>
    </x:row>
    <x:row r="58">
      <x:c r="A58" s="86"/>
      <x:c r="B58" s="86"/>
      <x:c r="C58" s="87"/>
      <x:c r="D58" s="87"/>
      <x:c r="E58" s="87"/>
      <x:c r="F58" s="87"/>
      <x:c r="G58" s="86"/>
      <x:c r="H58" s="86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  <x:c r="AA58" s="85"/>
      <x:c r="AB58" s="85"/>
      <x:c r="AC58" s="85"/>
      <x:c r="AD58" s="85"/>
      <x:c r="AE58" s="85"/>
      <x:c r="AF58" s="85"/>
      <x:c r="AG58" s="85"/>
      <x:c r="AH58" s="85"/>
      <x:c r="AI58" s="85"/>
      <x:c r="AJ58" s="85"/>
    </x:row>
    <x:row r="59">
      <x:c r="A59" s="86"/>
      <x:c r="B59" s="86"/>
      <x:c r="C59" s="87"/>
      <x:c r="D59" s="87"/>
      <x:c r="E59" s="87"/>
      <x:c r="F59" s="87"/>
      <x:c r="G59" s="86"/>
      <x:c r="H59" s="86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  <x:c r="AA59" s="85"/>
      <x:c r="AB59" s="85"/>
      <x:c r="AC59" s="85"/>
      <x:c r="AD59" s="85"/>
      <x:c r="AE59" s="85"/>
      <x:c r="AF59" s="85"/>
      <x:c r="AG59" s="85"/>
      <x:c r="AH59" s="85"/>
      <x:c r="AI59" s="85"/>
      <x:c r="AJ59" s="85"/>
    </x:row>
    <x:row r="60">
      <x:c r="A60" s="86"/>
      <x:c r="B60" s="86"/>
      <x:c r="C60" s="87"/>
      <x:c r="D60" s="87"/>
      <x:c r="E60" s="87"/>
      <x:c r="F60" s="87"/>
      <x:c r="G60" s="86"/>
      <x:c r="H60" s="86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  <x:c r="AA60" s="85"/>
      <x:c r="AB60" s="85"/>
      <x:c r="AC60" s="85"/>
      <x:c r="AD60" s="85"/>
      <x:c r="AE60" s="85"/>
      <x:c r="AF60" s="85"/>
      <x:c r="AG60" s="85"/>
      <x:c r="AH60" s="85"/>
      <x:c r="AI60" s="85"/>
      <x:c r="AJ60" s="85"/>
    </x:row>
    <x:row r="61">
      <x:c r="A61" s="86"/>
      <x:c r="B61" s="86"/>
      <x:c r="C61" s="87"/>
      <x:c r="D61" s="87"/>
      <x:c r="E61" s="87"/>
      <x:c r="F61" s="87"/>
      <x:c r="G61" s="86"/>
      <x:c r="H61" s="86"/>
      <x:c r="I61" s="85"/>
      <x:c r="J61" s="85"/>
      <x:c r="K61" s="85"/>
      <x:c r="L61" s="85"/>
      <x:c r="M61" s="85"/>
      <x:c r="N61" s="85"/>
      <x:c r="O61" s="85"/>
      <x:c r="P61" s="85"/>
      <x:c r="Q61" s="85"/>
      <x:c r="R61" s="85"/>
      <x:c r="S61" s="85"/>
      <x:c r="T61" s="85"/>
      <x:c r="U61" s="85"/>
      <x:c r="V61" s="85"/>
      <x:c r="W61" s="85"/>
      <x:c r="X61" s="85"/>
      <x:c r="Y61" s="85"/>
      <x:c r="Z61" s="85"/>
      <x:c r="AA61" s="85"/>
      <x:c r="AB61" s="85"/>
      <x:c r="AC61" s="85"/>
      <x:c r="AD61" s="85"/>
      <x:c r="AE61" s="85"/>
      <x:c r="AF61" s="85"/>
      <x:c r="AG61" s="85"/>
      <x:c r="AH61" s="85"/>
      <x:c r="AI61" s="85"/>
      <x:c r="AJ61" s="85"/>
    </x:row>
    <x:row r="62">
      <x:c r="A62" s="86"/>
      <x:c r="B62" s="86"/>
      <x:c r="C62" s="87"/>
      <x:c r="D62" s="87"/>
      <x:c r="E62" s="87"/>
      <x:c r="F62" s="87"/>
      <x:c r="G62" s="86"/>
      <x:c r="H62" s="86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  <x:c r="AA62" s="85"/>
      <x:c r="AB62" s="85"/>
      <x:c r="AC62" s="85"/>
      <x:c r="AD62" s="85"/>
      <x:c r="AE62" s="85"/>
      <x:c r="AF62" s="85"/>
      <x:c r="AG62" s="85"/>
      <x:c r="AH62" s="85"/>
      <x:c r="AI62" s="85"/>
      <x:c r="AJ62" s="85"/>
    </x:row>
    <x:row r="63">
      <x:c r="A63" s="86"/>
      <x:c r="B63" s="86"/>
      <x:c r="C63" s="87"/>
      <x:c r="D63" s="87"/>
      <x:c r="E63" s="87"/>
      <x:c r="F63" s="87"/>
      <x:c r="G63" s="86"/>
      <x:c r="H63" s="86"/>
      <x:c r="I63" s="85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5"/>
      <x:c r="V63" s="85"/>
      <x:c r="W63" s="85"/>
      <x:c r="X63" s="85"/>
      <x:c r="Y63" s="85"/>
      <x:c r="Z63" s="85"/>
      <x:c r="AA63" s="85"/>
      <x:c r="AB63" s="85"/>
      <x:c r="AC63" s="85"/>
      <x:c r="AD63" s="85"/>
      <x:c r="AE63" s="85"/>
      <x:c r="AF63" s="85"/>
      <x:c r="AG63" s="85"/>
      <x:c r="AH63" s="85"/>
      <x:c r="AI63" s="85"/>
      <x:c r="AJ63" s="85"/>
    </x:row>
    <x:row r="64">
      <x:c r="A64" s="86"/>
      <x:c r="B64" s="86"/>
      <x:c r="C64" s="87"/>
      <x:c r="D64" s="87"/>
      <x:c r="E64" s="87"/>
      <x:c r="F64" s="87"/>
      <x:c r="G64" s="86"/>
      <x:c r="H64" s="86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  <x:c r="AA64" s="85"/>
      <x:c r="AB64" s="85"/>
      <x:c r="AC64" s="85"/>
      <x:c r="AD64" s="85"/>
      <x:c r="AE64" s="85"/>
      <x:c r="AF64" s="85"/>
      <x:c r="AG64" s="85"/>
      <x:c r="AH64" s="85"/>
      <x:c r="AI64" s="85"/>
      <x:c r="AJ64" s="85"/>
    </x:row>
    <x:row r="65">
      <x:c r="A65" s="86"/>
      <x:c r="B65" s="86"/>
      <x:c r="C65" s="87"/>
      <x:c r="D65" s="87"/>
      <x:c r="E65" s="87"/>
      <x:c r="F65" s="87"/>
      <x:c r="G65" s="86"/>
      <x:c r="H65" s="86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  <x:c r="AA65" s="85"/>
      <x:c r="AB65" s="85"/>
      <x:c r="AC65" s="85"/>
      <x:c r="AD65" s="85"/>
      <x:c r="AE65" s="85"/>
      <x:c r="AF65" s="85"/>
      <x:c r="AG65" s="85"/>
      <x:c r="AH65" s="85"/>
      <x:c r="AI65" s="85"/>
      <x:c r="AJ65" s="85"/>
    </x:row>
    <x:row r="66">
      <x:c r="A66" s="86"/>
      <x:c r="B66" s="86"/>
      <x:c r="C66" s="87"/>
      <x:c r="D66" s="87"/>
      <x:c r="E66" s="87"/>
      <x:c r="F66" s="87"/>
      <x:c r="G66" s="86"/>
      <x:c r="H66" s="86"/>
      <x:c r="I66" s="85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5"/>
      <x:c r="V66" s="85"/>
      <x:c r="W66" s="85"/>
      <x:c r="X66" s="85"/>
      <x:c r="Y66" s="85"/>
      <x:c r="Z66" s="85"/>
      <x:c r="AA66" s="85"/>
      <x:c r="AB66" s="85"/>
      <x:c r="AC66" s="85"/>
      <x:c r="AD66" s="85"/>
      <x:c r="AE66" s="85"/>
      <x:c r="AF66" s="85"/>
      <x:c r="AG66" s="85"/>
      <x:c r="AH66" s="85"/>
      <x:c r="AI66" s="85"/>
      <x:c r="AJ66" s="85"/>
    </x:row>
    <x:row r="67">
      <x:c r="A67" s="86"/>
      <x:c r="B67" s="86"/>
      <x:c r="C67" s="87"/>
      <x:c r="D67" s="87"/>
      <x:c r="E67" s="87"/>
      <x:c r="F67" s="87"/>
      <x:c r="G67" s="86"/>
      <x:c r="H67" s="86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  <x:c r="AA67" s="85"/>
      <x:c r="AB67" s="85"/>
      <x:c r="AC67" s="85"/>
      <x:c r="AD67" s="85"/>
      <x:c r="AE67" s="85"/>
      <x:c r="AF67" s="85"/>
      <x:c r="AG67" s="85"/>
      <x:c r="AH67" s="85"/>
      <x:c r="AI67" s="85"/>
      <x:c r="AJ67" s="85"/>
    </x:row>
    <x:row r="68">
      <x:c r="A68" s="86"/>
      <x:c r="B68" s="86"/>
      <x:c r="C68" s="87"/>
      <x:c r="D68" s="87"/>
      <x:c r="E68" s="87"/>
      <x:c r="F68" s="87"/>
      <x:c r="G68" s="86"/>
      <x:c r="H68" s="86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  <x:c r="AA68" s="85"/>
      <x:c r="AB68" s="85"/>
      <x:c r="AC68" s="85"/>
      <x:c r="AD68" s="85"/>
      <x:c r="AE68" s="85"/>
      <x:c r="AF68" s="85"/>
      <x:c r="AG68" s="85"/>
      <x:c r="AH68" s="85"/>
      <x:c r="AI68" s="85"/>
      <x:c r="AJ68" s="85"/>
    </x:row>
    <x:row r="69">
      <x:c r="A69" s="86"/>
      <x:c r="B69" s="86"/>
      <x:c r="C69" s="87"/>
      <x:c r="D69" s="87"/>
      <x:c r="E69" s="87"/>
      <x:c r="F69" s="87"/>
      <x:c r="G69" s="86"/>
      <x:c r="H69" s="86"/>
      <x:c r="I69" s="85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5"/>
      <x:c r="V69" s="85"/>
      <x:c r="W69" s="85"/>
      <x:c r="X69" s="85"/>
      <x:c r="Y69" s="85"/>
      <x:c r="Z69" s="85"/>
      <x:c r="AA69" s="85"/>
      <x:c r="AB69" s="85"/>
      <x:c r="AC69" s="85"/>
      <x:c r="AD69" s="85"/>
      <x:c r="AE69" s="85"/>
      <x:c r="AF69" s="85"/>
      <x:c r="AG69" s="85"/>
      <x:c r="AH69" s="85"/>
      <x:c r="AI69" s="85"/>
      <x:c r="AJ69" s="85"/>
    </x:row>
    <x:row r="70">
      <x:c r="A70" s="86"/>
      <x:c r="B70" s="86"/>
      <x:c r="C70" s="87"/>
      <x:c r="D70" s="87"/>
      <x:c r="E70" s="87"/>
      <x:c r="F70" s="87"/>
      <x:c r="G70" s="86"/>
      <x:c r="H70" s="86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  <x:c r="AA70" s="85"/>
      <x:c r="AB70" s="85"/>
      <x:c r="AC70" s="85"/>
      <x:c r="AD70" s="85"/>
      <x:c r="AE70" s="85"/>
      <x:c r="AF70" s="85"/>
      <x:c r="AG70" s="85"/>
      <x:c r="AH70" s="85"/>
      <x:c r="AI70" s="85"/>
      <x:c r="AJ70" s="85"/>
    </x:row>
    <x:row r="71">
      <x:c r="A71" s="86"/>
      <x:c r="B71" s="86"/>
      <x:c r="C71" s="87"/>
      <x:c r="D71" s="87"/>
      <x:c r="E71" s="87"/>
      <x:c r="F71" s="87"/>
      <x:c r="G71" s="86"/>
      <x:c r="H71" s="86"/>
      <x:c r="I71" s="85"/>
      <x:c r="J71" s="85"/>
      <x:c r="K71" s="85"/>
      <x:c r="L71" s="85"/>
      <x:c r="M71" s="85"/>
      <x:c r="N71" s="85"/>
      <x:c r="O71" s="85"/>
      <x:c r="P71" s="85"/>
      <x:c r="Q71" s="85"/>
      <x:c r="R71" s="85"/>
      <x:c r="S71" s="85"/>
      <x:c r="T71" s="85"/>
      <x:c r="U71" s="85"/>
      <x:c r="V71" s="85"/>
      <x:c r="W71" s="85"/>
      <x:c r="X71" s="85"/>
      <x:c r="Y71" s="85"/>
      <x:c r="Z71" s="85"/>
      <x:c r="AA71" s="85"/>
      <x:c r="AB71" s="85"/>
      <x:c r="AC71" s="85"/>
      <x:c r="AD71" s="85"/>
      <x:c r="AE71" s="85"/>
      <x:c r="AF71" s="85"/>
      <x:c r="AG71" s="85"/>
      <x:c r="AH71" s="85"/>
      <x:c r="AI71" s="85"/>
      <x:c r="AJ71" s="85"/>
    </x:row>
    <x:row r="72">
      <x:c r="A72" s="86"/>
      <x:c r="B72" s="86"/>
      <x:c r="C72" s="87"/>
      <x:c r="D72" s="87"/>
      <x:c r="E72" s="87"/>
      <x:c r="F72" s="87"/>
      <x:c r="G72" s="86"/>
      <x:c r="H72" s="86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  <x:c r="AA72" s="85"/>
      <x:c r="AB72" s="85"/>
      <x:c r="AC72" s="85"/>
      <x:c r="AD72" s="85"/>
      <x:c r="AE72" s="85"/>
      <x:c r="AF72" s="85"/>
      <x:c r="AG72" s="85"/>
      <x:c r="AH72" s="85"/>
      <x:c r="AI72" s="85"/>
      <x:c r="AJ72" s="85"/>
    </x:row>
    <x:row r="73">
      <x:c r="A73" s="86"/>
      <x:c r="B73" s="86"/>
      <x:c r="C73" s="87"/>
      <x:c r="D73" s="87"/>
      <x:c r="E73" s="87"/>
      <x:c r="F73" s="87"/>
      <x:c r="G73" s="86"/>
      <x:c r="H73" s="86"/>
      <x:c r="I73" s="85"/>
      <x:c r="J73" s="85"/>
      <x:c r="K73" s="85"/>
      <x:c r="L73" s="85"/>
      <x:c r="M73" s="85"/>
      <x:c r="N73" s="85"/>
      <x:c r="O73" s="85"/>
      <x:c r="P73" s="85"/>
      <x:c r="Q73" s="85"/>
      <x:c r="R73" s="85"/>
      <x:c r="S73" s="85"/>
      <x:c r="T73" s="85"/>
      <x:c r="U73" s="85"/>
      <x:c r="V73" s="85"/>
      <x:c r="W73" s="85"/>
      <x:c r="X73" s="85"/>
      <x:c r="Y73" s="85"/>
      <x:c r="Z73" s="85"/>
      <x:c r="AA73" s="85"/>
      <x:c r="AB73" s="85"/>
      <x:c r="AC73" s="85"/>
      <x:c r="AD73" s="85"/>
      <x:c r="AE73" s="85"/>
      <x:c r="AF73" s="85"/>
      <x:c r="AG73" s="85"/>
      <x:c r="AH73" s="85"/>
      <x:c r="AI73" s="85"/>
      <x:c r="AJ73" s="85"/>
    </x:row>
    <x:row r="74">
      <x:c r="A74" s="86"/>
      <x:c r="B74" s="86"/>
      <x:c r="C74" s="87"/>
      <x:c r="D74" s="87"/>
      <x:c r="E74" s="87"/>
      <x:c r="F74" s="87"/>
      <x:c r="G74" s="86"/>
      <x:c r="H74" s="86"/>
      <x:c r="I74" s="85"/>
      <x:c r="J74" s="85"/>
      <x:c r="K74" s="85"/>
      <x:c r="L74" s="85"/>
      <x:c r="M74" s="85"/>
      <x:c r="N74" s="85"/>
      <x:c r="O74" s="85"/>
      <x:c r="P74" s="85"/>
      <x:c r="Q74" s="85"/>
      <x:c r="R74" s="85"/>
      <x:c r="S74" s="85"/>
      <x:c r="T74" s="85"/>
      <x:c r="U74" s="85"/>
      <x:c r="V74" s="85"/>
      <x:c r="W74" s="85"/>
      <x:c r="X74" s="85"/>
      <x:c r="Y74" s="85"/>
      <x:c r="Z74" s="85"/>
      <x:c r="AA74" s="85"/>
      <x:c r="AB74" s="85"/>
      <x:c r="AC74" s="85"/>
      <x:c r="AD74" s="85"/>
      <x:c r="AE74" s="85"/>
      <x:c r="AF74" s="85"/>
      <x:c r="AG74" s="85"/>
      <x:c r="AH74" s="85"/>
      <x:c r="AI74" s="85"/>
      <x:c r="AJ74" s="85"/>
    </x:row>
    <x:row r="75">
      <x:c r="A75" s="86"/>
      <x:c r="B75" s="86"/>
      <x:c r="C75" s="87"/>
      <x:c r="D75" s="87"/>
      <x:c r="E75" s="87"/>
      <x:c r="F75" s="87"/>
      <x:c r="G75" s="86"/>
      <x:c r="H75" s="86"/>
      <x:c r="I75" s="85"/>
      <x:c r="J75" s="85"/>
      <x:c r="K75" s="85"/>
      <x:c r="L75" s="85"/>
      <x:c r="M75" s="85"/>
      <x:c r="N75" s="85"/>
      <x:c r="O75" s="85"/>
      <x:c r="P75" s="85"/>
      <x:c r="Q75" s="85"/>
      <x:c r="R75" s="85"/>
      <x:c r="S75" s="85"/>
      <x:c r="T75" s="85"/>
      <x:c r="U75" s="85"/>
      <x:c r="V75" s="85"/>
      <x:c r="W75" s="85"/>
      <x:c r="X75" s="85"/>
      <x:c r="Y75" s="85"/>
      <x:c r="Z75" s="85"/>
      <x:c r="AA75" s="85"/>
      <x:c r="AB75" s="85"/>
      <x:c r="AC75" s="85"/>
      <x:c r="AD75" s="85"/>
      <x:c r="AE75" s="85"/>
      <x:c r="AF75" s="85"/>
      <x:c r="AG75" s="85"/>
      <x:c r="AH75" s="85"/>
      <x:c r="AI75" s="85"/>
      <x:c r="AJ75" s="85"/>
    </x:row>
    <x:row r="76">
      <x:c r="A76" s="86"/>
      <x:c r="B76" s="86"/>
      <x:c r="C76" s="87"/>
      <x:c r="D76" s="87"/>
      <x:c r="E76" s="87"/>
      <x:c r="F76" s="87"/>
      <x:c r="G76" s="86"/>
      <x:c r="H76" s="86"/>
      <x:c r="I76" s="85"/>
      <x:c r="J76" s="85"/>
      <x:c r="K76" s="85"/>
      <x:c r="L76" s="85"/>
      <x:c r="M76" s="85"/>
      <x:c r="N76" s="85"/>
      <x:c r="O76" s="85"/>
      <x:c r="P76" s="85"/>
      <x:c r="Q76" s="85"/>
      <x:c r="R76" s="85"/>
      <x:c r="S76" s="85"/>
      <x:c r="T76" s="85"/>
      <x:c r="U76" s="85"/>
      <x:c r="V76" s="85"/>
      <x:c r="W76" s="85"/>
      <x:c r="X76" s="85"/>
      <x:c r="Y76" s="85"/>
      <x:c r="Z76" s="85"/>
      <x:c r="AA76" s="85"/>
      <x:c r="AB76" s="85"/>
      <x:c r="AC76" s="85"/>
      <x:c r="AD76" s="85"/>
      <x:c r="AE76" s="85"/>
      <x:c r="AF76" s="85"/>
      <x:c r="AG76" s="85"/>
      <x:c r="AH76" s="85"/>
      <x:c r="AI76" s="85"/>
      <x:c r="AJ76" s="85"/>
    </x:row>
    <x:row r="77">
      <x:c r="A77" s="86"/>
      <x:c r="B77" s="86"/>
      <x:c r="C77" s="87"/>
      <x:c r="D77" s="87"/>
      <x:c r="E77" s="87"/>
      <x:c r="F77" s="87"/>
      <x:c r="G77" s="86"/>
      <x:c r="H77" s="86"/>
      <x:c r="I77" s="85"/>
      <x:c r="J77" s="85"/>
      <x:c r="K77" s="85"/>
      <x:c r="L77" s="85"/>
      <x:c r="M77" s="85"/>
      <x:c r="N77" s="85"/>
      <x:c r="O77" s="85"/>
      <x:c r="P77" s="85"/>
      <x:c r="Q77" s="85"/>
      <x:c r="R77" s="85"/>
      <x:c r="S77" s="85"/>
      <x:c r="T77" s="85"/>
      <x:c r="U77" s="85"/>
      <x:c r="V77" s="85"/>
      <x:c r="W77" s="85"/>
      <x:c r="X77" s="85"/>
      <x:c r="Y77" s="85"/>
      <x:c r="Z77" s="85"/>
      <x:c r="AA77" s="85"/>
      <x:c r="AB77" s="85"/>
      <x:c r="AC77" s="85"/>
      <x:c r="AD77" s="85"/>
      <x:c r="AE77" s="85"/>
      <x:c r="AF77" s="85"/>
      <x:c r="AG77" s="85"/>
      <x:c r="AH77" s="85"/>
      <x:c r="AI77" s="85"/>
      <x:c r="AJ77" s="85"/>
    </x:row>
    <x:row r="78">
      <x:c r="A78" s="86"/>
      <x:c r="B78" s="86"/>
      <x:c r="C78" s="87"/>
      <x:c r="D78" s="87"/>
      <x:c r="E78" s="87"/>
      <x:c r="F78" s="87"/>
      <x:c r="G78" s="86"/>
      <x:c r="H78" s="86"/>
      <x:c r="I78" s="85"/>
      <x:c r="J78" s="85"/>
      <x:c r="K78" s="85"/>
      <x:c r="L78" s="85"/>
      <x:c r="M78" s="85"/>
      <x:c r="N78" s="85"/>
      <x:c r="O78" s="85"/>
      <x:c r="P78" s="85"/>
      <x:c r="Q78" s="85"/>
      <x:c r="R78" s="85"/>
      <x:c r="S78" s="85"/>
      <x:c r="T78" s="85"/>
      <x:c r="U78" s="85"/>
      <x:c r="V78" s="85"/>
      <x:c r="W78" s="85"/>
      <x:c r="X78" s="85"/>
      <x:c r="Y78" s="85"/>
      <x:c r="Z78" s="85"/>
      <x:c r="AA78" s="85"/>
      <x:c r="AB78" s="85"/>
      <x:c r="AC78" s="85"/>
      <x:c r="AD78" s="85"/>
      <x:c r="AE78" s="85"/>
      <x:c r="AF78" s="85"/>
      <x:c r="AG78" s="85"/>
      <x:c r="AH78" s="85"/>
      <x:c r="AI78" s="85"/>
      <x:c r="AJ78" s="85"/>
    </x:row>
    <x:row r="79">
      <x:c r="A79" s="86"/>
      <x:c r="B79" s="86"/>
      <x:c r="C79" s="87"/>
      <x:c r="D79" s="87"/>
      <x:c r="E79" s="87"/>
      <x:c r="F79" s="87"/>
      <x:c r="G79" s="86"/>
      <x:c r="H79" s="86"/>
      <x:c r="I79" s="85"/>
      <x:c r="J79" s="85"/>
      <x:c r="K79" s="85"/>
      <x:c r="L79" s="85"/>
      <x:c r="M79" s="85"/>
      <x:c r="N79" s="85"/>
      <x:c r="O79" s="85"/>
      <x:c r="P79" s="85"/>
      <x:c r="Q79" s="85"/>
      <x:c r="R79" s="85"/>
      <x:c r="S79" s="85"/>
      <x:c r="T79" s="85"/>
      <x:c r="U79" s="85"/>
      <x:c r="V79" s="85"/>
      <x:c r="W79" s="85"/>
      <x:c r="X79" s="85"/>
      <x:c r="Y79" s="85"/>
      <x:c r="Z79" s="85"/>
      <x:c r="AA79" s="85"/>
      <x:c r="AB79" s="85"/>
      <x:c r="AC79" s="85"/>
      <x:c r="AD79" s="85"/>
      <x:c r="AE79" s="85"/>
      <x:c r="AF79" s="85"/>
      <x:c r="AG79" s="85"/>
      <x:c r="AH79" s="85"/>
      <x:c r="AI79" s="85"/>
      <x:c r="AJ79" s="85"/>
    </x:row>
    <x:row r="80">
      <x:c r="A80" s="86"/>
      <x:c r="B80" s="86"/>
      <x:c r="C80" s="87"/>
      <x:c r="D80" s="87"/>
      <x:c r="E80" s="87"/>
      <x:c r="F80" s="87"/>
      <x:c r="G80" s="86"/>
      <x:c r="H80" s="86"/>
      <x:c r="I80" s="85"/>
      <x:c r="J80" s="85"/>
      <x:c r="K80" s="85"/>
      <x:c r="L80" s="85"/>
      <x:c r="M80" s="85"/>
      <x:c r="N80" s="85"/>
      <x:c r="O80" s="85"/>
      <x:c r="P80" s="85"/>
      <x:c r="Q80" s="85"/>
      <x:c r="R80" s="85"/>
      <x:c r="S80" s="85"/>
      <x:c r="T80" s="85"/>
      <x:c r="U80" s="85"/>
      <x:c r="V80" s="85"/>
      <x:c r="W80" s="85"/>
      <x:c r="X80" s="85"/>
      <x:c r="Y80" s="85"/>
      <x:c r="Z80" s="85"/>
      <x:c r="AA80" s="85"/>
      <x:c r="AB80" s="85"/>
      <x:c r="AC80" s="85"/>
      <x:c r="AD80" s="85"/>
      <x:c r="AE80" s="85"/>
      <x:c r="AF80" s="85"/>
      <x:c r="AG80" s="85"/>
      <x:c r="AH80" s="85"/>
      <x:c r="AI80" s="85"/>
      <x:c r="AJ80" s="85"/>
    </x:row>
    <x:row r="81">
      <x:c r="A81" s="86"/>
      <x:c r="B81" s="86"/>
      <x:c r="C81" s="87"/>
      <x:c r="D81" s="87"/>
      <x:c r="E81" s="87"/>
      <x:c r="F81" s="87"/>
      <x:c r="G81" s="86"/>
      <x:c r="H81" s="86"/>
      <x:c r="I81" s="85"/>
      <x:c r="J81" s="85"/>
      <x:c r="K81" s="85"/>
      <x:c r="L81" s="85"/>
      <x:c r="M81" s="85"/>
      <x:c r="N81" s="85"/>
      <x:c r="O81" s="85"/>
      <x:c r="P81" s="85"/>
      <x:c r="Q81" s="85"/>
      <x:c r="R81" s="85"/>
      <x:c r="S81" s="85"/>
      <x:c r="T81" s="85"/>
      <x:c r="U81" s="85"/>
      <x:c r="V81" s="85"/>
      <x:c r="W81" s="85"/>
      <x:c r="X81" s="85"/>
      <x:c r="Y81" s="85"/>
      <x:c r="Z81" s="85"/>
      <x:c r="AA81" s="85"/>
      <x:c r="AB81" s="85"/>
      <x:c r="AC81" s="85"/>
      <x:c r="AD81" s="85"/>
      <x:c r="AE81" s="85"/>
      <x:c r="AF81" s="85"/>
      <x:c r="AG81" s="85"/>
      <x:c r="AH81" s="85"/>
      <x:c r="AI81" s="85"/>
      <x:c r="AJ81" s="85"/>
    </x:row>
    <x:row r="82">
      <x:c r="A82" s="86"/>
      <x:c r="B82" s="86"/>
      <x:c r="C82" s="87"/>
      <x:c r="D82" s="87"/>
      <x:c r="E82" s="87"/>
      <x:c r="F82" s="87"/>
      <x:c r="G82" s="86"/>
      <x:c r="H82" s="86"/>
      <x:c r="I82" s="85"/>
      <x:c r="J82" s="85"/>
      <x:c r="K82" s="85"/>
      <x:c r="L82" s="85"/>
      <x:c r="M82" s="85"/>
      <x:c r="N82" s="85"/>
      <x:c r="O82" s="85"/>
      <x:c r="P82" s="85"/>
      <x:c r="Q82" s="85"/>
      <x:c r="R82" s="85"/>
      <x:c r="S82" s="85"/>
      <x:c r="T82" s="85"/>
      <x:c r="U82" s="85"/>
      <x:c r="V82" s="85"/>
      <x:c r="W82" s="85"/>
      <x:c r="X82" s="85"/>
      <x:c r="Y82" s="85"/>
      <x:c r="Z82" s="85"/>
      <x:c r="AA82" s="85"/>
      <x:c r="AB82" s="85"/>
      <x:c r="AC82" s="85"/>
      <x:c r="AD82" s="85"/>
      <x:c r="AE82" s="85"/>
      <x:c r="AF82" s="85"/>
      <x:c r="AG82" s="85"/>
      <x:c r="AH82" s="85"/>
      <x:c r="AI82" s="85"/>
      <x:c r="AJ82" s="85"/>
    </x:row>
    <x:row r="83">
      <x:c r="A83" s="86"/>
      <x:c r="B83" s="86"/>
      <x:c r="C83" s="87"/>
      <x:c r="D83" s="87"/>
      <x:c r="E83" s="87"/>
      <x:c r="F83" s="87"/>
      <x:c r="G83" s="86"/>
      <x:c r="H83" s="86"/>
      <x:c r="I83" s="85"/>
      <x:c r="J83" s="85"/>
      <x:c r="K83" s="85"/>
      <x:c r="L83" s="85"/>
      <x:c r="M83" s="85"/>
      <x:c r="N83" s="85"/>
      <x:c r="O83" s="85"/>
      <x:c r="P83" s="85"/>
      <x:c r="Q83" s="85"/>
      <x:c r="R83" s="85"/>
      <x:c r="S83" s="85"/>
      <x:c r="T83" s="85"/>
      <x:c r="U83" s="85"/>
      <x:c r="V83" s="85"/>
      <x:c r="W83" s="85"/>
      <x:c r="X83" s="85"/>
      <x:c r="Y83" s="85"/>
      <x:c r="Z83" s="85"/>
      <x:c r="AA83" s="85"/>
      <x:c r="AB83" s="85"/>
      <x:c r="AC83" s="85"/>
      <x:c r="AD83" s="85"/>
      <x:c r="AE83" s="85"/>
      <x:c r="AF83" s="85"/>
      <x:c r="AG83" s="85"/>
      <x:c r="AH83" s="85"/>
      <x:c r="AI83" s="85"/>
      <x:c r="AJ83" s="85"/>
    </x:row>
    <x:row r="84">
      <x:c r="A84" s="86"/>
      <x:c r="B84" s="86"/>
      <x:c r="C84" s="87"/>
      <x:c r="D84" s="87"/>
      <x:c r="E84" s="87"/>
      <x:c r="F84" s="87"/>
      <x:c r="G84" s="86"/>
      <x:c r="H84" s="86"/>
      <x:c r="I84" s="85"/>
      <x:c r="J84" s="85"/>
      <x:c r="K84" s="85"/>
      <x:c r="L84" s="85"/>
      <x:c r="M84" s="85"/>
      <x:c r="N84" s="85"/>
      <x:c r="O84" s="85"/>
      <x:c r="P84" s="85"/>
      <x:c r="Q84" s="85"/>
      <x:c r="R84" s="85"/>
      <x:c r="S84" s="85"/>
      <x:c r="T84" s="85"/>
      <x:c r="U84" s="85"/>
      <x:c r="V84" s="85"/>
      <x:c r="W84" s="85"/>
      <x:c r="X84" s="85"/>
      <x:c r="Y84" s="85"/>
      <x:c r="Z84" s="85"/>
      <x:c r="AA84" s="85"/>
      <x:c r="AB84" s="85"/>
      <x:c r="AC84" s="85"/>
      <x:c r="AD84" s="85"/>
      <x:c r="AE84" s="85"/>
      <x:c r="AF84" s="85"/>
      <x:c r="AG84" s="85"/>
      <x:c r="AH84" s="85"/>
      <x:c r="AI84" s="85"/>
      <x:c r="AJ84" s="85"/>
    </x:row>
    <x:row r="85">
      <x:c r="A85" s="86"/>
      <x:c r="B85" s="86"/>
      <x:c r="C85" s="87"/>
      <x:c r="D85" s="87"/>
      <x:c r="E85" s="87"/>
      <x:c r="F85" s="87"/>
      <x:c r="G85" s="86"/>
      <x:c r="H85" s="86"/>
      <x:c r="I85" s="85"/>
      <x:c r="J85" s="85"/>
      <x:c r="K85" s="85"/>
      <x:c r="L85" s="85"/>
      <x:c r="M85" s="85"/>
      <x:c r="N85" s="85"/>
      <x:c r="O85" s="85"/>
      <x:c r="P85" s="85"/>
      <x:c r="Q85" s="85"/>
      <x:c r="R85" s="85"/>
      <x:c r="S85" s="85"/>
      <x:c r="T85" s="85"/>
      <x:c r="U85" s="85"/>
      <x:c r="V85" s="85"/>
      <x:c r="W85" s="85"/>
      <x:c r="X85" s="85"/>
      <x:c r="Y85" s="85"/>
      <x:c r="Z85" s="85"/>
      <x:c r="AA85" s="85"/>
      <x:c r="AB85" s="85"/>
      <x:c r="AC85" s="85"/>
      <x:c r="AD85" s="85"/>
      <x:c r="AE85" s="85"/>
      <x:c r="AF85" s="85"/>
      <x:c r="AG85" s="85"/>
      <x:c r="AH85" s="85"/>
      <x:c r="AI85" s="85"/>
      <x:c r="AJ85" s="85"/>
    </x:row>
    <x:row r="86">
      <x:c r="A86" s="86"/>
      <x:c r="B86" s="86"/>
      <x:c r="C86" s="87"/>
      <x:c r="D86" s="87"/>
      <x:c r="E86" s="87"/>
      <x:c r="F86" s="87"/>
      <x:c r="G86" s="86"/>
      <x:c r="H86" s="86"/>
      <x:c r="I86" s="85"/>
      <x:c r="J86" s="85"/>
      <x:c r="K86" s="85"/>
      <x:c r="L86" s="85"/>
      <x:c r="M86" s="85"/>
      <x:c r="N86" s="85"/>
      <x:c r="O86" s="85"/>
      <x:c r="P86" s="85"/>
      <x:c r="Q86" s="85"/>
      <x:c r="R86" s="85"/>
      <x:c r="S86" s="85"/>
      <x:c r="T86" s="85"/>
      <x:c r="U86" s="85"/>
      <x:c r="V86" s="85"/>
      <x:c r="W86" s="85"/>
      <x:c r="X86" s="85"/>
      <x:c r="Y86" s="85"/>
      <x:c r="Z86" s="85"/>
      <x:c r="AA86" s="85"/>
      <x:c r="AB86" s="85"/>
      <x:c r="AC86" s="85"/>
      <x:c r="AD86" s="85"/>
      <x:c r="AE86" s="85"/>
      <x:c r="AF86" s="85"/>
      <x:c r="AG86" s="85"/>
      <x:c r="AH86" s="85"/>
      <x:c r="AI86" s="85"/>
      <x:c r="AJ86" s="85"/>
    </x:row>
    <x:row r="87">
      <x:c r="A87" s="86"/>
      <x:c r="B87" s="86"/>
      <x:c r="C87" s="87"/>
      <x:c r="D87" s="87"/>
      <x:c r="E87" s="87"/>
      <x:c r="F87" s="87"/>
      <x:c r="G87" s="86"/>
      <x:c r="H87" s="86"/>
      <x:c r="I87" s="85"/>
      <x:c r="J87" s="85"/>
      <x:c r="K87" s="85"/>
      <x:c r="L87" s="85"/>
      <x:c r="M87" s="85"/>
      <x:c r="N87" s="85"/>
      <x:c r="O87" s="85"/>
      <x:c r="P87" s="85"/>
      <x:c r="Q87" s="85"/>
      <x:c r="R87" s="85"/>
      <x:c r="S87" s="85"/>
      <x:c r="T87" s="85"/>
      <x:c r="U87" s="85"/>
      <x:c r="V87" s="85"/>
      <x:c r="W87" s="85"/>
      <x:c r="X87" s="85"/>
      <x:c r="Y87" s="85"/>
      <x:c r="Z87" s="85"/>
      <x:c r="AA87" s="85"/>
      <x:c r="AB87" s="85"/>
      <x:c r="AC87" s="85"/>
      <x:c r="AD87" s="85"/>
      <x:c r="AE87" s="85"/>
      <x:c r="AF87" s="85"/>
      <x:c r="AG87" s="85"/>
      <x:c r="AH87" s="85"/>
      <x:c r="AI87" s="85"/>
      <x:c r="AJ87" s="85"/>
    </x:row>
    <x:row r="88">
      <x:c r="A88" s="86"/>
      <x:c r="B88" s="86"/>
      <x:c r="C88" s="87"/>
      <x:c r="D88" s="87"/>
      <x:c r="E88" s="87"/>
      <x:c r="F88" s="87"/>
      <x:c r="G88" s="86"/>
      <x:c r="H88" s="86"/>
      <x:c r="I88" s="85"/>
      <x:c r="J88" s="85"/>
      <x:c r="K88" s="85"/>
      <x:c r="L88" s="85"/>
      <x:c r="M88" s="85"/>
      <x:c r="N88" s="85"/>
      <x:c r="O88" s="85"/>
      <x:c r="P88" s="85"/>
      <x:c r="Q88" s="85"/>
      <x:c r="R88" s="85"/>
      <x:c r="S88" s="85"/>
      <x:c r="T88" s="85"/>
      <x:c r="U88" s="85"/>
      <x:c r="V88" s="85"/>
      <x:c r="W88" s="85"/>
      <x:c r="X88" s="85"/>
      <x:c r="Y88" s="85"/>
      <x:c r="Z88" s="85"/>
      <x:c r="AA88" s="85"/>
      <x:c r="AB88" s="85"/>
      <x:c r="AC88" s="85"/>
      <x:c r="AD88" s="85"/>
      <x:c r="AE88" s="85"/>
      <x:c r="AF88" s="85"/>
      <x:c r="AG88" s="85"/>
      <x:c r="AH88" s="85"/>
      <x:c r="AI88" s="85"/>
      <x:c r="AJ88" s="85"/>
    </x:row>
    <x:row r="89">
      <x:c r="A89" s="86"/>
      <x:c r="B89" s="86"/>
      <x:c r="C89" s="87"/>
      <x:c r="D89" s="87"/>
      <x:c r="E89" s="87"/>
      <x:c r="F89" s="87"/>
      <x:c r="G89" s="86"/>
      <x:c r="H89" s="86"/>
      <x:c r="I89" s="85"/>
      <x:c r="J89" s="85"/>
      <x:c r="K89" s="85"/>
      <x:c r="L89" s="85"/>
      <x:c r="M89" s="85"/>
      <x:c r="N89" s="85"/>
      <x:c r="O89" s="85"/>
      <x:c r="P89" s="85"/>
      <x:c r="Q89" s="85"/>
      <x:c r="R89" s="85"/>
      <x:c r="S89" s="85"/>
      <x:c r="T89" s="85"/>
      <x:c r="U89" s="85"/>
      <x:c r="V89" s="85"/>
      <x:c r="W89" s="85"/>
      <x:c r="X89" s="85"/>
      <x:c r="Y89" s="85"/>
      <x:c r="Z89" s="85"/>
      <x:c r="AA89" s="85"/>
      <x:c r="AB89" s="85"/>
      <x:c r="AC89" s="85"/>
      <x:c r="AD89" s="85"/>
      <x:c r="AE89" s="85"/>
      <x:c r="AF89" s="85"/>
      <x:c r="AG89" s="85"/>
      <x:c r="AH89" s="85"/>
      <x:c r="AI89" s="85"/>
      <x:c r="AJ89" s="85"/>
    </x:row>
    <x:row r="90">
      <x:c r="A90" s="86"/>
      <x:c r="B90" s="86"/>
      <x:c r="C90" s="87"/>
      <x:c r="D90" s="87"/>
      <x:c r="E90" s="87"/>
      <x:c r="F90" s="87"/>
      <x:c r="G90" s="86"/>
      <x:c r="H90" s="86"/>
      <x:c r="I90" s="85"/>
      <x:c r="J90" s="85"/>
      <x:c r="K90" s="85"/>
      <x:c r="L90" s="85"/>
      <x:c r="M90" s="85"/>
      <x:c r="N90" s="85"/>
      <x:c r="O90" s="85"/>
      <x:c r="P90" s="85"/>
      <x:c r="Q90" s="85"/>
      <x:c r="R90" s="85"/>
      <x:c r="S90" s="85"/>
      <x:c r="T90" s="85"/>
      <x:c r="U90" s="85"/>
      <x:c r="V90" s="85"/>
      <x:c r="W90" s="85"/>
      <x:c r="X90" s="85"/>
      <x:c r="Y90" s="85"/>
      <x:c r="Z90" s="85"/>
      <x:c r="AA90" s="85"/>
      <x:c r="AB90" s="85"/>
      <x:c r="AC90" s="85"/>
      <x:c r="AD90" s="85"/>
      <x:c r="AE90" s="85"/>
      <x:c r="AF90" s="85"/>
      <x:c r="AG90" s="85"/>
      <x:c r="AH90" s="85"/>
      <x:c r="AI90" s="85"/>
      <x:c r="AJ90" s="85"/>
    </x:row>
    <x:row r="91">
      <x:c r="A91" s="86"/>
      <x:c r="B91" s="86"/>
      <x:c r="C91" s="87"/>
      <x:c r="D91" s="87"/>
      <x:c r="E91" s="87"/>
      <x:c r="F91" s="87"/>
      <x:c r="G91" s="86"/>
      <x:c r="H91" s="86"/>
      <x:c r="I91" s="85"/>
      <x:c r="J91" s="85"/>
      <x:c r="K91" s="85"/>
      <x:c r="L91" s="85"/>
      <x:c r="M91" s="85"/>
      <x:c r="N91" s="85"/>
      <x:c r="O91" s="85"/>
      <x:c r="P91" s="85"/>
      <x:c r="Q91" s="85"/>
      <x:c r="R91" s="85"/>
      <x:c r="S91" s="85"/>
      <x:c r="T91" s="85"/>
      <x:c r="U91" s="85"/>
      <x:c r="V91" s="85"/>
      <x:c r="W91" s="85"/>
      <x:c r="X91" s="85"/>
      <x:c r="Y91" s="85"/>
      <x:c r="Z91" s="85"/>
      <x:c r="AA91" s="85"/>
      <x:c r="AB91" s="85"/>
      <x:c r="AC91" s="85"/>
      <x:c r="AD91" s="85"/>
      <x:c r="AE91" s="85"/>
      <x:c r="AF91" s="85"/>
      <x:c r="AG91" s="85"/>
      <x:c r="AH91" s="85"/>
      <x:c r="AI91" s="85"/>
      <x:c r="AJ91" s="85"/>
    </x:row>
    <x:row r="92">
      <x:c r="A92" s="86"/>
      <x:c r="B92" s="86"/>
      <x:c r="C92" s="87"/>
      <x:c r="D92" s="87"/>
      <x:c r="E92" s="87"/>
      <x:c r="F92" s="87"/>
      <x:c r="G92" s="86"/>
      <x:c r="H92" s="86"/>
      <x:c r="I92" s="85"/>
      <x:c r="J92" s="85"/>
      <x:c r="K92" s="85"/>
      <x:c r="L92" s="85"/>
      <x:c r="M92" s="85"/>
      <x:c r="N92" s="85"/>
      <x:c r="O92" s="85"/>
      <x:c r="P92" s="85"/>
      <x:c r="Q92" s="85"/>
      <x:c r="R92" s="85"/>
      <x:c r="S92" s="85"/>
      <x:c r="T92" s="85"/>
      <x:c r="U92" s="85"/>
      <x:c r="V92" s="85"/>
      <x:c r="W92" s="85"/>
      <x:c r="X92" s="85"/>
      <x:c r="Y92" s="85"/>
      <x:c r="Z92" s="85"/>
      <x:c r="AA92" s="85"/>
      <x:c r="AB92" s="85"/>
      <x:c r="AC92" s="85"/>
      <x:c r="AD92" s="85"/>
      <x:c r="AE92" s="85"/>
      <x:c r="AF92" s="85"/>
      <x:c r="AG92" s="85"/>
      <x:c r="AH92" s="85"/>
      <x:c r="AI92" s="85"/>
      <x:c r="AJ92" s="85"/>
    </x:row>
    <x:row r="93">
      <x:c r="A93" s="86"/>
      <x:c r="B93" s="86"/>
      <x:c r="C93" s="87"/>
      <x:c r="D93" s="87"/>
      <x:c r="E93" s="87"/>
      <x:c r="F93" s="87"/>
      <x:c r="G93" s="86"/>
      <x:c r="H93" s="86"/>
      <x:c r="I93" s="85"/>
      <x:c r="J93" s="85"/>
      <x:c r="K93" s="85"/>
      <x:c r="L93" s="85"/>
      <x:c r="M93" s="85"/>
      <x:c r="N93" s="85"/>
      <x:c r="O93" s="85"/>
      <x:c r="P93" s="85"/>
      <x:c r="Q93" s="85"/>
      <x:c r="R93" s="85"/>
      <x:c r="S93" s="85"/>
      <x:c r="T93" s="85"/>
      <x:c r="U93" s="85"/>
      <x:c r="V93" s="85"/>
      <x:c r="W93" s="85"/>
      <x:c r="X93" s="85"/>
      <x:c r="Y93" s="85"/>
      <x:c r="Z93" s="85"/>
      <x:c r="AA93" s="85"/>
      <x:c r="AB93" s="85"/>
      <x:c r="AC93" s="85"/>
      <x:c r="AD93" s="85"/>
      <x:c r="AE93" s="85"/>
      <x:c r="AF93" s="85"/>
      <x:c r="AG93" s="85"/>
      <x:c r="AH93" s="85"/>
      <x:c r="AI93" s="85"/>
      <x:c r="AJ93" s="85"/>
    </x:row>
    <x:row r="94">
      <x:c r="A94" s="86"/>
      <x:c r="B94" s="86"/>
      <x:c r="C94" s="87"/>
      <x:c r="D94" s="87"/>
      <x:c r="E94" s="87"/>
      <x:c r="F94" s="87"/>
      <x:c r="G94" s="86"/>
      <x:c r="H94" s="86"/>
      <x:c r="I94" s="85"/>
      <x:c r="J94" s="85"/>
      <x:c r="K94" s="85"/>
      <x:c r="L94" s="85"/>
      <x:c r="M94" s="85"/>
      <x:c r="N94" s="85"/>
      <x:c r="O94" s="85"/>
      <x:c r="P94" s="85"/>
      <x:c r="Q94" s="85"/>
      <x:c r="R94" s="85"/>
      <x:c r="S94" s="85"/>
      <x:c r="T94" s="85"/>
      <x:c r="U94" s="85"/>
      <x:c r="V94" s="85"/>
      <x:c r="W94" s="85"/>
      <x:c r="X94" s="85"/>
      <x:c r="Y94" s="85"/>
      <x:c r="Z94" s="85"/>
      <x:c r="AA94" s="85"/>
      <x:c r="AB94" s="85"/>
      <x:c r="AC94" s="85"/>
      <x:c r="AD94" s="85"/>
      <x:c r="AE94" s="85"/>
      <x:c r="AF94" s="85"/>
      <x:c r="AG94" s="85"/>
      <x:c r="AH94" s="85"/>
      <x:c r="AI94" s="85"/>
      <x:c r="AJ94" s="85"/>
    </x:row>
    <x:row r="95">
      <x:c r="A95" s="86"/>
      <x:c r="B95" s="86"/>
      <x:c r="C95" s="87"/>
      <x:c r="D95" s="87"/>
      <x:c r="E95" s="87"/>
      <x:c r="F95" s="87"/>
      <x:c r="G95" s="86"/>
      <x:c r="H95" s="86"/>
      <x:c r="I95" s="85"/>
      <x:c r="J95" s="85"/>
      <x:c r="K95" s="85"/>
      <x:c r="L95" s="85"/>
      <x:c r="M95" s="85"/>
      <x:c r="N95" s="85"/>
      <x:c r="O95" s="85"/>
      <x:c r="P95" s="85"/>
      <x:c r="Q95" s="85"/>
      <x:c r="R95" s="85"/>
      <x:c r="S95" s="85"/>
      <x:c r="T95" s="85"/>
      <x:c r="U95" s="85"/>
      <x:c r="V95" s="85"/>
      <x:c r="W95" s="85"/>
      <x:c r="X95" s="85"/>
      <x:c r="Y95" s="85"/>
      <x:c r="Z95" s="85"/>
      <x:c r="AA95" s="85"/>
      <x:c r="AB95" s="85"/>
      <x:c r="AC95" s="85"/>
      <x:c r="AD95" s="85"/>
      <x:c r="AE95" s="85"/>
      <x:c r="AF95" s="85"/>
      <x:c r="AG95" s="85"/>
      <x:c r="AH95" s="85"/>
      <x:c r="AI95" s="85"/>
      <x:c r="AJ95" s="85"/>
    </x:row>
    <x:row r="96">
      <x:c r="A96" s="86"/>
      <x:c r="B96" s="86"/>
      <x:c r="C96" s="87"/>
      <x:c r="D96" s="87"/>
      <x:c r="E96" s="87"/>
      <x:c r="F96" s="87"/>
      <x:c r="G96" s="86"/>
      <x:c r="H96" s="86"/>
      <x:c r="I96" s="85"/>
      <x:c r="J96" s="85"/>
      <x:c r="K96" s="85"/>
      <x:c r="L96" s="85"/>
      <x:c r="M96" s="85"/>
      <x:c r="N96" s="85"/>
      <x:c r="O96" s="85"/>
      <x:c r="P96" s="85"/>
      <x:c r="Q96" s="85"/>
      <x:c r="R96" s="85"/>
      <x:c r="S96" s="85"/>
      <x:c r="T96" s="85"/>
      <x:c r="U96" s="85"/>
      <x:c r="V96" s="85"/>
      <x:c r="W96" s="85"/>
      <x:c r="X96" s="85"/>
      <x:c r="Y96" s="85"/>
      <x:c r="Z96" s="85"/>
      <x:c r="AA96" s="85"/>
      <x:c r="AB96" s="85"/>
      <x:c r="AC96" s="85"/>
      <x:c r="AD96" s="85"/>
      <x:c r="AE96" s="85"/>
      <x:c r="AF96" s="85"/>
      <x:c r="AG96" s="85"/>
      <x:c r="AH96" s="85"/>
      <x:c r="AI96" s="85"/>
      <x:c r="AJ96" s="85"/>
    </x:row>
    <x:row r="97">
      <x:c r="A97" s="86"/>
      <x:c r="B97" s="86"/>
      <x:c r="C97" s="87"/>
      <x:c r="D97" s="87"/>
      <x:c r="E97" s="87"/>
      <x:c r="F97" s="87"/>
      <x:c r="G97" s="86"/>
      <x:c r="H97" s="86"/>
      <x:c r="I97" s="85"/>
      <x:c r="J97" s="85"/>
      <x:c r="K97" s="85"/>
      <x:c r="L97" s="85"/>
      <x:c r="M97" s="85"/>
      <x:c r="N97" s="85"/>
      <x:c r="O97" s="85"/>
      <x:c r="P97" s="85"/>
      <x:c r="Q97" s="85"/>
      <x:c r="R97" s="85"/>
      <x:c r="S97" s="85"/>
      <x:c r="T97" s="85"/>
      <x:c r="U97" s="85"/>
      <x:c r="V97" s="85"/>
      <x:c r="W97" s="85"/>
      <x:c r="X97" s="85"/>
      <x:c r="Y97" s="85"/>
      <x:c r="Z97" s="85"/>
      <x:c r="AA97" s="85"/>
      <x:c r="AB97" s="85"/>
      <x:c r="AC97" s="85"/>
      <x:c r="AD97" s="85"/>
      <x:c r="AE97" s="85"/>
      <x:c r="AF97" s="85"/>
      <x:c r="AG97" s="85"/>
      <x:c r="AH97" s="85"/>
      <x:c r="AI97" s="85"/>
      <x:c r="AJ97" s="85"/>
    </x:row>
    <x:row r="98">
      <x:c r="A98" s="86"/>
      <x:c r="B98" s="86"/>
      <x:c r="C98" s="87"/>
      <x:c r="D98" s="87"/>
      <x:c r="E98" s="87"/>
      <x:c r="F98" s="87"/>
      <x:c r="G98" s="86"/>
      <x:c r="H98" s="86"/>
      <x:c r="I98" s="85"/>
      <x:c r="J98" s="85"/>
      <x:c r="K98" s="85"/>
      <x:c r="L98" s="85"/>
      <x:c r="M98" s="85"/>
      <x:c r="N98" s="85"/>
      <x:c r="O98" s="85"/>
      <x:c r="P98" s="85"/>
      <x:c r="Q98" s="85"/>
      <x:c r="R98" s="85"/>
      <x:c r="S98" s="85"/>
      <x:c r="T98" s="85"/>
      <x:c r="U98" s="85"/>
      <x:c r="V98" s="85"/>
      <x:c r="W98" s="85"/>
      <x:c r="X98" s="85"/>
      <x:c r="Y98" s="85"/>
      <x:c r="Z98" s="85"/>
      <x:c r="AA98" s="85"/>
      <x:c r="AB98" s="85"/>
      <x:c r="AC98" s="85"/>
      <x:c r="AD98" s="85"/>
      <x:c r="AE98" s="85"/>
      <x:c r="AF98" s="85"/>
      <x:c r="AG98" s="85"/>
      <x:c r="AH98" s="85"/>
      <x:c r="AI98" s="85"/>
      <x:c r="AJ98" s="85"/>
    </x:row>
    <x:row r="99">
      <x:c r="A99" s="86"/>
      <x:c r="B99" s="86"/>
      <x:c r="C99" s="87"/>
      <x:c r="D99" s="87"/>
      <x:c r="E99" s="87"/>
      <x:c r="F99" s="87"/>
      <x:c r="G99" s="86"/>
      <x:c r="H99" s="86"/>
      <x:c r="I99" s="85"/>
      <x:c r="J99" s="85"/>
      <x:c r="K99" s="85"/>
      <x:c r="L99" s="85"/>
      <x:c r="M99" s="85"/>
      <x:c r="N99" s="85"/>
      <x:c r="O99" s="85"/>
      <x:c r="P99" s="85"/>
      <x:c r="Q99" s="85"/>
      <x:c r="R99" s="85"/>
      <x:c r="S99" s="85"/>
      <x:c r="T99" s="85"/>
      <x:c r="U99" s="85"/>
      <x:c r="V99" s="85"/>
      <x:c r="W99" s="85"/>
      <x:c r="X99" s="85"/>
      <x:c r="Y99" s="85"/>
      <x:c r="Z99" s="85"/>
      <x:c r="AA99" s="85"/>
      <x:c r="AB99" s="85"/>
      <x:c r="AC99" s="85"/>
      <x:c r="AD99" s="85"/>
      <x:c r="AE99" s="85"/>
      <x:c r="AF99" s="85"/>
      <x:c r="AG99" s="85"/>
      <x:c r="AH99" s="85"/>
      <x:c r="AI99" s="85"/>
      <x:c r="AJ99" s="85"/>
    </x:row>
    <x:row r="100">
      <x:c r="A100" s="86"/>
      <x:c r="B100" s="86"/>
      <x:c r="C100" s="87"/>
      <x:c r="D100" s="87"/>
      <x:c r="E100" s="87"/>
      <x:c r="F100" s="87"/>
      <x:c r="G100" s="86"/>
      <x:c r="H100" s="86"/>
      <x:c r="I100" s="85"/>
      <x:c r="J100" s="85"/>
      <x:c r="K100" s="85"/>
      <x:c r="L100" s="85"/>
      <x:c r="M100" s="85"/>
      <x:c r="N100" s="85"/>
      <x:c r="O100" s="85"/>
      <x:c r="P100" s="85"/>
      <x:c r="Q100" s="85"/>
      <x:c r="R100" s="85"/>
      <x:c r="S100" s="85"/>
      <x:c r="T100" s="85"/>
      <x:c r="U100" s="85"/>
      <x:c r="V100" s="85"/>
      <x:c r="W100" s="85"/>
      <x:c r="X100" s="85"/>
      <x:c r="Y100" s="85"/>
      <x:c r="Z100" s="85"/>
      <x:c r="AA100" s="85"/>
      <x:c r="AB100" s="85"/>
      <x:c r="AC100" s="85"/>
      <x:c r="AD100" s="85"/>
      <x:c r="AE100" s="85"/>
      <x:c r="AF100" s="85"/>
      <x:c r="AG100" s="85"/>
      <x:c r="AH100" s="85"/>
      <x:c r="AI100" s="85"/>
      <x:c r="AJ100" s="85"/>
    </x:row>
    <x:row r="101">
      <x:c r="A101" s="86"/>
      <x:c r="B101" s="86"/>
      <x:c r="C101" s="87"/>
      <x:c r="D101" s="87"/>
      <x:c r="E101" s="87"/>
      <x:c r="F101" s="87"/>
      <x:c r="G101" s="86"/>
      <x:c r="H101" s="86"/>
      <x:c r="I101" s="85"/>
      <x:c r="J101" s="85"/>
      <x:c r="K101" s="85"/>
      <x:c r="L101" s="85"/>
      <x:c r="M101" s="85"/>
      <x:c r="N101" s="85"/>
      <x:c r="O101" s="85"/>
      <x:c r="P101" s="85"/>
      <x:c r="Q101" s="85"/>
      <x:c r="R101" s="85"/>
      <x:c r="S101" s="85"/>
      <x:c r="T101" s="85"/>
      <x:c r="U101" s="85"/>
      <x:c r="V101" s="85"/>
      <x:c r="W101" s="85"/>
      <x:c r="X101" s="85"/>
      <x:c r="Y101" s="85"/>
      <x:c r="Z101" s="85"/>
      <x:c r="AA101" s="85"/>
      <x:c r="AB101" s="85"/>
      <x:c r="AC101" s="85"/>
      <x:c r="AD101" s="85"/>
      <x:c r="AE101" s="85"/>
      <x:c r="AF101" s="85"/>
      <x:c r="AG101" s="85"/>
      <x:c r="AH101" s="85"/>
      <x:c r="AI101" s="85"/>
      <x:c r="AJ101" s="85"/>
    </x:row>
    <x:row r="102">
      <x:c r="A102" s="86"/>
      <x:c r="B102" s="86"/>
      <x:c r="C102" s="87"/>
      <x:c r="D102" s="87"/>
      <x:c r="E102" s="87"/>
      <x:c r="F102" s="87"/>
      <x:c r="G102" s="86"/>
      <x:c r="H102" s="86"/>
      <x:c r="I102" s="85"/>
      <x:c r="J102" s="85"/>
      <x:c r="K102" s="85"/>
      <x:c r="L102" s="85"/>
      <x:c r="M102" s="85"/>
      <x:c r="N102" s="85"/>
      <x:c r="O102" s="85"/>
      <x:c r="P102" s="85"/>
      <x:c r="Q102" s="85"/>
      <x:c r="R102" s="85"/>
      <x:c r="S102" s="85"/>
      <x:c r="T102" s="85"/>
      <x:c r="U102" s="85"/>
      <x:c r="V102" s="85"/>
      <x:c r="W102" s="85"/>
      <x:c r="X102" s="85"/>
      <x:c r="Y102" s="85"/>
      <x:c r="Z102" s="85"/>
      <x:c r="AA102" s="85"/>
      <x:c r="AB102" s="85"/>
      <x:c r="AC102" s="85"/>
      <x:c r="AD102" s="85"/>
      <x:c r="AE102" s="85"/>
      <x:c r="AF102" s="85"/>
      <x:c r="AG102" s="85"/>
      <x:c r="AH102" s="85"/>
      <x:c r="AI102" s="85"/>
      <x:c r="AJ102" s="85"/>
    </x:row>
    <x:row r="103">
      <x:c r="A103" s="86"/>
      <x:c r="B103" s="86"/>
      <x:c r="C103" s="87"/>
      <x:c r="D103" s="87"/>
      <x:c r="E103" s="87"/>
      <x:c r="F103" s="87"/>
      <x:c r="G103" s="86"/>
      <x:c r="H103" s="86"/>
      <x:c r="I103" s="85"/>
      <x:c r="J103" s="85"/>
      <x:c r="K103" s="85"/>
      <x:c r="L103" s="85"/>
      <x:c r="M103" s="85"/>
      <x:c r="N103" s="85"/>
      <x:c r="O103" s="85"/>
      <x:c r="P103" s="85"/>
      <x:c r="Q103" s="85"/>
      <x:c r="R103" s="85"/>
      <x:c r="S103" s="85"/>
      <x:c r="T103" s="85"/>
      <x:c r="U103" s="85"/>
      <x:c r="V103" s="85"/>
      <x:c r="W103" s="85"/>
      <x:c r="X103" s="85"/>
      <x:c r="Y103" s="85"/>
      <x:c r="Z103" s="85"/>
      <x:c r="AA103" s="85"/>
      <x:c r="AB103" s="85"/>
      <x:c r="AC103" s="85"/>
      <x:c r="AD103" s="85"/>
      <x:c r="AE103" s="85"/>
      <x:c r="AF103" s="85"/>
      <x:c r="AG103" s="85"/>
      <x:c r="AH103" s="85"/>
      <x:c r="AI103" s="85"/>
      <x:c r="AJ103" s="85"/>
    </x:row>
  </x:sheetData>
  <x:conditionalFormatting sqref="L4:L103">
    <x:cfRule type="expression" dxfId="3" priority="1">
      <x:formula>L4="Concluída"</x:formula>
    </x:cfRule>
    <x:cfRule type="expression" dxfId="4" priority="2">
      <x:formula>L4="Programada"</x:formula>
    </x:cfRule>
    <x:cfRule type="expression" dxfId="5" priority="3">
      <x:formula>L4="Em férias"</x:formula>
    </x:cfRule>
  </x:conditionalFormatting>
  <x:dataValidations count="2">
    <x:dataValidation type="list" sqref="H4:H103">
      <x:formula1>"Planejada,Programada,Em férias,Concluída"</x:formula1>
    </x:dataValidation>
    <x:dataValidation type="list" sqref="L4:L103">
      <x:formula1>"Planejada,Programada,Em férias,Concluída"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22" hidden="0" customWidth="1"/>
    <x:col min="4" max="4" width="16" hidden="0" customWidth="1"/>
    <x:col min="5" max="5" width="8" hidden="0" customWidth="1"/>
    <x:col min="6" max="6" width="14" hidden="0" customWidth="1"/>
    <x:col min="7" max="7" width="15" hidden="0" customWidth="1"/>
    <x:col min="8" max="8" width="14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</x:cols>
  <x:sheetData>
    <x:row r="1">
      <x:c r="A1" s="107" t="str">
        <x:v>CONTROLE E CONFERÊNCIA DO 13º SALÁRIO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  <x:c r="AA1" s="85"/>
      <x:c r="AB1" s="85"/>
      <x:c r="AC1" s="85"/>
      <x:c r="AD1" s="85"/>
      <x:c r="AE1" s="85"/>
      <x:c r="AF1" s="85"/>
      <x:c r="AG1" s="85"/>
      <x:c r="AH1" s="85"/>
      <x:c r="AI1" s="85"/>
      <x:c r="AJ1" s="85"/>
    </x:row>
    <x:row r="2">
      <x:c r="A2" s="85"/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  <x:c r="AA2" s="85"/>
      <x:c r="AB2" s="85"/>
      <x:c r="AC2" s="85"/>
      <x:c r="AD2" s="85"/>
      <x:c r="AE2" s="85"/>
      <x:c r="AF2" s="85"/>
      <x:c r="AG2" s="85"/>
      <x:c r="AH2" s="85"/>
      <x:c r="AI2" s="85"/>
      <x:c r="AJ2" s="85"/>
    </x:row>
    <x:row r="3">
      <x:c r="A3" s="117" t="str">
        <x:v>Ano</x:v>
      </x:c>
      <x:c r="B3" s="117" t="str">
        <x:v>Matrícula</x:v>
      </x:c>
      <x:c r="C3" s="117" t="str">
        <x:v>Nome</x:v>
      </x:c>
      <x:c r="D3" s="117" t="str">
        <x:v>Departamento</x:v>
      </x:c>
      <x:c r="E3" s="117" t="str">
        <x:v>Avos</x:v>
      </x:c>
      <x:c r="F3" s="117" t="str">
        <x:v>Salário Base</x:v>
      </x:c>
      <x:c r="G3" s="117" t="str">
        <x:v>Média Variáveis</x:v>
      </x:c>
      <x:c r="H3" s="117" t="str">
        <x:v>Bruto 13º</x:v>
      </x:c>
      <x:c r="I3" s="117" t="str">
        <x:v>INSS</x:v>
      </x:c>
      <x:c r="J3" s="117" t="str">
        <x:v>IRRF</x:v>
      </x:c>
      <x:c r="K3" s="117" t="str">
        <x:v>1ª Parcela</x:v>
      </x:c>
      <x:c r="L3" s="117" t="str">
        <x:v>2ª Parcela</x:v>
      </x:c>
      <x:c r="M3" s="117" t="str">
        <x:v>Status</x:v>
      </x:c>
      <x:c r="N3" s="117" t="str">
        <x:v>Observação</x:v>
      </x:c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  <x:c r="AA3" s="85"/>
      <x:c r="AB3" s="85"/>
      <x:c r="AC3" s="85"/>
      <x:c r="AD3" s="85"/>
      <x:c r="AE3" s="85"/>
      <x:c r="AF3" s="85"/>
      <x:c r="AG3" s="85"/>
      <x:c r="AH3" s="85"/>
      <x:c r="AI3" s="85"/>
      <x:c r="AJ3" s="85"/>
    </x:row>
    <x:row r="4">
      <x:c r="A4" s="118" t="n">
        <x:v>2024</x:v>
      </x:c>
      <x:c r="B4" s="118" t="n">
        <x:v>1001</x:v>
      </x:c>
      <x:c r="C4" s="118" t="str">
        <x:v>Camila Silva</x:v>
      </x:c>
      <x:c r="D4" s="123" t="str">
        <x:v>Comercial</x:v>
      </x:c>
      <x:c r="E4" s="123" t="n">
        <x:v>12</x:v>
      </x:c>
      <x:c r="F4" s="123" t="n">
        <x:v>4800</x:v>
      </x:c>
      <x:c r="G4" s="123" t="n">
        <x:v>1344</x:v>
      </x:c>
      <x:c r="H4" s="123" t="n">
        <x:v>6144</x:v>
      </x:c>
      <x:c r="I4" s="121" t="n">
        <x:v>552.96</x:v>
      </x:c>
      <x:c r="J4" s="121" t="n">
        <x:v>194.33</x:v>
      </x:c>
      <x:c r="K4" s="121" t="n">
        <x:v>3072</x:v>
      </x:c>
      <x:c r="L4" s="121" t="n">
        <x:v>2324.71</x:v>
      </x:c>
      <x:c r="M4" s="122" t="str">
        <x:v>Conferido</x:v>
      </x:c>
      <x:c r="N4" s="122" t="str">
        <x:v>Histórico para auditoria</x:v>
      </x:c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  <x:c r="AA4" s="85"/>
      <x:c r="AB4" s="85"/>
      <x:c r="AC4" s="85"/>
      <x:c r="AD4" s="85"/>
      <x:c r="AE4" s="85"/>
      <x:c r="AF4" s="85"/>
      <x:c r="AG4" s="85"/>
      <x:c r="AH4" s="85"/>
      <x:c r="AI4" s="85"/>
      <x:c r="AJ4" s="85"/>
    </x:row>
    <x:row r="5">
      <x:c r="A5" s="118" t="n">
        <x:v>2025</x:v>
      </x:c>
      <x:c r="B5" s="118" t="n">
        <x:v>1001</x:v>
      </x:c>
      <x:c r="C5" s="118" t="str">
        <x:v>Camila Silva</x:v>
      </x:c>
      <x:c r="D5" s="123" t="str">
        <x:v>Comercial</x:v>
      </x:c>
      <x:c r="E5" s="123" t="n">
        <x:v>12</x:v>
      </x:c>
      <x:c r="F5" s="123" t="n">
        <x:v>4800</x:v>
      </x:c>
      <x:c r="G5" s="123" t="n">
        <x:v>1344</x:v>
      </x:c>
      <x:c r="H5" s="123" t="n">
        <x:v>6144</x:v>
      </x:c>
      <x:c r="I5" s="121" t="n">
        <x:v>552.96</x:v>
      </x:c>
      <x:c r="J5" s="121" t="n">
        <x:v>194.33</x:v>
      </x:c>
      <x:c r="K5" s="121" t="n">
        <x:v>3072</x:v>
      </x:c>
      <x:c r="L5" s="121" t="n">
        <x:v>2324.71</x:v>
      </x:c>
      <x:c r="M5" s="122" t="str">
        <x:v>Conferido</x:v>
      </x:c>
      <x:c r="N5" s="122" t="str">
        <x:v>Histórico para auditoria</x:v>
      </x:c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  <x:c r="AA5" s="85"/>
      <x:c r="AB5" s="85"/>
      <x:c r="AC5" s="85"/>
      <x:c r="AD5" s="85"/>
      <x:c r="AE5" s="85"/>
      <x:c r="AF5" s="85"/>
      <x:c r="AG5" s="85"/>
      <x:c r="AH5" s="85"/>
      <x:c r="AI5" s="85"/>
      <x:c r="AJ5" s="85"/>
    </x:row>
    <x:row r="6">
      <x:c r="A6" s="118" t="n">
        <x:v>2026</x:v>
      </x:c>
      <x:c r="B6" s="118" t="n">
        <x:v>1001</x:v>
      </x:c>
      <x:c r="C6" s="118" t="str">
        <x:v>Camila Silva</x:v>
      </x:c>
      <x:c r="D6" s="123" t="str">
        <x:v>Comercial</x:v>
      </x:c>
      <x:c r="E6" s="123" t="n">
        <x:v>12</x:v>
      </x:c>
      <x:c r="F6" s="123" t="n">
        <x:v>4800</x:v>
      </x:c>
      <x:c r="G6" s="123" t="n">
        <x:v>1344</x:v>
      </x:c>
      <x:c r="H6" s="123" t="n">
        <x:v>6144</x:v>
      </x:c>
      <x:c r="I6" s="121" t="n">
        <x:v>552.96</x:v>
      </x:c>
      <x:c r="J6" s="121" t="n">
        <x:v>194.33</x:v>
      </x:c>
      <x:c r="K6" s="121" t="n">
        <x:v>3072</x:v>
      </x:c>
      <x:c r="L6" s="121" t="n">
        <x:v>2324.71</x:v>
      </x:c>
      <x:c r="M6" s="122" t="str">
        <x:v>Provisionado</x:v>
      </x:c>
      <x:c r="N6" s="122" t="str">
        <x:v>Competência futura de fechamento</x:v>
      </x:c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  <x:c r="AA6" s="85"/>
      <x:c r="AB6" s="85"/>
      <x:c r="AC6" s="85"/>
      <x:c r="AD6" s="85"/>
      <x:c r="AE6" s="85"/>
      <x:c r="AF6" s="85"/>
      <x:c r="AG6" s="85"/>
      <x:c r="AH6" s="85"/>
      <x:c r="AI6" s="85"/>
      <x:c r="AJ6" s="85"/>
    </x:row>
    <x:row r="7">
      <x:c r="A7" s="118" t="n">
        <x:v>2024</x:v>
      </x:c>
      <x:c r="B7" s="118" t="n">
        <x:v>1002</x:v>
      </x:c>
      <x:c r="C7" s="118" t="str">
        <x:v>João Santos</x:v>
      </x:c>
      <x:c r="D7" s="123" t="str">
        <x:v>Comercial</x:v>
      </x:c>
      <x:c r="E7" s="123" t="n">
        <x:v>12</x:v>
      </x:c>
      <x:c r="F7" s="123" t="n">
        <x:v>5200</x:v>
      </x:c>
      <x:c r="G7" s="123" t="n">
        <x:v>1456</x:v>
      </x:c>
      <x:c r="H7" s="123" t="n">
        <x:v>6656</x:v>
      </x:c>
      <x:c r="I7" s="121" t="n">
        <x:v>599.04</x:v>
      </x:c>
      <x:c r="J7" s="121" t="n">
        <x:v>229.27</x:v>
      </x:c>
      <x:c r="K7" s="121" t="n">
        <x:v>3328</x:v>
      </x:c>
      <x:c r="L7" s="121" t="n">
        <x:v>2499.69</x:v>
      </x:c>
      <x:c r="M7" s="122" t="str">
        <x:v>Conferido</x:v>
      </x:c>
      <x:c r="N7" s="122" t="str">
        <x:v>Histórico para auditoria</x:v>
      </x:c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  <x:c r="AA7" s="85"/>
      <x:c r="AB7" s="85"/>
      <x:c r="AC7" s="85"/>
      <x:c r="AD7" s="85"/>
      <x:c r="AE7" s="85"/>
      <x:c r="AF7" s="85"/>
      <x:c r="AG7" s="85"/>
      <x:c r="AH7" s="85"/>
      <x:c r="AI7" s="85"/>
      <x:c r="AJ7" s="85"/>
    </x:row>
    <x:row r="8">
      <x:c r="A8" s="118" t="n">
        <x:v>2025</x:v>
      </x:c>
      <x:c r="B8" s="118" t="n">
        <x:v>1002</x:v>
      </x:c>
      <x:c r="C8" s="118" t="str">
        <x:v>João Santos</x:v>
      </x:c>
      <x:c r="D8" s="123" t="str">
        <x:v>Comercial</x:v>
      </x:c>
      <x:c r="E8" s="123" t="n">
        <x:v>12</x:v>
      </x:c>
      <x:c r="F8" s="123" t="n">
        <x:v>5200</x:v>
      </x:c>
      <x:c r="G8" s="123" t="n">
        <x:v>1456</x:v>
      </x:c>
      <x:c r="H8" s="123" t="n">
        <x:v>6656</x:v>
      </x:c>
      <x:c r="I8" s="121" t="n">
        <x:v>599.04</x:v>
      </x:c>
      <x:c r="J8" s="121" t="n">
        <x:v>229.27</x:v>
      </x:c>
      <x:c r="K8" s="121" t="n">
        <x:v>3328</x:v>
      </x:c>
      <x:c r="L8" s="121" t="n">
        <x:v>2499.69</x:v>
      </x:c>
      <x:c r="M8" s="122" t="str">
        <x:v>Conferido</x:v>
      </x:c>
      <x:c r="N8" s="122" t="str">
        <x:v>Histórico para auditoria</x:v>
      </x:c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  <x:c r="AA8" s="85"/>
      <x:c r="AB8" s="85"/>
      <x:c r="AC8" s="85"/>
      <x:c r="AD8" s="85"/>
      <x:c r="AE8" s="85"/>
      <x:c r="AF8" s="85"/>
      <x:c r="AG8" s="85"/>
      <x:c r="AH8" s="85"/>
      <x:c r="AI8" s="85"/>
      <x:c r="AJ8" s="85"/>
    </x:row>
    <x:row r="9">
      <x:c r="A9" s="118" t="n">
        <x:v>2026</x:v>
      </x:c>
      <x:c r="B9" s="118" t="n">
        <x:v>1002</x:v>
      </x:c>
      <x:c r="C9" s="118" t="str">
        <x:v>João Santos</x:v>
      </x:c>
      <x:c r="D9" s="123" t="str">
        <x:v>Comercial</x:v>
      </x:c>
      <x:c r="E9" s="123" t="n">
        <x:v>12</x:v>
      </x:c>
      <x:c r="F9" s="123" t="n">
        <x:v>5200</x:v>
      </x:c>
      <x:c r="G9" s="123" t="n">
        <x:v>1456</x:v>
      </x:c>
      <x:c r="H9" s="123" t="n">
        <x:v>6656</x:v>
      </x:c>
      <x:c r="I9" s="121" t="n">
        <x:v>599.04</x:v>
      </x:c>
      <x:c r="J9" s="121" t="n">
        <x:v>229.27</x:v>
      </x:c>
      <x:c r="K9" s="121" t="n">
        <x:v>3328</x:v>
      </x:c>
      <x:c r="L9" s="121" t="n">
        <x:v>2499.69</x:v>
      </x:c>
      <x:c r="M9" s="122" t="str">
        <x:v>Provisionado</x:v>
      </x:c>
      <x:c r="N9" s="122" t="str">
        <x:v>Competência futura de fechamento</x:v>
      </x:c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  <x:c r="AA9" s="85"/>
      <x:c r="AB9" s="85"/>
      <x:c r="AC9" s="85"/>
      <x:c r="AD9" s="85"/>
      <x:c r="AE9" s="85"/>
      <x:c r="AF9" s="85"/>
      <x:c r="AG9" s="85"/>
      <x:c r="AH9" s="85"/>
      <x:c r="AI9" s="85"/>
      <x:c r="AJ9" s="85"/>
    </x:row>
    <x:row r="10">
      <x:c r="A10" s="118" t="n">
        <x:v>2024</x:v>
      </x:c>
      <x:c r="B10" s="118" t="n">
        <x:v>1003</x:v>
      </x:c>
      <x:c r="C10" s="118" t="str">
        <x:v>Maria Lima</x:v>
      </x:c>
      <x:c r="D10" s="123" t="str">
        <x:v>Comercial</x:v>
      </x:c>
      <x:c r="E10" s="123" t="n">
        <x:v>12</x:v>
      </x:c>
      <x:c r="F10" s="123" t="n">
        <x:v>9800</x:v>
      </x:c>
      <x:c r="G10" s="123" t="n">
        <x:v>2744</x:v>
      </x:c>
      <x:c r="H10" s="123" t="n">
        <x:v>12544</x:v>
      </x:c>
      <x:c r="I10" s="121" t="n">
        <x:v>1128.96</x:v>
      </x:c>
      <x:c r="J10" s="121" t="n">
        <x:v>631.13</x:v>
      </x:c>
      <x:c r="K10" s="121" t="n">
        <x:v>6272</x:v>
      </x:c>
      <x:c r="L10" s="121" t="n">
        <x:v>4511.91</x:v>
      </x:c>
      <x:c r="M10" s="122" t="str">
        <x:v>Conferido</x:v>
      </x:c>
      <x:c r="N10" s="122" t="str">
        <x:v>Histórico para auditoria</x:v>
      </x:c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  <x:c r="AA10" s="85"/>
      <x:c r="AB10" s="85"/>
      <x:c r="AC10" s="85"/>
      <x:c r="AD10" s="85"/>
      <x:c r="AE10" s="85"/>
      <x:c r="AF10" s="85"/>
      <x:c r="AG10" s="85"/>
      <x:c r="AH10" s="85"/>
      <x:c r="AI10" s="85"/>
      <x:c r="AJ10" s="85"/>
    </x:row>
    <x:row r="11">
      <x:c r="A11" s="118" t="n">
        <x:v>2025</x:v>
      </x:c>
      <x:c r="B11" s="118" t="n">
        <x:v>1003</x:v>
      </x:c>
      <x:c r="C11" s="118" t="str">
        <x:v>Maria Lima</x:v>
      </x:c>
      <x:c r="D11" s="123" t="str">
        <x:v>Comercial</x:v>
      </x:c>
      <x:c r="E11" s="123" t="n">
        <x:v>12</x:v>
      </x:c>
      <x:c r="F11" s="123" t="n">
        <x:v>9800</x:v>
      </x:c>
      <x:c r="G11" s="123" t="n">
        <x:v>2744</x:v>
      </x:c>
      <x:c r="H11" s="123" t="n">
        <x:v>12544</x:v>
      </x:c>
      <x:c r="I11" s="121" t="n">
        <x:v>1128.96</x:v>
      </x:c>
      <x:c r="J11" s="121" t="n">
        <x:v>631.13</x:v>
      </x:c>
      <x:c r="K11" s="121" t="n">
        <x:v>6272</x:v>
      </x:c>
      <x:c r="L11" s="121" t="n">
        <x:v>4511.91</x:v>
      </x:c>
      <x:c r="M11" s="122" t="str">
        <x:v>Conferido</x:v>
      </x:c>
      <x:c r="N11" s="122" t="str">
        <x:v>Histórico para auditoria</x:v>
      </x:c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  <x:c r="AA11" s="85"/>
      <x:c r="AB11" s="85"/>
      <x:c r="AC11" s="85"/>
      <x:c r="AD11" s="85"/>
      <x:c r="AE11" s="85"/>
      <x:c r="AF11" s="85"/>
      <x:c r="AG11" s="85"/>
      <x:c r="AH11" s="85"/>
      <x:c r="AI11" s="85"/>
      <x:c r="AJ11" s="85"/>
    </x:row>
    <x:row r="12">
      <x:c r="A12" s="118" t="n">
        <x:v>2026</x:v>
      </x:c>
      <x:c r="B12" s="118" t="n">
        <x:v>1003</x:v>
      </x:c>
      <x:c r="C12" s="118" t="str">
        <x:v>Maria Lima</x:v>
      </x:c>
      <x:c r="D12" s="123" t="str">
        <x:v>Comercial</x:v>
      </x:c>
      <x:c r="E12" s="123" t="n">
        <x:v>12</x:v>
      </x:c>
      <x:c r="F12" s="123" t="n">
        <x:v>9800</x:v>
      </x:c>
      <x:c r="G12" s="123" t="n">
        <x:v>2744</x:v>
      </x:c>
      <x:c r="H12" s="123" t="n">
        <x:v>12544</x:v>
      </x:c>
      <x:c r="I12" s="121" t="n">
        <x:v>1128.96</x:v>
      </x:c>
      <x:c r="J12" s="121" t="n">
        <x:v>631.13</x:v>
      </x:c>
      <x:c r="K12" s="121" t="n">
        <x:v>6272</x:v>
      </x:c>
      <x:c r="L12" s="121" t="n">
        <x:v>4511.91</x:v>
      </x:c>
      <x:c r="M12" s="122" t="str">
        <x:v>Provisionado</x:v>
      </x:c>
      <x:c r="N12" s="122" t="str">
        <x:v>Competência futura de fechamento</x:v>
      </x:c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  <x:c r="AA12" s="85"/>
      <x:c r="AB12" s="85"/>
      <x:c r="AC12" s="85"/>
      <x:c r="AD12" s="85"/>
      <x:c r="AE12" s="85"/>
      <x:c r="AF12" s="85"/>
      <x:c r="AG12" s="85"/>
      <x:c r="AH12" s="85"/>
      <x:c r="AI12" s="85"/>
      <x:c r="AJ12" s="85"/>
    </x:row>
    <x:row r="13">
      <x:c r="A13" s="118" t="n">
        <x:v>2024</x:v>
      </x:c>
      <x:c r="B13" s="118" t="n">
        <x:v>1004</x:v>
      </x:c>
      <x:c r="C13" s="118" t="str">
        <x:v>Rafael Oliveira</x:v>
      </x:c>
      <x:c r="D13" s="123" t="str">
        <x:v>Comercial</x:v>
      </x:c>
      <x:c r="E13" s="123" t="n">
        <x:v>12</x:v>
      </x:c>
      <x:c r="F13" s="123" t="n">
        <x:v>4600</x:v>
      </x:c>
      <x:c r="G13" s="123" t="n">
        <x:v>1288</x:v>
      </x:c>
      <x:c r="H13" s="123" t="n">
        <x:v>5888</x:v>
      </x:c>
      <x:c r="I13" s="121" t="n">
        <x:v>529.92</x:v>
      </x:c>
      <x:c r="J13" s="121" t="n">
        <x:v>176.86</x:v>
      </x:c>
      <x:c r="K13" s="121" t="n">
        <x:v>2944</x:v>
      </x:c>
      <x:c r="L13" s="121" t="n">
        <x:v>2237.22</x:v>
      </x:c>
      <x:c r="M13" s="122" t="str">
        <x:v>Conferido</x:v>
      </x:c>
      <x:c r="N13" s="122" t="str">
        <x:v>Histórico para auditoria</x:v>
      </x:c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  <x:c r="AA13" s="85"/>
      <x:c r="AB13" s="85"/>
      <x:c r="AC13" s="85"/>
      <x:c r="AD13" s="85"/>
      <x:c r="AE13" s="85"/>
      <x:c r="AF13" s="85"/>
      <x:c r="AG13" s="85"/>
      <x:c r="AH13" s="85"/>
      <x:c r="AI13" s="85"/>
      <x:c r="AJ13" s="85"/>
    </x:row>
    <x:row r="14">
      <x:c r="A14" s="118" t="n">
        <x:v>2025</x:v>
      </x:c>
      <x:c r="B14" s="118" t="n">
        <x:v>1004</x:v>
      </x:c>
      <x:c r="C14" s="118" t="str">
        <x:v>Rafael Oliveira</x:v>
      </x:c>
      <x:c r="D14" s="123" t="str">
        <x:v>Comercial</x:v>
      </x:c>
      <x:c r="E14" s="123" t="n">
        <x:v>12</x:v>
      </x:c>
      <x:c r="F14" s="123" t="n">
        <x:v>4600</x:v>
      </x:c>
      <x:c r="G14" s="123" t="n">
        <x:v>1288</x:v>
      </x:c>
      <x:c r="H14" s="123" t="n">
        <x:v>5888</x:v>
      </x:c>
      <x:c r="I14" s="121" t="n">
        <x:v>529.92</x:v>
      </x:c>
      <x:c r="J14" s="121" t="n">
        <x:v>176.86</x:v>
      </x:c>
      <x:c r="K14" s="121" t="n">
        <x:v>2944</x:v>
      </x:c>
      <x:c r="L14" s="121" t="n">
        <x:v>2237.22</x:v>
      </x:c>
      <x:c r="M14" s="122" t="str">
        <x:v>Conferido</x:v>
      </x:c>
      <x:c r="N14" s="122" t="str">
        <x:v>Histórico para auditoria</x:v>
      </x:c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  <x:c r="AA14" s="85"/>
      <x:c r="AB14" s="85"/>
      <x:c r="AC14" s="85"/>
      <x:c r="AD14" s="85"/>
      <x:c r="AE14" s="85"/>
      <x:c r="AF14" s="85"/>
      <x:c r="AG14" s="85"/>
      <x:c r="AH14" s="85"/>
      <x:c r="AI14" s="85"/>
      <x:c r="AJ14" s="85"/>
    </x:row>
    <x:row r="15">
      <x:c r="A15" s="118" t="n">
        <x:v>2026</x:v>
      </x:c>
      <x:c r="B15" s="118" t="n">
        <x:v>1004</x:v>
      </x:c>
      <x:c r="C15" s="118" t="str">
        <x:v>Rafael Oliveira</x:v>
      </x:c>
      <x:c r="D15" s="123" t="str">
        <x:v>Comercial</x:v>
      </x:c>
      <x:c r="E15" s="123" t="n">
        <x:v>12</x:v>
      </x:c>
      <x:c r="F15" s="123" t="n">
        <x:v>4600</x:v>
      </x:c>
      <x:c r="G15" s="123" t="n">
        <x:v>1288</x:v>
      </x:c>
      <x:c r="H15" s="123" t="n">
        <x:v>5888</x:v>
      </x:c>
      <x:c r="I15" s="121" t="n">
        <x:v>529.92</x:v>
      </x:c>
      <x:c r="J15" s="121" t="n">
        <x:v>176.86</x:v>
      </x:c>
      <x:c r="K15" s="121" t="n">
        <x:v>2944</x:v>
      </x:c>
      <x:c r="L15" s="121" t="n">
        <x:v>2237.22</x:v>
      </x:c>
      <x:c r="M15" s="122" t="str">
        <x:v>Em conferência</x:v>
      </x:c>
      <x:c r="N15" s="122" t="str">
        <x:v>Competência futura de fechamento</x:v>
      </x:c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  <x:c r="AA15" s="85"/>
      <x:c r="AB15" s="85"/>
      <x:c r="AC15" s="85"/>
      <x:c r="AD15" s="85"/>
      <x:c r="AE15" s="85"/>
      <x:c r="AF15" s="85"/>
      <x:c r="AG15" s="85"/>
      <x:c r="AH15" s="85"/>
      <x:c r="AI15" s="85"/>
      <x:c r="AJ15" s="85"/>
    </x:row>
    <x:row r="16">
      <x:c r="A16" s="118" t="n">
        <x:v>2024</x:v>
      </x:c>
      <x:c r="B16" s="118" t="n">
        <x:v>1005</x:v>
      </x:c>
      <x:c r="C16" s="118" t="str">
        <x:v>Fernanda Costa</x:v>
      </x:c>
      <x:c r="D16" s="123" t="str">
        <x:v>Comercial</x:v>
      </x:c>
      <x:c r="E16" s="123" t="n">
        <x:v>12</x:v>
      </x:c>
      <x:c r="F16" s="123" t="n">
        <x:v>7200</x:v>
      </x:c>
      <x:c r="G16" s="123" t="n">
        <x:v>2016</x:v>
      </x:c>
      <x:c r="H16" s="123" t="n">
        <x:v>9216</x:v>
      </x:c>
      <x:c r="I16" s="121" t="n">
        <x:v>829.44</x:v>
      </x:c>
      <x:c r="J16" s="121" t="n">
        <x:v>403.99</x:v>
      </x:c>
      <x:c r="K16" s="121" t="n">
        <x:v>4608</x:v>
      </x:c>
      <x:c r="L16" s="121" t="n">
        <x:v>3374.57</x:v>
      </x:c>
      <x:c r="M16" s="122" t="str">
        <x:v>Conferido</x:v>
      </x:c>
      <x:c r="N16" s="122" t="str">
        <x:v>Histórico para auditoria</x:v>
      </x:c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  <x:c r="AA16" s="85"/>
      <x:c r="AB16" s="85"/>
      <x:c r="AC16" s="85"/>
      <x:c r="AD16" s="85"/>
      <x:c r="AE16" s="85"/>
      <x:c r="AF16" s="85"/>
      <x:c r="AG16" s="85"/>
      <x:c r="AH16" s="85"/>
      <x:c r="AI16" s="85"/>
      <x:c r="AJ16" s="85"/>
    </x:row>
    <x:row r="17">
      <x:c r="A17" s="118" t="n">
        <x:v>2025</x:v>
      </x:c>
      <x:c r="B17" s="118" t="n">
        <x:v>1005</x:v>
      </x:c>
      <x:c r="C17" s="118" t="str">
        <x:v>Fernanda Costa</x:v>
      </x:c>
      <x:c r="D17" s="123" t="str">
        <x:v>Comercial</x:v>
      </x:c>
      <x:c r="E17" s="123" t="n">
        <x:v>12</x:v>
      </x:c>
      <x:c r="F17" s="123" t="n">
        <x:v>7200</x:v>
      </x:c>
      <x:c r="G17" s="123" t="n">
        <x:v>2016</x:v>
      </x:c>
      <x:c r="H17" s="123" t="n">
        <x:v>9216</x:v>
      </x:c>
      <x:c r="I17" s="121" t="n">
        <x:v>829.44</x:v>
      </x:c>
      <x:c r="J17" s="121" t="n">
        <x:v>403.99</x:v>
      </x:c>
      <x:c r="K17" s="121" t="n">
        <x:v>4608</x:v>
      </x:c>
      <x:c r="L17" s="121" t="n">
        <x:v>3374.57</x:v>
      </x:c>
      <x:c r="M17" s="122" t="str">
        <x:v>Conferido</x:v>
      </x:c>
      <x:c r="N17" s="122" t="str">
        <x:v>Histórico para auditoria</x:v>
      </x:c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  <x:c r="AA17" s="85"/>
      <x:c r="AB17" s="85"/>
      <x:c r="AC17" s="85"/>
      <x:c r="AD17" s="85"/>
      <x:c r="AE17" s="85"/>
      <x:c r="AF17" s="85"/>
      <x:c r="AG17" s="85"/>
      <x:c r="AH17" s="85"/>
      <x:c r="AI17" s="85"/>
      <x:c r="AJ17" s="85"/>
    </x:row>
    <x:row r="18">
      <x:c r="A18" s="118" t="n">
        <x:v>2026</x:v>
      </x:c>
      <x:c r="B18" s="118" t="n">
        <x:v>1005</x:v>
      </x:c>
      <x:c r="C18" s="118" t="str">
        <x:v>Fernanda Costa</x:v>
      </x:c>
      <x:c r="D18" s="123" t="str">
        <x:v>Comercial</x:v>
      </x:c>
      <x:c r="E18" s="123" t="n">
        <x:v>12</x:v>
      </x:c>
      <x:c r="F18" s="123" t="n">
        <x:v>7200</x:v>
      </x:c>
      <x:c r="G18" s="123" t="n">
        <x:v>2016</x:v>
      </x:c>
      <x:c r="H18" s="123" t="n">
        <x:v>9216</x:v>
      </x:c>
      <x:c r="I18" s="121" t="n">
        <x:v>829.44</x:v>
      </x:c>
      <x:c r="J18" s="121" t="n">
        <x:v>403.99</x:v>
      </x:c>
      <x:c r="K18" s="121" t="n">
        <x:v>4608</x:v>
      </x:c>
      <x:c r="L18" s="121" t="n">
        <x:v>3374.57</x:v>
      </x:c>
      <x:c r="M18" s="122" t="str">
        <x:v>Provisionado</x:v>
      </x:c>
      <x:c r="N18" s="122" t="str">
        <x:v>Competência futura de fechamento</x:v>
      </x:c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  <x:c r="AA18" s="85"/>
      <x:c r="AB18" s="85"/>
      <x:c r="AC18" s="85"/>
      <x:c r="AD18" s="85"/>
      <x:c r="AE18" s="85"/>
      <x:c r="AF18" s="85"/>
      <x:c r="AG18" s="85"/>
      <x:c r="AH18" s="85"/>
      <x:c r="AI18" s="85"/>
      <x:c r="AJ18" s="85"/>
    </x:row>
    <x:row r="19">
      <x:c r="A19" s="118" t="n">
        <x:v>2024</x:v>
      </x:c>
      <x:c r="B19" s="118" t="n">
        <x:v>1006</x:v>
      </x:c>
      <x:c r="C19" s="118" t="str">
        <x:v>Bruno Martins</x:v>
      </x:c>
      <x:c r="D19" s="123" t="str">
        <x:v>Comercial</x:v>
      </x:c>
      <x:c r="E19" s="123" t="n">
        <x:v>12</x:v>
      </x:c>
      <x:c r="F19" s="123" t="n">
        <x:v>4400</x:v>
      </x:c>
      <x:c r="G19" s="123" t="n">
        <x:v>1232</x:v>
      </x:c>
      <x:c r="H19" s="123" t="n">
        <x:v>5632</x:v>
      </x:c>
      <x:c r="I19" s="121" t="n">
        <x:v>506.88</x:v>
      </x:c>
      <x:c r="J19" s="121" t="n">
        <x:v>159.38</x:v>
      </x:c>
      <x:c r="K19" s="121" t="n">
        <x:v>2816</x:v>
      </x:c>
      <x:c r="L19" s="121" t="n">
        <x:v>2149.74</x:v>
      </x:c>
      <x:c r="M19" s="122" t="str">
        <x:v>Conferido</x:v>
      </x:c>
      <x:c r="N19" s="122" t="str">
        <x:v>Histórico para auditoria</x:v>
      </x:c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  <x:c r="AA19" s="85"/>
      <x:c r="AB19" s="85"/>
      <x:c r="AC19" s="85"/>
      <x:c r="AD19" s="85"/>
      <x:c r="AE19" s="85"/>
      <x:c r="AF19" s="85"/>
      <x:c r="AG19" s="85"/>
      <x:c r="AH19" s="85"/>
      <x:c r="AI19" s="85"/>
      <x:c r="AJ19" s="85"/>
    </x:row>
    <x:row r="20">
      <x:c r="A20" s="118" t="n">
        <x:v>2025</x:v>
      </x:c>
      <x:c r="B20" s="118" t="n">
        <x:v>1006</x:v>
      </x:c>
      <x:c r="C20" s="118" t="str">
        <x:v>Bruno Martins</x:v>
      </x:c>
      <x:c r="D20" s="123" t="str">
        <x:v>Comercial</x:v>
      </x:c>
      <x:c r="E20" s="123" t="n">
        <x:v>12</x:v>
      </x:c>
      <x:c r="F20" s="123" t="n">
        <x:v>4400</x:v>
      </x:c>
      <x:c r="G20" s="123" t="n">
        <x:v>1232</x:v>
      </x:c>
      <x:c r="H20" s="123" t="n">
        <x:v>5632</x:v>
      </x:c>
      <x:c r="I20" s="121" t="n">
        <x:v>506.88</x:v>
      </x:c>
      <x:c r="J20" s="121" t="n">
        <x:v>159.38</x:v>
      </x:c>
      <x:c r="K20" s="121" t="n">
        <x:v>2816</x:v>
      </x:c>
      <x:c r="L20" s="121" t="n">
        <x:v>2149.74</x:v>
      </x:c>
      <x:c r="M20" s="122" t="str">
        <x:v>Conferido</x:v>
      </x:c>
      <x:c r="N20" s="122" t="str">
        <x:v>Histórico para auditoria</x:v>
      </x:c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  <x:c r="AA20" s="85"/>
      <x:c r="AB20" s="85"/>
      <x:c r="AC20" s="85"/>
      <x:c r="AD20" s="85"/>
      <x:c r="AE20" s="85"/>
      <x:c r="AF20" s="85"/>
      <x:c r="AG20" s="85"/>
      <x:c r="AH20" s="85"/>
      <x:c r="AI20" s="85"/>
      <x:c r="AJ20" s="85"/>
    </x:row>
    <x:row r="21">
      <x:c r="A21" s="118" t="n">
        <x:v>2026</x:v>
      </x:c>
      <x:c r="B21" s="118" t="n">
        <x:v>1006</x:v>
      </x:c>
      <x:c r="C21" s="118" t="str">
        <x:v>Bruno Martins</x:v>
      </x:c>
      <x:c r="D21" s="123" t="str">
        <x:v>Comercial</x:v>
      </x:c>
      <x:c r="E21" s="123" t="n">
        <x:v>12</x:v>
      </x:c>
      <x:c r="F21" s="123" t="n">
        <x:v>4400</x:v>
      </x:c>
      <x:c r="G21" s="123" t="n">
        <x:v>1232</x:v>
      </x:c>
      <x:c r="H21" s="123" t="n">
        <x:v>5632</x:v>
      </x:c>
      <x:c r="I21" s="121" t="n">
        <x:v>506.88</x:v>
      </x:c>
      <x:c r="J21" s="121" t="n">
        <x:v>159.38</x:v>
      </x:c>
      <x:c r="K21" s="121" t="n">
        <x:v>2816</x:v>
      </x:c>
      <x:c r="L21" s="121" t="n">
        <x:v>2149.74</x:v>
      </x:c>
      <x:c r="M21" s="122" t="str">
        <x:v>Provisionado</x:v>
      </x:c>
      <x:c r="N21" s="122" t="str">
        <x:v>Competência futura de fechamento</x:v>
      </x:c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  <x:c r="AA21" s="85"/>
      <x:c r="AB21" s="85"/>
      <x:c r="AC21" s="85"/>
      <x:c r="AD21" s="85"/>
      <x:c r="AE21" s="85"/>
      <x:c r="AF21" s="85"/>
      <x:c r="AG21" s="85"/>
      <x:c r="AH21" s="85"/>
      <x:c r="AI21" s="85"/>
      <x:c r="AJ21" s="85"/>
    </x:row>
    <x:row r="22">
      <x:c r="A22" s="118" t="n">
        <x:v>2024</x:v>
      </x:c>
      <x:c r="B22" s="118" t="n">
        <x:v>1007</x:v>
      </x:c>
      <x:c r="C22" s="118" t="str">
        <x:v>Juliana Rocha</x:v>
      </x:c>
      <x:c r="D22" s="123" t="str">
        <x:v>Comercial</x:v>
      </x:c>
      <x:c r="E22" s="123" t="n">
        <x:v>12</x:v>
      </x:c>
      <x:c r="F22" s="123" t="n">
        <x:v>5100</x:v>
      </x:c>
      <x:c r="G22" s="123" t="n">
        <x:v>510</x:v>
      </x:c>
      <x:c r="H22" s="123" t="n">
        <x:v>5610</x:v>
      </x:c>
      <x:c r="I22" s="121" t="n">
        <x:v>504.9</x:v>
      </x:c>
      <x:c r="J22" s="121" t="n">
        <x:v>157.88</x:v>
      </x:c>
      <x:c r="K22" s="121" t="n">
        <x:v>2805</x:v>
      </x:c>
      <x:c r="L22" s="121" t="n">
        <x:v>2142.22</x:v>
      </x:c>
      <x:c r="M22" s="122" t="str">
        <x:v>Conferido</x:v>
      </x:c>
      <x:c r="N22" s="122" t="str">
        <x:v>Histórico para auditoria</x:v>
      </x:c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  <x:c r="AA22" s="85"/>
      <x:c r="AB22" s="85"/>
      <x:c r="AC22" s="85"/>
      <x:c r="AD22" s="85"/>
      <x:c r="AE22" s="85"/>
      <x:c r="AF22" s="85"/>
      <x:c r="AG22" s="85"/>
      <x:c r="AH22" s="85"/>
      <x:c r="AI22" s="85"/>
      <x:c r="AJ22" s="85"/>
    </x:row>
    <x:row r="23">
      <x:c r="A23" s="118" t="n">
        <x:v>2025</x:v>
      </x:c>
      <x:c r="B23" s="118" t="n">
        <x:v>1007</x:v>
      </x:c>
      <x:c r="C23" s="118" t="str">
        <x:v>Juliana Rocha</x:v>
      </x:c>
      <x:c r="D23" s="123" t="str">
        <x:v>Comercial</x:v>
      </x:c>
      <x:c r="E23" s="123" t="n">
        <x:v>12</x:v>
      </x:c>
      <x:c r="F23" s="123" t="n">
        <x:v>5100</x:v>
      </x:c>
      <x:c r="G23" s="123" t="n">
        <x:v>510</x:v>
      </x:c>
      <x:c r="H23" s="123" t="n">
        <x:v>5610</x:v>
      </x:c>
      <x:c r="I23" s="121" t="n">
        <x:v>504.9</x:v>
      </x:c>
      <x:c r="J23" s="121" t="n">
        <x:v>157.88</x:v>
      </x:c>
      <x:c r="K23" s="121" t="n">
        <x:v>2805</x:v>
      </x:c>
      <x:c r="L23" s="121" t="n">
        <x:v>2142.22</x:v>
      </x:c>
      <x:c r="M23" s="122" t="str">
        <x:v>Conferido</x:v>
      </x:c>
      <x:c r="N23" s="122" t="str">
        <x:v>Histórico para auditoria</x:v>
      </x:c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  <x:c r="AA23" s="85"/>
      <x:c r="AB23" s="85"/>
      <x:c r="AC23" s="85"/>
      <x:c r="AD23" s="85"/>
      <x:c r="AE23" s="85"/>
      <x:c r="AF23" s="85"/>
      <x:c r="AG23" s="85"/>
      <x:c r="AH23" s="85"/>
      <x:c r="AI23" s="85"/>
      <x:c r="AJ23" s="85"/>
    </x:row>
    <x:row r="24">
      <x:c r="A24" s="118" t="n">
        <x:v>2026</x:v>
      </x:c>
      <x:c r="B24" s="118" t="n">
        <x:v>1007</x:v>
      </x:c>
      <x:c r="C24" s="118" t="str">
        <x:v>Juliana Rocha</x:v>
      </x:c>
      <x:c r="D24" s="123" t="str">
        <x:v>Comercial</x:v>
      </x:c>
      <x:c r="E24" s="123" t="n">
        <x:v>12</x:v>
      </x:c>
      <x:c r="F24" s="123" t="n">
        <x:v>5100</x:v>
      </x:c>
      <x:c r="G24" s="123" t="n">
        <x:v>510</x:v>
      </x:c>
      <x:c r="H24" s="123" t="n">
        <x:v>5610</x:v>
      </x:c>
      <x:c r="I24" s="121" t="n">
        <x:v>504.9</x:v>
      </x:c>
      <x:c r="J24" s="121" t="n">
        <x:v>157.88</x:v>
      </x:c>
      <x:c r="K24" s="121" t="n">
        <x:v>2805</x:v>
      </x:c>
      <x:c r="L24" s="121" t="n">
        <x:v>2142.22</x:v>
      </x:c>
      <x:c r="M24" s="122" t="str">
        <x:v>Provisionado</x:v>
      </x:c>
      <x:c r="N24" s="122" t="str">
        <x:v>Competência futura de fechamento</x:v>
      </x:c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  <x:c r="AA24" s="85"/>
      <x:c r="AB24" s="85"/>
      <x:c r="AC24" s="85"/>
      <x:c r="AD24" s="85"/>
      <x:c r="AE24" s="85"/>
      <x:c r="AF24" s="85"/>
      <x:c r="AG24" s="85"/>
      <x:c r="AH24" s="85"/>
      <x:c r="AI24" s="85"/>
      <x:c r="AJ24" s="85"/>
    </x:row>
    <x:row r="25">
      <x:c r="A25" s="118" t="n">
        <x:v>2024</x:v>
      </x:c>
      <x:c r="B25" s="118" t="n">
        <x:v>1008</x:v>
      </x:c>
      <x:c r="C25" s="118" t="str">
        <x:v>Lucas Almeida</x:v>
      </x:c>
      <x:c r="D25" s="123" t="str">
        <x:v>Comercial</x:v>
      </x:c>
      <x:c r="E25" s="123" t="n">
        <x:v>12</x:v>
      </x:c>
      <x:c r="F25" s="123" t="n">
        <x:v>4300</x:v>
      </x:c>
      <x:c r="G25" s="123" t="n">
        <x:v>1204</x:v>
      </x:c>
      <x:c r="H25" s="123" t="n">
        <x:v>5504</x:v>
      </x:c>
      <x:c r="I25" s="121" t="n">
        <x:v>495.36</x:v>
      </x:c>
      <x:c r="J25" s="121" t="n">
        <x:v>150.65</x:v>
      </x:c>
      <x:c r="K25" s="121" t="n">
        <x:v>2752</x:v>
      </x:c>
      <x:c r="L25" s="121" t="n">
        <x:v>2105.99</x:v>
      </x:c>
      <x:c r="M25" s="122" t="str">
        <x:v>Conferido</x:v>
      </x:c>
      <x:c r="N25" s="122" t="str">
        <x:v>Histórico para auditoria</x:v>
      </x:c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  <x:c r="AA25" s="85"/>
      <x:c r="AB25" s="85"/>
      <x:c r="AC25" s="85"/>
      <x:c r="AD25" s="85"/>
      <x:c r="AE25" s="85"/>
      <x:c r="AF25" s="85"/>
      <x:c r="AG25" s="85"/>
      <x:c r="AH25" s="85"/>
      <x:c r="AI25" s="85"/>
      <x:c r="AJ25" s="85"/>
    </x:row>
    <x:row r="26">
      <x:c r="A26" s="118" t="n">
        <x:v>2025</x:v>
      </x:c>
      <x:c r="B26" s="118" t="n">
        <x:v>1008</x:v>
      </x:c>
      <x:c r="C26" s="118" t="str">
        <x:v>Lucas Almeida</x:v>
      </x:c>
      <x:c r="D26" s="123" t="str">
        <x:v>Comercial</x:v>
      </x:c>
      <x:c r="E26" s="123" t="n">
        <x:v>12</x:v>
      </x:c>
      <x:c r="F26" s="123" t="n">
        <x:v>4300</x:v>
      </x:c>
      <x:c r="G26" s="123" t="n">
        <x:v>1204</x:v>
      </x:c>
      <x:c r="H26" s="123" t="n">
        <x:v>5504</x:v>
      </x:c>
      <x:c r="I26" s="121" t="n">
        <x:v>495.36</x:v>
      </x:c>
      <x:c r="J26" s="121" t="n">
        <x:v>150.65</x:v>
      </x:c>
      <x:c r="K26" s="121" t="n">
        <x:v>2752</x:v>
      </x:c>
      <x:c r="L26" s="121" t="n">
        <x:v>2105.99</x:v>
      </x:c>
      <x:c r="M26" s="122" t="str">
        <x:v>Conferido</x:v>
      </x:c>
      <x:c r="N26" s="122" t="str">
        <x:v>Histórico para auditoria</x:v>
      </x:c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  <x:c r="AA26" s="85"/>
      <x:c r="AB26" s="85"/>
      <x:c r="AC26" s="85"/>
      <x:c r="AD26" s="85"/>
      <x:c r="AE26" s="85"/>
      <x:c r="AF26" s="85"/>
      <x:c r="AG26" s="85"/>
      <x:c r="AH26" s="85"/>
      <x:c r="AI26" s="85"/>
      <x:c r="AJ26" s="85"/>
    </x:row>
    <x:row r="27">
      <x:c r="A27" s="118" t="n">
        <x:v>2026</x:v>
      </x:c>
      <x:c r="B27" s="118" t="n">
        <x:v>1008</x:v>
      </x:c>
      <x:c r="C27" s="118" t="str">
        <x:v>Lucas Almeida</x:v>
      </x:c>
      <x:c r="D27" s="123" t="str">
        <x:v>Comercial</x:v>
      </x:c>
      <x:c r="E27" s="123" t="n">
        <x:v>12</x:v>
      </x:c>
      <x:c r="F27" s="123" t="n">
        <x:v>4300</x:v>
      </x:c>
      <x:c r="G27" s="123" t="n">
        <x:v>1204</x:v>
      </x:c>
      <x:c r="H27" s="123" t="n">
        <x:v>5504</x:v>
      </x:c>
      <x:c r="I27" s="121" t="n">
        <x:v>495.36</x:v>
      </x:c>
      <x:c r="J27" s="121" t="n">
        <x:v>150.65</x:v>
      </x:c>
      <x:c r="K27" s="121" t="n">
        <x:v>2752</x:v>
      </x:c>
      <x:c r="L27" s="121" t="n">
        <x:v>2105.99</x:v>
      </x:c>
      <x:c r="M27" s="122" t="str">
        <x:v>Em conferência</x:v>
      </x:c>
      <x:c r="N27" s="122" t="str">
        <x:v>Competência futura de fechamento</x:v>
      </x:c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  <x:c r="AA27" s="85"/>
      <x:c r="AB27" s="85"/>
      <x:c r="AC27" s="85"/>
      <x:c r="AD27" s="85"/>
      <x:c r="AE27" s="85"/>
      <x:c r="AF27" s="85"/>
      <x:c r="AG27" s="85"/>
      <x:c r="AH27" s="85"/>
      <x:c r="AI27" s="85"/>
      <x:c r="AJ27" s="85"/>
    </x:row>
    <x:row r="28">
      <x:c r="A28" s="118" t="n">
        <x:v>2024</x:v>
      </x:c>
      <x:c r="B28" s="118" t="n">
        <x:v>1009</x:v>
      </x:c>
      <x:c r="C28" s="118" t="str">
        <x:v>Patricia Gomes</x:v>
      </x:c>
      <x:c r="D28" s="123" t="str">
        <x:v>Marketing</x:v>
      </x:c>
      <x:c r="E28" s="123" t="n">
        <x:v>12</x:v>
      </x:c>
      <x:c r="F28" s="123" t="n">
        <x:v>5600</x:v>
      </x:c>
      <x:c r="G28" s="123" t="n">
        <x:v>280</x:v>
      </x:c>
      <x:c r="H28" s="123" t="n">
        <x:v>5880</x:v>
      </x:c>
      <x:c r="I28" s="121" t="n">
        <x:v>529.2</x:v>
      </x:c>
      <x:c r="J28" s="121" t="n">
        <x:v>176.31</x:v>
      </x:c>
      <x:c r="K28" s="121" t="n">
        <x:v>2940</x:v>
      </x:c>
      <x:c r="L28" s="121" t="n">
        <x:v>2234.49</x:v>
      </x:c>
      <x:c r="M28" s="122" t="str">
        <x:v>Conferido</x:v>
      </x:c>
      <x:c r="N28" s="122" t="str">
        <x:v>Histórico para auditoria</x:v>
      </x:c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  <x:c r="AA28" s="85"/>
      <x:c r="AB28" s="85"/>
      <x:c r="AC28" s="85"/>
      <x:c r="AD28" s="85"/>
      <x:c r="AE28" s="85"/>
      <x:c r="AF28" s="85"/>
      <x:c r="AG28" s="85"/>
      <x:c r="AH28" s="85"/>
      <x:c r="AI28" s="85"/>
      <x:c r="AJ28" s="85"/>
    </x:row>
    <x:row r="29">
      <x:c r="A29" s="118" t="n">
        <x:v>2025</x:v>
      </x:c>
      <x:c r="B29" s="118" t="n">
        <x:v>1009</x:v>
      </x:c>
      <x:c r="C29" s="118" t="str">
        <x:v>Patricia Gomes</x:v>
      </x:c>
      <x:c r="D29" s="123" t="str">
        <x:v>Marketing</x:v>
      </x:c>
      <x:c r="E29" s="123" t="n">
        <x:v>12</x:v>
      </x:c>
      <x:c r="F29" s="123" t="n">
        <x:v>5600</x:v>
      </x:c>
      <x:c r="G29" s="123" t="n">
        <x:v>280</x:v>
      </x:c>
      <x:c r="H29" s="123" t="n">
        <x:v>5880</x:v>
      </x:c>
      <x:c r="I29" s="121" t="n">
        <x:v>529.2</x:v>
      </x:c>
      <x:c r="J29" s="121" t="n">
        <x:v>176.31</x:v>
      </x:c>
      <x:c r="K29" s="121" t="n">
        <x:v>2940</x:v>
      </x:c>
      <x:c r="L29" s="121" t="n">
        <x:v>2234.49</x:v>
      </x:c>
      <x:c r="M29" s="122" t="str">
        <x:v>Conferido</x:v>
      </x:c>
      <x:c r="N29" s="122" t="str">
        <x:v>Histórico para auditoria</x:v>
      </x:c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  <x:c r="AA29" s="85"/>
      <x:c r="AB29" s="85"/>
      <x:c r="AC29" s="85"/>
      <x:c r="AD29" s="85"/>
      <x:c r="AE29" s="85"/>
      <x:c r="AF29" s="85"/>
      <x:c r="AG29" s="85"/>
      <x:c r="AH29" s="85"/>
      <x:c r="AI29" s="85"/>
      <x:c r="AJ29" s="85"/>
    </x:row>
    <x:row r="30">
      <x:c r="A30" s="118" t="n">
        <x:v>2026</x:v>
      </x:c>
      <x:c r="B30" s="118" t="n">
        <x:v>1009</x:v>
      </x:c>
      <x:c r="C30" s="118" t="str">
        <x:v>Patricia Gomes</x:v>
      </x:c>
      <x:c r="D30" s="123" t="str">
        <x:v>Marketing</x:v>
      </x:c>
      <x:c r="E30" s="123" t="n">
        <x:v>12</x:v>
      </x:c>
      <x:c r="F30" s="123" t="n">
        <x:v>5600</x:v>
      </x:c>
      <x:c r="G30" s="123" t="n">
        <x:v>280</x:v>
      </x:c>
      <x:c r="H30" s="123" t="n">
        <x:v>5880</x:v>
      </x:c>
      <x:c r="I30" s="121" t="n">
        <x:v>529.2</x:v>
      </x:c>
      <x:c r="J30" s="121" t="n">
        <x:v>176.31</x:v>
      </x:c>
      <x:c r="K30" s="121" t="n">
        <x:v>2940</x:v>
      </x:c>
      <x:c r="L30" s="121" t="n">
        <x:v>2234.49</x:v>
      </x:c>
      <x:c r="M30" s="122" t="str">
        <x:v>Provisionado</x:v>
      </x:c>
      <x:c r="N30" s="122" t="str">
        <x:v>Competência futura de fechamento</x:v>
      </x:c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  <x:c r="AA30" s="85"/>
      <x:c r="AB30" s="85"/>
      <x:c r="AC30" s="85"/>
      <x:c r="AD30" s="85"/>
      <x:c r="AE30" s="85"/>
      <x:c r="AF30" s="85"/>
      <x:c r="AG30" s="85"/>
      <x:c r="AH30" s="85"/>
      <x:c r="AI30" s="85"/>
      <x:c r="AJ30" s="85"/>
    </x:row>
    <x:row r="31">
      <x:c r="A31" s="118" t="n">
        <x:v>2024</x:v>
      </x:c>
      <x:c r="B31" s="118" t="n">
        <x:v>1010</x:v>
      </x:c>
      <x:c r="C31" s="118" t="str">
        <x:v>Diego Ferreira</x:v>
      </x:c>
      <x:c r="D31" s="123" t="str">
        <x:v>Comercial</x:v>
      </x:c>
      <x:c r="E31" s="123" t="n">
        <x:v>12</x:v>
      </x:c>
      <x:c r="F31" s="123" t="n">
        <x:v>4200</x:v>
      </x:c>
      <x:c r="G31" s="123" t="n">
        <x:v>1176</x:v>
      </x:c>
      <x:c r="H31" s="123" t="n">
        <x:v>5376</x:v>
      </x:c>
      <x:c r="I31" s="121" t="n">
        <x:v>483.84</x:v>
      </x:c>
      <x:c r="J31" s="121" t="n">
        <x:v>141.91</x:v>
      </x:c>
      <x:c r="K31" s="121" t="n">
        <x:v>2688</x:v>
      </x:c>
      <x:c r="L31" s="121" t="n">
        <x:v>2062.25</x:v>
      </x:c>
      <x:c r="M31" s="122" t="str">
        <x:v>Conferido</x:v>
      </x:c>
      <x:c r="N31" s="122" t="str">
        <x:v>Histórico para auditoria</x:v>
      </x:c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  <x:c r="AA31" s="85"/>
      <x:c r="AB31" s="85"/>
      <x:c r="AC31" s="85"/>
      <x:c r="AD31" s="85"/>
      <x:c r="AE31" s="85"/>
      <x:c r="AF31" s="85"/>
      <x:c r="AG31" s="85"/>
      <x:c r="AH31" s="85"/>
      <x:c r="AI31" s="85"/>
      <x:c r="AJ31" s="85"/>
    </x:row>
    <x:row r="32">
      <x:c r="A32" s="118" t="n">
        <x:v>2025</x:v>
      </x:c>
      <x:c r="B32" s="118" t="n">
        <x:v>1010</x:v>
      </x:c>
      <x:c r="C32" s="118" t="str">
        <x:v>Diego Ferreira</x:v>
      </x:c>
      <x:c r="D32" s="123" t="str">
        <x:v>Comercial</x:v>
      </x:c>
      <x:c r="E32" s="123" t="n">
        <x:v>12</x:v>
      </x:c>
      <x:c r="F32" s="123" t="n">
        <x:v>4200</x:v>
      </x:c>
      <x:c r="G32" s="123" t="n">
        <x:v>1176</x:v>
      </x:c>
      <x:c r="H32" s="123" t="n">
        <x:v>5376</x:v>
      </x:c>
      <x:c r="I32" s="121" t="n">
        <x:v>483.84</x:v>
      </x:c>
      <x:c r="J32" s="121" t="n">
        <x:v>141.91</x:v>
      </x:c>
      <x:c r="K32" s="121" t="n">
        <x:v>2688</x:v>
      </x:c>
      <x:c r="L32" s="121" t="n">
        <x:v>2062.25</x:v>
      </x:c>
      <x:c r="M32" s="122" t="str">
        <x:v>Conferido</x:v>
      </x:c>
      <x:c r="N32" s="122" t="str">
        <x:v>Histórico para auditoria</x:v>
      </x:c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  <x:c r="AA32" s="85"/>
      <x:c r="AB32" s="85"/>
      <x:c r="AC32" s="85"/>
      <x:c r="AD32" s="85"/>
      <x:c r="AE32" s="85"/>
      <x:c r="AF32" s="85"/>
      <x:c r="AG32" s="85"/>
      <x:c r="AH32" s="85"/>
      <x:c r="AI32" s="85"/>
      <x:c r="AJ32" s="85"/>
    </x:row>
    <x:row r="33">
      <x:c r="A33" s="118" t="n">
        <x:v>2026</x:v>
      </x:c>
      <x:c r="B33" s="118" t="n">
        <x:v>1010</x:v>
      </x:c>
      <x:c r="C33" s="118" t="str">
        <x:v>Diego Ferreira</x:v>
      </x:c>
      <x:c r="D33" s="123" t="str">
        <x:v>Comercial</x:v>
      </x:c>
      <x:c r="E33" s="123" t="n">
        <x:v>12</x:v>
      </x:c>
      <x:c r="F33" s="123" t="n">
        <x:v>4200</x:v>
      </x:c>
      <x:c r="G33" s="123" t="n">
        <x:v>1176</x:v>
      </x:c>
      <x:c r="H33" s="123" t="n">
        <x:v>5376</x:v>
      </x:c>
      <x:c r="I33" s="121" t="n">
        <x:v>483.84</x:v>
      </x:c>
      <x:c r="J33" s="121" t="n">
        <x:v>141.91</x:v>
      </x:c>
      <x:c r="K33" s="121" t="n">
        <x:v>2688</x:v>
      </x:c>
      <x:c r="L33" s="121" t="n">
        <x:v>2062.25</x:v>
      </x:c>
      <x:c r="M33" s="122" t="str">
        <x:v>Provisionado</x:v>
      </x:c>
      <x:c r="N33" s="122" t="str">
        <x:v>Competência futura de fechamento</x:v>
      </x:c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  <x:c r="AA33" s="85"/>
      <x:c r="AB33" s="85"/>
      <x:c r="AC33" s="85"/>
      <x:c r="AD33" s="85"/>
      <x:c r="AE33" s="85"/>
      <x:c r="AF33" s="85"/>
      <x:c r="AG33" s="85"/>
      <x:c r="AH33" s="85"/>
      <x:c r="AI33" s="85"/>
      <x:c r="AJ33" s="85"/>
    </x:row>
    <x:row r="34">
      <x:c r="A34" s="118" t="n">
        <x:v>2024</x:v>
      </x:c>
      <x:c r="B34" s="118" t="n">
        <x:v>1011</x:v>
      </x:c>
      <x:c r="C34" s="118" t="str">
        <x:v>Renata Barros</x:v>
      </x:c>
      <x:c r="D34" s="123" t="str">
        <x:v>Financeiro</x:v>
      </x:c>
      <x:c r="E34" s="123" t="n">
        <x:v>12</x:v>
      </x:c>
      <x:c r="F34" s="123" t="n">
        <x:v>5900</x:v>
      </x:c>
      <x:c r="G34" s="123" t="n">
        <x:v>295</x:v>
      </x:c>
      <x:c r="H34" s="123" t="n">
        <x:v>6195</x:v>
      </x:c>
      <x:c r="I34" s="121" t="n">
        <x:v>557.55</x:v>
      </x:c>
      <x:c r="J34" s="121" t="n">
        <x:v>197.81</x:v>
      </x:c>
      <x:c r="K34" s="121" t="n">
        <x:v>3097.5</x:v>
      </x:c>
      <x:c r="L34" s="121" t="n">
        <x:v>2342.14</x:v>
      </x:c>
      <x:c r="M34" s="122" t="str">
        <x:v>Conferido</x:v>
      </x:c>
      <x:c r="N34" s="122" t="str">
        <x:v>Histórico para auditoria</x:v>
      </x:c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  <x:c r="AA34" s="85"/>
      <x:c r="AB34" s="85"/>
      <x:c r="AC34" s="85"/>
      <x:c r="AD34" s="85"/>
      <x:c r="AE34" s="85"/>
      <x:c r="AF34" s="85"/>
      <x:c r="AG34" s="85"/>
      <x:c r="AH34" s="85"/>
      <x:c r="AI34" s="85"/>
      <x:c r="AJ34" s="85"/>
    </x:row>
    <x:row r="35">
      <x:c r="A35" s="118" t="n">
        <x:v>2025</x:v>
      </x:c>
      <x:c r="B35" s="118" t="n">
        <x:v>1011</x:v>
      </x:c>
      <x:c r="C35" s="118" t="str">
        <x:v>Renata Barros</x:v>
      </x:c>
      <x:c r="D35" s="123" t="str">
        <x:v>Financeiro</x:v>
      </x:c>
      <x:c r="E35" s="123" t="n">
        <x:v>12</x:v>
      </x:c>
      <x:c r="F35" s="123" t="n">
        <x:v>5900</x:v>
      </x:c>
      <x:c r="G35" s="123" t="n">
        <x:v>295</x:v>
      </x:c>
      <x:c r="H35" s="123" t="n">
        <x:v>6195</x:v>
      </x:c>
      <x:c r="I35" s="121" t="n">
        <x:v>557.55</x:v>
      </x:c>
      <x:c r="J35" s="121" t="n">
        <x:v>197.81</x:v>
      </x:c>
      <x:c r="K35" s="121" t="n">
        <x:v>3097.5</x:v>
      </x:c>
      <x:c r="L35" s="121" t="n">
        <x:v>2342.14</x:v>
      </x:c>
      <x:c r="M35" s="122" t="str">
        <x:v>Conferido</x:v>
      </x:c>
      <x:c r="N35" s="122" t="str">
        <x:v>Histórico para auditoria</x:v>
      </x:c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  <x:c r="AA35" s="85"/>
      <x:c r="AB35" s="85"/>
      <x:c r="AC35" s="85"/>
      <x:c r="AD35" s="85"/>
      <x:c r="AE35" s="85"/>
      <x:c r="AF35" s="85"/>
      <x:c r="AG35" s="85"/>
      <x:c r="AH35" s="85"/>
      <x:c r="AI35" s="85"/>
      <x:c r="AJ35" s="85"/>
    </x:row>
    <x:row r="36">
      <x:c r="A36" s="118" t="n">
        <x:v>2026</x:v>
      </x:c>
      <x:c r="B36" s="118" t="n">
        <x:v>1011</x:v>
      </x:c>
      <x:c r="C36" s="118" t="str">
        <x:v>Renata Barros</x:v>
      </x:c>
      <x:c r="D36" s="123" t="str">
        <x:v>Financeiro</x:v>
      </x:c>
      <x:c r="E36" s="123" t="n">
        <x:v>12</x:v>
      </x:c>
      <x:c r="F36" s="123" t="n">
        <x:v>5900</x:v>
      </x:c>
      <x:c r="G36" s="123" t="n">
        <x:v>295</x:v>
      </x:c>
      <x:c r="H36" s="123" t="n">
        <x:v>6195</x:v>
      </x:c>
      <x:c r="I36" s="121" t="n">
        <x:v>557.55</x:v>
      </x:c>
      <x:c r="J36" s="121" t="n">
        <x:v>197.81</x:v>
      </x:c>
      <x:c r="K36" s="121" t="n">
        <x:v>3097.5</x:v>
      </x:c>
      <x:c r="L36" s="121" t="n">
        <x:v>2342.14</x:v>
      </x:c>
      <x:c r="M36" s="122" t="str">
        <x:v>Provisionado</x:v>
      </x:c>
      <x:c r="N36" s="122" t="str">
        <x:v>Competência futura de fechamento</x:v>
      </x:c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  <x:c r="AA36" s="85"/>
      <x:c r="AB36" s="85"/>
      <x:c r="AC36" s="85"/>
      <x:c r="AD36" s="85"/>
      <x:c r="AE36" s="85"/>
      <x:c r="AF36" s="85"/>
      <x:c r="AG36" s="85"/>
      <x:c r="AH36" s="85"/>
      <x:c r="AI36" s="85"/>
      <x:c r="AJ36" s="85"/>
    </x:row>
    <x:row r="37">
      <x:c r="A37" s="118" t="n">
        <x:v>2024</x:v>
      </x:c>
      <x:c r="B37" s="118" t="n">
        <x:v>1012</x:v>
      </x:c>
      <x:c r="C37" s="118" t="str">
        <x:v>Gustavo Nunes</x:v>
      </x:c>
      <x:c r="D37" s="123" t="str">
        <x:v>Comercial</x:v>
      </x:c>
      <x:c r="E37" s="123" t="n">
        <x:v>12</x:v>
      </x:c>
      <x:c r="F37" s="123" t="n">
        <x:v>3400</x:v>
      </x:c>
      <x:c r="G37" s="123" t="n">
        <x:v>340</x:v>
      </x:c>
      <x:c r="H37" s="123" t="n">
        <x:v>3740</x:v>
      </x:c>
      <x:c r="I37" s="121" t="n">
        <x:v>336.6</x:v>
      </x:c>
      <x:c r="J37" s="121" t="n">
        <x:v>30.26</x:v>
      </x:c>
      <x:c r="K37" s="121" t="n">
        <x:v>1870</x:v>
      </x:c>
      <x:c r="L37" s="121" t="n">
        <x:v>1503.14</x:v>
      </x:c>
      <x:c r="M37" s="122" t="str">
        <x:v>Conferido</x:v>
      </x:c>
      <x:c r="N37" s="122" t="str">
        <x:v>Histórico para auditoria</x:v>
      </x:c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  <x:c r="AA37" s="85"/>
      <x:c r="AB37" s="85"/>
      <x:c r="AC37" s="85"/>
      <x:c r="AD37" s="85"/>
      <x:c r="AE37" s="85"/>
      <x:c r="AF37" s="85"/>
      <x:c r="AG37" s="85"/>
      <x:c r="AH37" s="85"/>
      <x:c r="AI37" s="85"/>
      <x:c r="AJ37" s="85"/>
    </x:row>
    <x:row r="38">
      <x:c r="A38" s="118" t="n">
        <x:v>2025</x:v>
      </x:c>
      <x:c r="B38" s="118" t="n">
        <x:v>1012</x:v>
      </x:c>
      <x:c r="C38" s="118" t="str">
        <x:v>Gustavo Nunes</x:v>
      </x:c>
      <x:c r="D38" s="123" t="str">
        <x:v>Comercial</x:v>
      </x:c>
      <x:c r="E38" s="123" t="n">
        <x:v>12</x:v>
      </x:c>
      <x:c r="F38" s="123" t="n">
        <x:v>3400</x:v>
      </x:c>
      <x:c r="G38" s="123" t="n">
        <x:v>340</x:v>
      </x:c>
      <x:c r="H38" s="123" t="n">
        <x:v>3740</x:v>
      </x:c>
      <x:c r="I38" s="121" t="n">
        <x:v>336.6</x:v>
      </x:c>
      <x:c r="J38" s="121" t="n">
        <x:v>30.26</x:v>
      </x:c>
      <x:c r="K38" s="121" t="n">
        <x:v>1870</x:v>
      </x:c>
      <x:c r="L38" s="121" t="n">
        <x:v>1503.14</x:v>
      </x:c>
      <x:c r="M38" s="122" t="str">
        <x:v>Conferido</x:v>
      </x:c>
      <x:c r="N38" s="122" t="str">
        <x:v>Histórico para auditoria</x:v>
      </x:c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  <x:c r="AA38" s="85"/>
      <x:c r="AB38" s="85"/>
      <x:c r="AC38" s="85"/>
      <x:c r="AD38" s="85"/>
      <x:c r="AE38" s="85"/>
      <x:c r="AF38" s="85"/>
      <x:c r="AG38" s="85"/>
      <x:c r="AH38" s="85"/>
      <x:c r="AI38" s="85"/>
      <x:c r="AJ38" s="85"/>
    </x:row>
    <x:row r="39">
      <x:c r="A39" s="118" t="n">
        <x:v>2026</x:v>
      </x:c>
      <x:c r="B39" s="118" t="n">
        <x:v>1012</x:v>
      </x:c>
      <x:c r="C39" s="118" t="str">
        <x:v>Gustavo Nunes</x:v>
      </x:c>
      <x:c r="D39" s="123" t="str">
        <x:v>Comercial</x:v>
      </x:c>
      <x:c r="E39" s="123" t="n">
        <x:v>12</x:v>
      </x:c>
      <x:c r="F39" s="123" t="n">
        <x:v>3400</x:v>
      </x:c>
      <x:c r="G39" s="123" t="n">
        <x:v>340</x:v>
      </x:c>
      <x:c r="H39" s="123" t="n">
        <x:v>3740</x:v>
      </x:c>
      <x:c r="I39" s="121" t="n">
        <x:v>336.6</x:v>
      </x:c>
      <x:c r="J39" s="121" t="n">
        <x:v>30.26</x:v>
      </x:c>
      <x:c r="K39" s="121" t="n">
        <x:v>1870</x:v>
      </x:c>
      <x:c r="L39" s="121" t="n">
        <x:v>1503.14</x:v>
      </x:c>
      <x:c r="M39" s="122" t="str">
        <x:v>Em conferência</x:v>
      </x:c>
      <x:c r="N39" s="122" t="str">
        <x:v>Competência futura de fechamento</x:v>
      </x:c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  <x:c r="AA39" s="85"/>
      <x:c r="AB39" s="85"/>
      <x:c r="AC39" s="85"/>
      <x:c r="AD39" s="85"/>
      <x:c r="AE39" s="85"/>
      <x:c r="AF39" s="85"/>
      <x:c r="AG39" s="85"/>
      <x:c r="AH39" s="85"/>
      <x:c r="AI39" s="85"/>
      <x:c r="AJ39" s="85"/>
    </x:row>
    <x:row r="40">
      <x:c r="A40" s="118" t="n">
        <x:v>2024</x:v>
      </x:c>
      <x:c r="B40" s="118" t="n">
        <x:v>1013</x:v>
      </x:c>
      <x:c r="C40" s="118" t="str">
        <x:v>Aline Ribeiro</x:v>
      </x:c>
      <x:c r="D40" s="123" t="str">
        <x:v>RH</x:v>
      </x:c>
      <x:c r="E40" s="123" t="n">
        <x:v>12</x:v>
      </x:c>
      <x:c r="F40" s="123" t="n">
        <x:v>5400</x:v>
      </x:c>
      <x:c r="G40" s="123" t="n">
        <x:v>270</x:v>
      </x:c>
      <x:c r="H40" s="123" t="n">
        <x:v>5670</x:v>
      </x:c>
      <x:c r="I40" s="121" t="n">
        <x:v>510.3</x:v>
      </x:c>
      <x:c r="J40" s="121" t="n">
        <x:v>161.98</x:v>
      </x:c>
      <x:c r="K40" s="121" t="n">
        <x:v>2835</x:v>
      </x:c>
      <x:c r="L40" s="121" t="n">
        <x:v>2162.72</x:v>
      </x:c>
      <x:c r="M40" s="122" t="str">
        <x:v>Conferido</x:v>
      </x:c>
      <x:c r="N40" s="122" t="str">
        <x:v>Histórico para auditoria</x:v>
      </x:c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  <x:c r="AA40" s="85"/>
      <x:c r="AB40" s="85"/>
      <x:c r="AC40" s="85"/>
      <x:c r="AD40" s="85"/>
      <x:c r="AE40" s="85"/>
      <x:c r="AF40" s="85"/>
      <x:c r="AG40" s="85"/>
      <x:c r="AH40" s="85"/>
      <x:c r="AI40" s="85"/>
      <x:c r="AJ40" s="85"/>
    </x:row>
    <x:row r="41">
      <x:c r="A41" s="118" t="n">
        <x:v>2025</x:v>
      </x:c>
      <x:c r="B41" s="118" t="n">
        <x:v>1013</x:v>
      </x:c>
      <x:c r="C41" s="118" t="str">
        <x:v>Aline Ribeiro</x:v>
      </x:c>
      <x:c r="D41" s="123" t="str">
        <x:v>RH</x:v>
      </x:c>
      <x:c r="E41" s="123" t="n">
        <x:v>12</x:v>
      </x:c>
      <x:c r="F41" s="123" t="n">
        <x:v>5400</x:v>
      </x:c>
      <x:c r="G41" s="123" t="n">
        <x:v>270</x:v>
      </x:c>
      <x:c r="H41" s="123" t="n">
        <x:v>5670</x:v>
      </x:c>
      <x:c r="I41" s="121" t="n">
        <x:v>510.3</x:v>
      </x:c>
      <x:c r="J41" s="121" t="n">
        <x:v>161.98</x:v>
      </x:c>
      <x:c r="K41" s="121" t="n">
        <x:v>2835</x:v>
      </x:c>
      <x:c r="L41" s="121" t="n">
        <x:v>2162.72</x:v>
      </x:c>
      <x:c r="M41" s="122" t="str">
        <x:v>Conferido</x:v>
      </x:c>
      <x:c r="N41" s="122" t="str">
        <x:v>Histórico para auditoria</x:v>
      </x:c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  <x:c r="AA41" s="85"/>
      <x:c r="AB41" s="85"/>
      <x:c r="AC41" s="85"/>
      <x:c r="AD41" s="85"/>
      <x:c r="AE41" s="85"/>
      <x:c r="AF41" s="85"/>
      <x:c r="AG41" s="85"/>
      <x:c r="AH41" s="85"/>
      <x:c r="AI41" s="85"/>
      <x:c r="AJ41" s="85"/>
    </x:row>
    <x:row r="42">
      <x:c r="A42" s="118" t="n">
        <x:v>2026</x:v>
      </x:c>
      <x:c r="B42" s="118" t="n">
        <x:v>1013</x:v>
      </x:c>
      <x:c r="C42" s="118" t="str">
        <x:v>Aline Ribeiro</x:v>
      </x:c>
      <x:c r="D42" s="123" t="str">
        <x:v>RH</x:v>
      </x:c>
      <x:c r="E42" s="123" t="n">
        <x:v>12</x:v>
      </x:c>
      <x:c r="F42" s="123" t="n">
        <x:v>5400</x:v>
      </x:c>
      <x:c r="G42" s="123" t="n">
        <x:v>270</x:v>
      </x:c>
      <x:c r="H42" s="123" t="n">
        <x:v>5670</x:v>
      </x:c>
      <x:c r="I42" s="121" t="n">
        <x:v>510.3</x:v>
      </x:c>
      <x:c r="J42" s="121" t="n">
        <x:v>161.98</x:v>
      </x:c>
      <x:c r="K42" s="121" t="n">
        <x:v>2835</x:v>
      </x:c>
      <x:c r="L42" s="121" t="n">
        <x:v>2162.72</x:v>
      </x:c>
      <x:c r="M42" s="122" t="str">
        <x:v>Provisionado</x:v>
      </x:c>
      <x:c r="N42" s="122" t="str">
        <x:v>Competência futura de fechamento</x:v>
      </x:c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  <x:c r="AA42" s="85"/>
      <x:c r="AB42" s="85"/>
      <x:c r="AC42" s="85"/>
      <x:c r="AD42" s="85"/>
      <x:c r="AE42" s="85"/>
      <x:c r="AF42" s="85"/>
      <x:c r="AG42" s="85"/>
      <x:c r="AH42" s="85"/>
      <x:c r="AI42" s="85"/>
      <x:c r="AJ42" s="85"/>
    </x:row>
    <x:row r="43">
      <x:c r="A43" s="118" t="n">
        <x:v>2024</x:v>
      </x:c>
      <x:c r="B43" s="118" t="n">
        <x:v>1014</x:v>
      </x:c>
      <x:c r="C43" s="118" t="str">
        <x:v>Marcos Vieira</x:v>
      </x:c>
      <x:c r="D43" s="123" t="str">
        <x:v>Comercial</x:v>
      </x:c>
      <x:c r="E43" s="123" t="n">
        <x:v>12</x:v>
      </x:c>
      <x:c r="F43" s="123" t="n">
        <x:v>4100</x:v>
      </x:c>
      <x:c r="G43" s="123" t="n">
        <x:v>1148</x:v>
      </x:c>
      <x:c r="H43" s="123" t="n">
        <x:v>5248</x:v>
      </x:c>
      <x:c r="I43" s="121" t="n">
        <x:v>472.32</x:v>
      </x:c>
      <x:c r="J43" s="121" t="n">
        <x:v>133.18</x:v>
      </x:c>
      <x:c r="K43" s="121" t="n">
        <x:v>2624</x:v>
      </x:c>
      <x:c r="L43" s="121" t="n">
        <x:v>2018.5</x:v>
      </x:c>
      <x:c r="M43" s="122" t="str">
        <x:v>Conferido</x:v>
      </x:c>
      <x:c r="N43" s="122" t="str">
        <x:v>Histórico para auditoria</x:v>
      </x:c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  <x:c r="AA43" s="85"/>
      <x:c r="AB43" s="85"/>
      <x:c r="AC43" s="85"/>
      <x:c r="AD43" s="85"/>
      <x:c r="AE43" s="85"/>
      <x:c r="AF43" s="85"/>
      <x:c r="AG43" s="85"/>
      <x:c r="AH43" s="85"/>
      <x:c r="AI43" s="85"/>
      <x:c r="AJ43" s="85"/>
    </x:row>
    <x:row r="44">
      <x:c r="A44" s="118" t="n">
        <x:v>2025</x:v>
      </x:c>
      <x:c r="B44" s="118" t="n">
        <x:v>1014</x:v>
      </x:c>
      <x:c r="C44" s="118" t="str">
        <x:v>Marcos Vieira</x:v>
      </x:c>
      <x:c r="D44" s="123" t="str">
        <x:v>Comercial</x:v>
      </x:c>
      <x:c r="E44" s="123" t="n">
        <x:v>12</x:v>
      </x:c>
      <x:c r="F44" s="123" t="n">
        <x:v>4100</x:v>
      </x:c>
      <x:c r="G44" s="123" t="n">
        <x:v>1148</x:v>
      </x:c>
      <x:c r="H44" s="123" t="n">
        <x:v>5248</x:v>
      </x:c>
      <x:c r="I44" s="121" t="n">
        <x:v>472.32</x:v>
      </x:c>
      <x:c r="J44" s="121" t="n">
        <x:v>133.18</x:v>
      </x:c>
      <x:c r="K44" s="121" t="n">
        <x:v>2624</x:v>
      </x:c>
      <x:c r="L44" s="121" t="n">
        <x:v>2018.5</x:v>
      </x:c>
      <x:c r="M44" s="122" t="str">
        <x:v>Conferido</x:v>
      </x:c>
      <x:c r="N44" s="122" t="str">
        <x:v>Histórico para auditoria</x:v>
      </x:c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  <x:c r="AA44" s="85"/>
      <x:c r="AB44" s="85"/>
      <x:c r="AC44" s="85"/>
      <x:c r="AD44" s="85"/>
      <x:c r="AE44" s="85"/>
      <x:c r="AF44" s="85"/>
      <x:c r="AG44" s="85"/>
      <x:c r="AH44" s="85"/>
      <x:c r="AI44" s="85"/>
      <x:c r="AJ44" s="85"/>
    </x:row>
    <x:row r="45">
      <x:c r="A45" s="118" t="n">
        <x:v>2026</x:v>
      </x:c>
      <x:c r="B45" s="118" t="n">
        <x:v>1014</x:v>
      </x:c>
      <x:c r="C45" s="118" t="str">
        <x:v>Marcos Vieira</x:v>
      </x:c>
      <x:c r="D45" s="123" t="str">
        <x:v>Comercial</x:v>
      </x:c>
      <x:c r="E45" s="123" t="n">
        <x:v>12</x:v>
      </x:c>
      <x:c r="F45" s="123" t="n">
        <x:v>4100</x:v>
      </x:c>
      <x:c r="G45" s="123" t="n">
        <x:v>1148</x:v>
      </x:c>
      <x:c r="H45" s="123" t="n">
        <x:v>5248</x:v>
      </x:c>
      <x:c r="I45" s="121" t="n">
        <x:v>472.32</x:v>
      </x:c>
      <x:c r="J45" s="121" t="n">
        <x:v>133.18</x:v>
      </x:c>
      <x:c r="K45" s="121" t="n">
        <x:v>2624</x:v>
      </x:c>
      <x:c r="L45" s="121" t="n">
        <x:v>2018.5</x:v>
      </x:c>
      <x:c r="M45" s="122" t="str">
        <x:v>Provisionado</x:v>
      </x:c>
      <x:c r="N45" s="122" t="str">
        <x:v>Competência futura de fechamento</x:v>
      </x:c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  <x:c r="AA45" s="85"/>
      <x:c r="AB45" s="85"/>
      <x:c r="AC45" s="85"/>
      <x:c r="AD45" s="85"/>
      <x:c r="AE45" s="85"/>
      <x:c r="AF45" s="85"/>
      <x:c r="AG45" s="85"/>
      <x:c r="AH45" s="85"/>
      <x:c r="AI45" s="85"/>
      <x:c r="AJ45" s="85"/>
    </x:row>
    <x:row r="46">
      <x:c r="A46" s="118" t="n">
        <x:v>2024</x:v>
      </x:c>
      <x:c r="B46" s="118" t="n">
        <x:v>1015</x:v>
      </x:c>
      <x:c r="C46" s="118" t="str">
        <x:v>Beatriz Souza</x:v>
      </x:c>
      <x:c r="D46" s="123" t="str">
        <x:v>Pós-venda</x:v>
      </x:c>
      <x:c r="E46" s="123" t="n">
        <x:v>12</x:v>
      </x:c>
      <x:c r="F46" s="123" t="n">
        <x:v>4500</x:v>
      </x:c>
      <x:c r="G46" s="123" t="n">
        <x:v>225</x:v>
      </x:c>
      <x:c r="H46" s="123" t="n">
        <x:v>4725</x:v>
      </x:c>
      <x:c r="I46" s="121" t="n">
        <x:v>425.25</x:v>
      </x:c>
      <x:c r="J46" s="121" t="n">
        <x:v>97.48</x:v>
      </x:c>
      <x:c r="K46" s="121" t="n">
        <x:v>2362.5</x:v>
      </x:c>
      <x:c r="L46" s="121" t="n">
        <x:v>1839.77</x:v>
      </x:c>
      <x:c r="M46" s="122" t="str">
        <x:v>Conferido</x:v>
      </x:c>
      <x:c r="N46" s="122" t="str">
        <x:v>Histórico para auditoria</x:v>
      </x:c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  <x:c r="AA46" s="85"/>
      <x:c r="AB46" s="85"/>
      <x:c r="AC46" s="85"/>
      <x:c r="AD46" s="85"/>
      <x:c r="AE46" s="85"/>
      <x:c r="AF46" s="85"/>
      <x:c r="AG46" s="85"/>
      <x:c r="AH46" s="85"/>
      <x:c r="AI46" s="85"/>
      <x:c r="AJ46" s="85"/>
    </x:row>
    <x:row r="47">
      <x:c r="A47" s="118" t="n">
        <x:v>2025</x:v>
      </x:c>
      <x:c r="B47" s="118" t="n">
        <x:v>1015</x:v>
      </x:c>
      <x:c r="C47" s="118" t="str">
        <x:v>Beatriz Souza</x:v>
      </x:c>
      <x:c r="D47" s="123" t="str">
        <x:v>Pós-venda</x:v>
      </x:c>
      <x:c r="E47" s="123" t="n">
        <x:v>12</x:v>
      </x:c>
      <x:c r="F47" s="123" t="n">
        <x:v>4500</x:v>
      </x:c>
      <x:c r="G47" s="123" t="n">
        <x:v>225</x:v>
      </x:c>
      <x:c r="H47" s="123" t="n">
        <x:v>4725</x:v>
      </x:c>
      <x:c r="I47" s="121" t="n">
        <x:v>425.25</x:v>
      </x:c>
      <x:c r="J47" s="121" t="n">
        <x:v>97.48</x:v>
      </x:c>
      <x:c r="K47" s="121" t="n">
        <x:v>2362.5</x:v>
      </x:c>
      <x:c r="L47" s="121" t="n">
        <x:v>1839.77</x:v>
      </x:c>
      <x:c r="M47" s="122" t="str">
        <x:v>Conferido</x:v>
      </x:c>
      <x:c r="N47" s="122" t="str">
        <x:v>Histórico para auditoria</x:v>
      </x:c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  <x:c r="AA47" s="85"/>
      <x:c r="AB47" s="85"/>
      <x:c r="AC47" s="85"/>
      <x:c r="AD47" s="85"/>
      <x:c r="AE47" s="85"/>
      <x:c r="AF47" s="85"/>
      <x:c r="AG47" s="85"/>
      <x:c r="AH47" s="85"/>
      <x:c r="AI47" s="85"/>
      <x:c r="AJ47" s="85"/>
    </x:row>
    <x:row r="48">
      <x:c r="A48" s="118" t="n">
        <x:v>2026</x:v>
      </x:c>
      <x:c r="B48" s="118" t="n">
        <x:v>1015</x:v>
      </x:c>
      <x:c r="C48" s="118" t="str">
        <x:v>Beatriz Souza</x:v>
      </x:c>
      <x:c r="D48" s="123" t="str">
        <x:v>Pós-venda</x:v>
      </x:c>
      <x:c r="E48" s="123" t="n">
        <x:v>12</x:v>
      </x:c>
      <x:c r="F48" s="123" t="n">
        <x:v>4500</x:v>
      </x:c>
      <x:c r="G48" s="123" t="n">
        <x:v>225</x:v>
      </x:c>
      <x:c r="H48" s="123" t="n">
        <x:v>4725</x:v>
      </x:c>
      <x:c r="I48" s="121" t="n">
        <x:v>425.25</x:v>
      </x:c>
      <x:c r="J48" s="121" t="n">
        <x:v>97.48</x:v>
      </x:c>
      <x:c r="K48" s="121" t="n">
        <x:v>2362.5</x:v>
      </x:c>
      <x:c r="L48" s="121" t="n">
        <x:v>1839.77</x:v>
      </x:c>
      <x:c r="M48" s="122" t="str">
        <x:v>Provisionado</x:v>
      </x:c>
      <x:c r="N48" s="122" t="str">
        <x:v>Competência futura de fechamento</x:v>
      </x:c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  <x:c r="AA48" s="85"/>
      <x:c r="AB48" s="85"/>
      <x:c r="AC48" s="85"/>
      <x:c r="AD48" s="85"/>
      <x:c r="AE48" s="85"/>
      <x:c r="AF48" s="85"/>
      <x:c r="AG48" s="85"/>
      <x:c r="AH48" s="85"/>
      <x:c r="AI48" s="85"/>
      <x:c r="AJ48" s="85"/>
    </x:row>
    <x:row r="49">
      <x:c r="A49" s="118" t="n">
        <x:v>2024</x:v>
      </x:c>
      <x:c r="B49" s="118" t="n">
        <x:v>1016</x:v>
      </x:c>
      <x:c r="C49" s="118" t="str">
        <x:v>Eduardo Melo</x:v>
      </x:c>
      <x:c r="D49" s="123" t="str">
        <x:v>Comercial</x:v>
      </x:c>
      <x:c r="E49" s="123" t="n">
        <x:v>12</x:v>
      </x:c>
      <x:c r="F49" s="123" t="n">
        <x:v>6200</x:v>
      </x:c>
      <x:c r="G49" s="123" t="n">
        <x:v>620</x:v>
      </x:c>
      <x:c r="H49" s="123" t="n">
        <x:v>6820</x:v>
      </x:c>
      <x:c r="I49" s="121" t="n">
        <x:v>613.8</x:v>
      </x:c>
      <x:c r="J49" s="121" t="n">
        <x:v>240.46</x:v>
      </x:c>
      <x:c r="K49" s="121" t="n">
        <x:v>3410</x:v>
      </x:c>
      <x:c r="L49" s="121" t="n">
        <x:v>2555.74</x:v>
      </x:c>
      <x:c r="M49" s="122" t="str">
        <x:v>Conferido</x:v>
      </x:c>
      <x:c r="N49" s="122" t="str">
        <x:v>Histórico para auditoria</x:v>
      </x:c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  <x:c r="AA49" s="85"/>
      <x:c r="AB49" s="85"/>
      <x:c r="AC49" s="85"/>
      <x:c r="AD49" s="85"/>
      <x:c r="AE49" s="85"/>
      <x:c r="AF49" s="85"/>
      <x:c r="AG49" s="85"/>
      <x:c r="AH49" s="85"/>
      <x:c r="AI49" s="85"/>
      <x:c r="AJ49" s="85"/>
    </x:row>
    <x:row r="50">
      <x:c r="A50" s="118" t="n">
        <x:v>2025</x:v>
      </x:c>
      <x:c r="B50" s="118" t="n">
        <x:v>1016</x:v>
      </x:c>
      <x:c r="C50" s="118" t="str">
        <x:v>Eduardo Melo</x:v>
      </x:c>
      <x:c r="D50" s="123" t="str">
        <x:v>Comercial</x:v>
      </x:c>
      <x:c r="E50" s="123" t="n">
        <x:v>12</x:v>
      </x:c>
      <x:c r="F50" s="123" t="n">
        <x:v>6200</x:v>
      </x:c>
      <x:c r="G50" s="123" t="n">
        <x:v>620</x:v>
      </x:c>
      <x:c r="H50" s="123" t="n">
        <x:v>6820</x:v>
      </x:c>
      <x:c r="I50" s="121" t="n">
        <x:v>613.8</x:v>
      </x:c>
      <x:c r="J50" s="121" t="n">
        <x:v>240.46</x:v>
      </x:c>
      <x:c r="K50" s="121" t="n">
        <x:v>3410</x:v>
      </x:c>
      <x:c r="L50" s="121" t="n">
        <x:v>2555.74</x:v>
      </x:c>
      <x:c r="M50" s="122" t="str">
        <x:v>Conferido</x:v>
      </x:c>
      <x:c r="N50" s="122" t="str">
        <x:v>Histórico para auditoria</x:v>
      </x:c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  <x:c r="AA50" s="85"/>
      <x:c r="AB50" s="85"/>
      <x:c r="AC50" s="85"/>
      <x:c r="AD50" s="85"/>
      <x:c r="AE50" s="85"/>
      <x:c r="AF50" s="85"/>
      <x:c r="AG50" s="85"/>
      <x:c r="AH50" s="85"/>
      <x:c r="AI50" s="85"/>
      <x:c r="AJ50" s="85"/>
    </x:row>
    <x:row r="51">
      <x:c r="A51" s="118" t="n">
        <x:v>2026</x:v>
      </x:c>
      <x:c r="B51" s="118" t="n">
        <x:v>1016</x:v>
      </x:c>
      <x:c r="C51" s="118" t="str">
        <x:v>Eduardo Melo</x:v>
      </x:c>
      <x:c r="D51" s="123" t="str">
        <x:v>Comercial</x:v>
      </x:c>
      <x:c r="E51" s="123" t="n">
        <x:v>12</x:v>
      </x:c>
      <x:c r="F51" s="123" t="n">
        <x:v>6200</x:v>
      </x:c>
      <x:c r="G51" s="123" t="n">
        <x:v>620</x:v>
      </x:c>
      <x:c r="H51" s="123" t="n">
        <x:v>6820</x:v>
      </x:c>
      <x:c r="I51" s="121" t="n">
        <x:v>613.8</x:v>
      </x:c>
      <x:c r="J51" s="121" t="n">
        <x:v>240.46</x:v>
      </x:c>
      <x:c r="K51" s="121" t="n">
        <x:v>3410</x:v>
      </x:c>
      <x:c r="L51" s="121" t="n">
        <x:v>2555.74</x:v>
      </x:c>
      <x:c r="M51" s="122" t="str">
        <x:v>Em conferência</x:v>
      </x:c>
      <x:c r="N51" s="122" t="str">
        <x:v>Competência futura de fechamento</x:v>
      </x:c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  <x:c r="AA51" s="85"/>
      <x:c r="AB51" s="85"/>
      <x:c r="AC51" s="85"/>
      <x:c r="AD51" s="85"/>
      <x:c r="AE51" s="85"/>
      <x:c r="AF51" s="85"/>
      <x:c r="AG51" s="85"/>
      <x:c r="AH51" s="85"/>
      <x:c r="AI51" s="85"/>
      <x:c r="AJ51" s="85"/>
    </x:row>
    <x:row r="52">
      <x:c r="A52" s="118" t="n">
        <x:v>2024</x:v>
      </x:c>
      <x:c r="B52" s="118" t="n">
        <x:v>1017</x:v>
      </x:c>
      <x:c r="C52" s="118" t="str">
        <x:v>Larissa Campos</x:v>
      </x:c>
      <x:c r="D52" s="123" t="str">
        <x:v>Comercial</x:v>
      </x:c>
      <x:c r="E52" s="123" t="n">
        <x:v>12</x:v>
      </x:c>
      <x:c r="F52" s="123" t="n">
        <x:v>4000</x:v>
      </x:c>
      <x:c r="G52" s="123" t="n">
        <x:v>1120</x:v>
      </x:c>
      <x:c r="H52" s="123" t="n">
        <x:v>5120</x:v>
      </x:c>
      <x:c r="I52" s="121" t="n">
        <x:v>460.8</x:v>
      </x:c>
      <x:c r="J52" s="121" t="n">
        <x:v>124.44</x:v>
      </x:c>
      <x:c r="K52" s="121" t="n">
        <x:v>2560</x:v>
      </x:c>
      <x:c r="L52" s="121" t="n">
        <x:v>1974.76</x:v>
      </x:c>
      <x:c r="M52" s="122" t="str">
        <x:v>Conferido</x:v>
      </x:c>
      <x:c r="N52" s="122" t="str">
        <x:v>Histórico para auditoria</x:v>
      </x:c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  <x:c r="AA52" s="85"/>
      <x:c r="AB52" s="85"/>
      <x:c r="AC52" s="85"/>
      <x:c r="AD52" s="85"/>
      <x:c r="AE52" s="85"/>
      <x:c r="AF52" s="85"/>
      <x:c r="AG52" s="85"/>
      <x:c r="AH52" s="85"/>
      <x:c r="AI52" s="85"/>
      <x:c r="AJ52" s="85"/>
    </x:row>
    <x:row r="53">
      <x:c r="A53" s="118" t="n">
        <x:v>2025</x:v>
      </x:c>
      <x:c r="B53" s="118" t="n">
        <x:v>1017</x:v>
      </x:c>
      <x:c r="C53" s="118" t="str">
        <x:v>Larissa Campos</x:v>
      </x:c>
      <x:c r="D53" s="123" t="str">
        <x:v>Comercial</x:v>
      </x:c>
      <x:c r="E53" s="123" t="n">
        <x:v>12</x:v>
      </x:c>
      <x:c r="F53" s="123" t="n">
        <x:v>4000</x:v>
      </x:c>
      <x:c r="G53" s="123" t="n">
        <x:v>1120</x:v>
      </x:c>
      <x:c r="H53" s="123" t="n">
        <x:v>5120</x:v>
      </x:c>
      <x:c r="I53" s="121" t="n">
        <x:v>460.8</x:v>
      </x:c>
      <x:c r="J53" s="121" t="n">
        <x:v>124.44</x:v>
      </x:c>
      <x:c r="K53" s="121" t="n">
        <x:v>2560</x:v>
      </x:c>
      <x:c r="L53" s="121" t="n">
        <x:v>1974.76</x:v>
      </x:c>
      <x:c r="M53" s="122" t="str">
        <x:v>Conferido</x:v>
      </x:c>
      <x:c r="N53" s="122" t="str">
        <x:v>Histórico para auditoria</x:v>
      </x:c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  <x:c r="AA53" s="85"/>
      <x:c r="AB53" s="85"/>
      <x:c r="AC53" s="85"/>
      <x:c r="AD53" s="85"/>
      <x:c r="AE53" s="85"/>
      <x:c r="AF53" s="85"/>
      <x:c r="AG53" s="85"/>
      <x:c r="AH53" s="85"/>
      <x:c r="AI53" s="85"/>
      <x:c r="AJ53" s="85"/>
    </x:row>
    <x:row r="54">
      <x:c r="A54" s="118" t="n">
        <x:v>2026</x:v>
      </x:c>
      <x:c r="B54" s="118" t="n">
        <x:v>1017</x:v>
      </x:c>
      <x:c r="C54" s="118" t="str">
        <x:v>Larissa Campos</x:v>
      </x:c>
      <x:c r="D54" s="123" t="str">
        <x:v>Comercial</x:v>
      </x:c>
      <x:c r="E54" s="123" t="n">
        <x:v>12</x:v>
      </x:c>
      <x:c r="F54" s="123" t="n">
        <x:v>4000</x:v>
      </x:c>
      <x:c r="G54" s="123" t="n">
        <x:v>1120</x:v>
      </x:c>
      <x:c r="H54" s="123" t="n">
        <x:v>5120</x:v>
      </x:c>
      <x:c r="I54" s="121" t="n">
        <x:v>460.8</x:v>
      </x:c>
      <x:c r="J54" s="121" t="n">
        <x:v>124.44</x:v>
      </x:c>
      <x:c r="K54" s="121" t="n">
        <x:v>2560</x:v>
      </x:c>
      <x:c r="L54" s="121" t="n">
        <x:v>1974.76</x:v>
      </x:c>
      <x:c r="M54" s="122" t="str">
        <x:v>Provisionado</x:v>
      </x:c>
      <x:c r="N54" s="122" t="str">
        <x:v>Competência futura de fechamento</x:v>
      </x:c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  <x:c r="AA54" s="85"/>
      <x:c r="AB54" s="85"/>
      <x:c r="AC54" s="85"/>
      <x:c r="AD54" s="85"/>
      <x:c r="AE54" s="85"/>
      <x:c r="AF54" s="85"/>
      <x:c r="AG54" s="85"/>
      <x:c r="AH54" s="85"/>
      <x:c r="AI54" s="85"/>
      <x:c r="AJ54" s="85"/>
    </x:row>
    <x:row r="55">
      <x:c r="A55" s="118" t="n">
        <x:v>2024</x:v>
      </x:c>
      <x:c r="B55" s="118" t="n">
        <x:v>1018</x:v>
      </x:c>
      <x:c r="C55" s="118" t="str">
        <x:v>Thiago Pinto</x:v>
      </x:c>
      <x:c r="D55" s="123" t="str">
        <x:v>Financeiro</x:v>
      </x:c>
      <x:c r="E55" s="123" t="n">
        <x:v>7</x:v>
      </x:c>
      <x:c r="F55" s="123" t="n">
        <x:v>3200</x:v>
      </x:c>
      <x:c r="G55" s="123" t="n">
        <x:v>160</x:v>
      </x:c>
      <x:c r="H55" s="123" t="n">
        <x:v>1960</x:v>
      </x:c>
      <x:c r="I55" s="121" t="n">
        <x:v>176.4</x:v>
      </x:c>
      <x:c r="J55" s="121" t="n">
        <x:v>0</x:v>
      </x:c>
      <x:c r="K55" s="121" t="n">
        <x:v>980</x:v>
      </x:c>
      <x:c r="L55" s="121" t="n">
        <x:v>803.6</x:v>
      </x:c>
      <x:c r="M55" s="122" t="str">
        <x:v>Conferido</x:v>
      </x:c>
      <x:c r="N55" s="122" t="str">
        <x:v>Histórico para auditoria</x:v>
      </x:c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  <x:c r="AA55" s="85"/>
      <x:c r="AB55" s="85"/>
      <x:c r="AC55" s="85"/>
      <x:c r="AD55" s="85"/>
      <x:c r="AE55" s="85"/>
      <x:c r="AF55" s="85"/>
      <x:c r="AG55" s="85"/>
      <x:c r="AH55" s="85"/>
      <x:c r="AI55" s="85"/>
      <x:c r="AJ55" s="85"/>
    </x:row>
    <x:row r="56">
      <x:c r="A56" s="118" t="n">
        <x:v>2025</x:v>
      </x:c>
      <x:c r="B56" s="118" t="n">
        <x:v>1018</x:v>
      </x:c>
      <x:c r="C56" s="118" t="str">
        <x:v>Thiago Pinto</x:v>
      </x:c>
      <x:c r="D56" s="123" t="str">
        <x:v>Financeiro</x:v>
      </x:c>
      <x:c r="E56" s="123" t="n">
        <x:v>12</x:v>
      </x:c>
      <x:c r="F56" s="123" t="n">
        <x:v>3200</x:v>
      </x:c>
      <x:c r="G56" s="123" t="n">
        <x:v>160</x:v>
      </x:c>
      <x:c r="H56" s="123" t="n">
        <x:v>3360</x:v>
      </x:c>
      <x:c r="I56" s="121" t="n">
        <x:v>302.4</x:v>
      </x:c>
      <x:c r="J56" s="121" t="n">
        <x:v>4.32</x:v>
      </x:c>
      <x:c r="K56" s="121" t="n">
        <x:v>1680</x:v>
      </x:c>
      <x:c r="L56" s="121" t="n">
        <x:v>1373.28</x:v>
      </x:c>
      <x:c r="M56" s="122" t="str">
        <x:v>Conferido</x:v>
      </x:c>
      <x:c r="N56" s="122" t="str">
        <x:v>Histórico para auditoria</x:v>
      </x:c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  <x:c r="AA56" s="85"/>
      <x:c r="AB56" s="85"/>
      <x:c r="AC56" s="85"/>
      <x:c r="AD56" s="85"/>
      <x:c r="AE56" s="85"/>
      <x:c r="AF56" s="85"/>
      <x:c r="AG56" s="85"/>
      <x:c r="AH56" s="85"/>
      <x:c r="AI56" s="85"/>
      <x:c r="AJ56" s="85"/>
    </x:row>
    <x:row r="57">
      <x:c r="A57" s="118" t="n">
        <x:v>2026</x:v>
      </x:c>
      <x:c r="B57" s="118" t="n">
        <x:v>1018</x:v>
      </x:c>
      <x:c r="C57" s="118" t="str">
        <x:v>Thiago Pinto</x:v>
      </x:c>
      <x:c r="D57" s="123" t="str">
        <x:v>Financeiro</x:v>
      </x:c>
      <x:c r="E57" s="123" t="n">
        <x:v>12</x:v>
      </x:c>
      <x:c r="F57" s="123" t="n">
        <x:v>3200</x:v>
      </x:c>
      <x:c r="G57" s="123" t="n">
        <x:v>160</x:v>
      </x:c>
      <x:c r="H57" s="123" t="n">
        <x:v>3360</x:v>
      </x:c>
      <x:c r="I57" s="121" t="n">
        <x:v>302.4</x:v>
      </x:c>
      <x:c r="J57" s="121" t="n">
        <x:v>4.32</x:v>
      </x:c>
      <x:c r="K57" s="121" t="n">
        <x:v>1680</x:v>
      </x:c>
      <x:c r="L57" s="121" t="n">
        <x:v>1373.28</x:v>
      </x:c>
      <x:c r="M57" s="122" t="str">
        <x:v>Provisionado</x:v>
      </x:c>
      <x:c r="N57" s="122" t="str">
        <x:v>Competência futura de fechamento</x:v>
      </x:c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  <x:c r="AA57" s="85"/>
      <x:c r="AB57" s="85"/>
      <x:c r="AC57" s="85"/>
      <x:c r="AD57" s="85"/>
      <x:c r="AE57" s="85"/>
      <x:c r="AF57" s="85"/>
      <x:c r="AG57" s="85"/>
      <x:c r="AH57" s="85"/>
      <x:c r="AI57" s="85"/>
      <x:c r="AJ57" s="85"/>
    </x:row>
    <x:row r="58">
      <x:c r="A58" s="118" t="n">
        <x:v>2025</x:v>
      </x:c>
      <x:c r="B58" s="118" t="n">
        <x:v>1019</x:v>
      </x:c>
      <x:c r="C58" s="118" t="str">
        <x:v>Natalia Freitas</x:v>
      </x:c>
      <x:c r="D58" s="123" t="str">
        <x:v>RH</x:v>
      </x:c>
      <x:c r="E58" s="123" t="n">
        <x:v>11</x:v>
      </x:c>
      <x:c r="F58" s="123" t="n">
        <x:v>3100</x:v>
      </x:c>
      <x:c r="G58" s="123" t="n">
        <x:v>155</x:v>
      </x:c>
      <x:c r="H58" s="123" t="n">
        <x:v>2983.75</x:v>
      </x:c>
      <x:c r="I58" s="121" t="n">
        <x:v>268.54</x:v>
      </x:c>
      <x:c r="J58" s="121" t="n">
        <x:v>0</x:v>
      </x:c>
      <x:c r="K58" s="121" t="n">
        <x:v>1491.88</x:v>
      </x:c>
      <x:c r="L58" s="121" t="n">
        <x:v>1223.33</x:v>
      </x:c>
      <x:c r="M58" s="122" t="str">
        <x:v>Conferido</x:v>
      </x:c>
      <x:c r="N58" s="122" t="str">
        <x:v>Histórico para auditoria</x:v>
      </x:c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  <x:c r="AA58" s="85"/>
      <x:c r="AB58" s="85"/>
      <x:c r="AC58" s="85"/>
      <x:c r="AD58" s="85"/>
      <x:c r="AE58" s="85"/>
      <x:c r="AF58" s="85"/>
      <x:c r="AG58" s="85"/>
      <x:c r="AH58" s="85"/>
      <x:c r="AI58" s="85"/>
      <x:c r="AJ58" s="85"/>
    </x:row>
    <x:row r="59">
      <x:c r="A59" s="118" t="n">
        <x:v>2026</x:v>
      </x:c>
      <x:c r="B59" s="118" t="n">
        <x:v>1019</x:v>
      </x:c>
      <x:c r="C59" s="118" t="str">
        <x:v>Natalia Freitas</x:v>
      </x:c>
      <x:c r="D59" s="123" t="str">
        <x:v>RH</x:v>
      </x:c>
      <x:c r="E59" s="123" t="n">
        <x:v>12</x:v>
      </x:c>
      <x:c r="F59" s="123" t="n">
        <x:v>3100</x:v>
      </x:c>
      <x:c r="G59" s="123" t="n">
        <x:v>155</x:v>
      </x:c>
      <x:c r="H59" s="123" t="n">
        <x:v>3255</x:v>
      </x:c>
      <x:c r="I59" s="121" t="n">
        <x:v>292.95</x:v>
      </x:c>
      <x:c r="J59" s="121" t="n">
        <x:v>0</x:v>
      </x:c>
      <x:c r="K59" s="121" t="n">
        <x:v>1627.5</x:v>
      </x:c>
      <x:c r="L59" s="121" t="n">
        <x:v>1334.55</x:v>
      </x:c>
      <x:c r="M59" s="122" t="str">
        <x:v>Provisionado</x:v>
      </x:c>
      <x:c r="N59" s="122" t="str">
        <x:v>Competência futura de fechamento</x:v>
      </x:c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  <x:c r="AA59" s="85"/>
      <x:c r="AB59" s="85"/>
      <x:c r="AC59" s="85"/>
      <x:c r="AD59" s="85"/>
      <x:c r="AE59" s="85"/>
      <x:c r="AF59" s="85"/>
      <x:c r="AG59" s="85"/>
      <x:c r="AH59" s="85"/>
      <x:c r="AI59" s="85"/>
      <x:c r="AJ59" s="85"/>
    </x:row>
    <x:row r="60">
      <x:c r="A60" s="118" t="n">
        <x:v>2025</x:v>
      </x:c>
      <x:c r="B60" s="118" t="n">
        <x:v>1020</x:v>
      </x:c>
      <x:c r="C60" s="118" t="str">
        <x:v>Felipe Cardoso</x:v>
      </x:c>
      <x:c r="D60" s="123" t="str">
        <x:v>Comercial</x:v>
      </x:c>
      <x:c r="E60" s="123" t="n">
        <x:v>4</x:v>
      </x:c>
      <x:c r="F60" s="123" t="n">
        <x:v>3900</x:v>
      </x:c>
      <x:c r="G60" s="123" t="n">
        <x:v>1092</x:v>
      </x:c>
      <x:c r="H60" s="123" t="n">
        <x:v>1664</x:v>
      </x:c>
      <x:c r="I60" s="121" t="n">
        <x:v>149.76</x:v>
      </x:c>
      <x:c r="J60" s="121" t="n">
        <x:v>0</x:v>
      </x:c>
      <x:c r="K60" s="121" t="n">
        <x:v>832</x:v>
      </x:c>
      <x:c r="L60" s="121" t="n">
        <x:v>682.24</x:v>
      </x:c>
      <x:c r="M60" s="122" t="str">
        <x:v>Conferido</x:v>
      </x:c>
      <x:c r="N60" s="122" t="str">
        <x:v>Histórico para auditoria</x:v>
      </x:c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  <x:c r="AA60" s="85"/>
      <x:c r="AB60" s="85"/>
      <x:c r="AC60" s="85"/>
      <x:c r="AD60" s="85"/>
      <x:c r="AE60" s="85"/>
      <x:c r="AF60" s="85"/>
      <x:c r="AG60" s="85"/>
      <x:c r="AH60" s="85"/>
      <x:c r="AI60" s="85"/>
      <x:c r="AJ60" s="85"/>
    </x:row>
    <x:row r="61">
      <x:c r="A61" s="118" t="n">
        <x:v>2026</x:v>
      </x:c>
      <x:c r="B61" s="118" t="n">
        <x:v>1020</x:v>
      </x:c>
      <x:c r="C61" s="118" t="str">
        <x:v>Felipe Cardoso</x:v>
      </x:c>
      <x:c r="D61" s="123" t="str">
        <x:v>Comercial</x:v>
      </x:c>
      <x:c r="E61" s="123" t="n">
        <x:v>12</x:v>
      </x:c>
      <x:c r="F61" s="123" t="n">
        <x:v>3900</x:v>
      </x:c>
      <x:c r="G61" s="123" t="n">
        <x:v>1092</x:v>
      </x:c>
      <x:c r="H61" s="123" t="n">
        <x:v>4992</x:v>
      </x:c>
      <x:c r="I61" s="121" t="n">
        <x:v>449.28</x:v>
      </x:c>
      <x:c r="J61" s="121" t="n">
        <x:v>115.7</x:v>
      </x:c>
      <x:c r="K61" s="121" t="n">
        <x:v>2496</x:v>
      </x:c>
      <x:c r="L61" s="121" t="n">
        <x:v>1931.02</x:v>
      </x:c>
      <x:c r="M61" s="122" t="str">
        <x:v>Em conferência</x:v>
      </x:c>
      <x:c r="N61" s="122" t="str">
        <x:v>Competência futura de fechamento</x:v>
      </x:c>
      <x:c r="O61" s="85"/>
      <x:c r="P61" s="85"/>
      <x:c r="Q61" s="85"/>
      <x:c r="R61" s="85"/>
      <x:c r="S61" s="85"/>
      <x:c r="T61" s="85"/>
      <x:c r="U61" s="85"/>
      <x:c r="V61" s="85"/>
      <x:c r="W61" s="85"/>
      <x:c r="X61" s="85"/>
      <x:c r="Y61" s="85"/>
      <x:c r="Z61" s="85"/>
      <x:c r="AA61" s="85"/>
      <x:c r="AB61" s="85"/>
      <x:c r="AC61" s="85"/>
      <x:c r="AD61" s="85"/>
      <x:c r="AE61" s="85"/>
      <x:c r="AF61" s="85"/>
      <x:c r="AG61" s="85"/>
      <x:c r="AH61" s="85"/>
      <x:c r="AI61" s="85"/>
      <x:c r="AJ61" s="85"/>
    </x:row>
    <x:row r="62">
      <x:c r="A62" s="86"/>
      <x:c r="B62" s="86"/>
      <x:c r="C62" s="86"/>
      <x:c r="D62" s="88"/>
      <x:c r="E62" s="88"/>
      <x:c r="F62" s="88"/>
      <x:c r="G62" s="88"/>
      <x:c r="H62" s="86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  <x:c r="AA62" s="85"/>
      <x:c r="AB62" s="85"/>
      <x:c r="AC62" s="85"/>
      <x:c r="AD62" s="85"/>
      <x:c r="AE62" s="85"/>
      <x:c r="AF62" s="85"/>
      <x:c r="AG62" s="85"/>
      <x:c r="AH62" s="85"/>
      <x:c r="AI62" s="85"/>
      <x:c r="AJ62" s="85"/>
    </x:row>
    <x:row r="63">
      <x:c r="A63" s="86"/>
      <x:c r="B63" s="86"/>
      <x:c r="C63" s="86"/>
      <x:c r="D63" s="88"/>
      <x:c r="E63" s="88"/>
      <x:c r="F63" s="88"/>
      <x:c r="G63" s="88"/>
      <x:c r="H63" s="86"/>
      <x:c r="I63" s="85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5"/>
      <x:c r="V63" s="85"/>
      <x:c r="W63" s="85"/>
      <x:c r="X63" s="85"/>
      <x:c r="Y63" s="85"/>
      <x:c r="Z63" s="85"/>
      <x:c r="AA63" s="85"/>
      <x:c r="AB63" s="85"/>
      <x:c r="AC63" s="85"/>
      <x:c r="AD63" s="85"/>
      <x:c r="AE63" s="85"/>
      <x:c r="AF63" s="85"/>
      <x:c r="AG63" s="85"/>
      <x:c r="AH63" s="85"/>
      <x:c r="AI63" s="85"/>
      <x:c r="AJ63" s="85"/>
    </x:row>
    <x:row r="64">
      <x:c r="A64" s="86"/>
      <x:c r="B64" s="86"/>
      <x:c r="C64" s="86"/>
      <x:c r="D64" s="88"/>
      <x:c r="E64" s="88"/>
      <x:c r="F64" s="88"/>
      <x:c r="G64" s="88"/>
      <x:c r="H64" s="86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  <x:c r="AA64" s="85"/>
      <x:c r="AB64" s="85"/>
      <x:c r="AC64" s="85"/>
      <x:c r="AD64" s="85"/>
      <x:c r="AE64" s="85"/>
      <x:c r="AF64" s="85"/>
      <x:c r="AG64" s="85"/>
      <x:c r="AH64" s="85"/>
      <x:c r="AI64" s="85"/>
      <x:c r="AJ64" s="85"/>
    </x:row>
    <x:row r="65">
      <x:c r="A65" s="86"/>
      <x:c r="B65" s="86"/>
      <x:c r="C65" s="86"/>
      <x:c r="D65" s="88"/>
      <x:c r="E65" s="88"/>
      <x:c r="F65" s="88"/>
      <x:c r="G65" s="88"/>
      <x:c r="H65" s="86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  <x:c r="AA65" s="85"/>
      <x:c r="AB65" s="85"/>
      <x:c r="AC65" s="85"/>
      <x:c r="AD65" s="85"/>
      <x:c r="AE65" s="85"/>
      <x:c r="AF65" s="85"/>
      <x:c r="AG65" s="85"/>
      <x:c r="AH65" s="85"/>
      <x:c r="AI65" s="85"/>
      <x:c r="AJ65" s="85"/>
    </x:row>
    <x:row r="66">
      <x:c r="A66" s="86"/>
      <x:c r="B66" s="86"/>
      <x:c r="C66" s="86"/>
      <x:c r="D66" s="88"/>
      <x:c r="E66" s="88"/>
      <x:c r="F66" s="88"/>
      <x:c r="G66" s="88"/>
      <x:c r="H66" s="86"/>
      <x:c r="I66" s="85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5"/>
      <x:c r="V66" s="85"/>
      <x:c r="W66" s="85"/>
      <x:c r="X66" s="85"/>
      <x:c r="Y66" s="85"/>
      <x:c r="Z66" s="85"/>
      <x:c r="AA66" s="85"/>
      <x:c r="AB66" s="85"/>
      <x:c r="AC66" s="85"/>
      <x:c r="AD66" s="85"/>
      <x:c r="AE66" s="85"/>
      <x:c r="AF66" s="85"/>
      <x:c r="AG66" s="85"/>
      <x:c r="AH66" s="85"/>
      <x:c r="AI66" s="85"/>
      <x:c r="AJ66" s="85"/>
    </x:row>
    <x:row r="67">
      <x:c r="A67" s="86"/>
      <x:c r="B67" s="86"/>
      <x:c r="C67" s="86"/>
      <x:c r="D67" s="88"/>
      <x:c r="E67" s="88"/>
      <x:c r="F67" s="88"/>
      <x:c r="G67" s="88"/>
      <x:c r="H67" s="86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  <x:c r="AA67" s="85"/>
      <x:c r="AB67" s="85"/>
      <x:c r="AC67" s="85"/>
      <x:c r="AD67" s="85"/>
      <x:c r="AE67" s="85"/>
      <x:c r="AF67" s="85"/>
      <x:c r="AG67" s="85"/>
      <x:c r="AH67" s="85"/>
      <x:c r="AI67" s="85"/>
      <x:c r="AJ67" s="85"/>
    </x:row>
    <x:row r="68">
      <x:c r="A68" s="86"/>
      <x:c r="B68" s="86"/>
      <x:c r="C68" s="86"/>
      <x:c r="D68" s="88"/>
      <x:c r="E68" s="88"/>
      <x:c r="F68" s="88"/>
      <x:c r="G68" s="88"/>
      <x:c r="H68" s="86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  <x:c r="AA68" s="85"/>
      <x:c r="AB68" s="85"/>
      <x:c r="AC68" s="85"/>
      <x:c r="AD68" s="85"/>
      <x:c r="AE68" s="85"/>
      <x:c r="AF68" s="85"/>
      <x:c r="AG68" s="85"/>
      <x:c r="AH68" s="85"/>
      <x:c r="AI68" s="85"/>
      <x:c r="AJ68" s="85"/>
    </x:row>
    <x:row r="69">
      <x:c r="A69" s="86"/>
      <x:c r="B69" s="86"/>
      <x:c r="C69" s="86"/>
      <x:c r="D69" s="88"/>
      <x:c r="E69" s="88"/>
      <x:c r="F69" s="88"/>
      <x:c r="G69" s="88"/>
      <x:c r="H69" s="86"/>
      <x:c r="I69" s="85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5"/>
      <x:c r="V69" s="85"/>
      <x:c r="W69" s="85"/>
      <x:c r="X69" s="85"/>
      <x:c r="Y69" s="85"/>
      <x:c r="Z69" s="85"/>
      <x:c r="AA69" s="85"/>
      <x:c r="AB69" s="85"/>
      <x:c r="AC69" s="85"/>
      <x:c r="AD69" s="85"/>
      <x:c r="AE69" s="85"/>
      <x:c r="AF69" s="85"/>
      <x:c r="AG69" s="85"/>
      <x:c r="AH69" s="85"/>
      <x:c r="AI69" s="85"/>
      <x:c r="AJ69" s="85"/>
    </x:row>
    <x:row r="70">
      <x:c r="A70" s="86"/>
      <x:c r="B70" s="86"/>
      <x:c r="C70" s="86"/>
      <x:c r="D70" s="88"/>
      <x:c r="E70" s="88"/>
      <x:c r="F70" s="88"/>
      <x:c r="G70" s="88"/>
      <x:c r="H70" s="86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  <x:c r="AA70" s="85"/>
      <x:c r="AB70" s="85"/>
      <x:c r="AC70" s="85"/>
      <x:c r="AD70" s="85"/>
      <x:c r="AE70" s="85"/>
      <x:c r="AF70" s="85"/>
      <x:c r="AG70" s="85"/>
      <x:c r="AH70" s="85"/>
      <x:c r="AI70" s="85"/>
      <x:c r="AJ70" s="85"/>
    </x:row>
    <x:row r="71">
      <x:c r="A71" s="86"/>
      <x:c r="B71" s="86"/>
      <x:c r="C71" s="86"/>
      <x:c r="D71" s="88"/>
      <x:c r="E71" s="88"/>
      <x:c r="F71" s="88"/>
      <x:c r="G71" s="88"/>
      <x:c r="H71" s="86"/>
      <x:c r="I71" s="85"/>
      <x:c r="J71" s="85"/>
      <x:c r="K71" s="85"/>
      <x:c r="L71" s="85"/>
      <x:c r="M71" s="85"/>
      <x:c r="N71" s="85"/>
      <x:c r="O71" s="85"/>
      <x:c r="P71" s="85"/>
      <x:c r="Q71" s="85"/>
      <x:c r="R71" s="85"/>
      <x:c r="S71" s="85"/>
      <x:c r="T71" s="85"/>
      <x:c r="U71" s="85"/>
      <x:c r="V71" s="85"/>
      <x:c r="W71" s="85"/>
      <x:c r="X71" s="85"/>
      <x:c r="Y71" s="85"/>
      <x:c r="Z71" s="85"/>
      <x:c r="AA71" s="85"/>
      <x:c r="AB71" s="85"/>
      <x:c r="AC71" s="85"/>
      <x:c r="AD71" s="85"/>
      <x:c r="AE71" s="85"/>
      <x:c r="AF71" s="85"/>
      <x:c r="AG71" s="85"/>
      <x:c r="AH71" s="85"/>
      <x:c r="AI71" s="85"/>
      <x:c r="AJ71" s="85"/>
    </x:row>
    <x:row r="72">
      <x:c r="A72" s="86"/>
      <x:c r="B72" s="86"/>
      <x:c r="C72" s="86"/>
      <x:c r="D72" s="88"/>
      <x:c r="E72" s="88"/>
      <x:c r="F72" s="88"/>
      <x:c r="G72" s="88"/>
      <x:c r="H72" s="86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  <x:c r="AA72" s="85"/>
      <x:c r="AB72" s="85"/>
      <x:c r="AC72" s="85"/>
      <x:c r="AD72" s="85"/>
      <x:c r="AE72" s="85"/>
      <x:c r="AF72" s="85"/>
      <x:c r="AG72" s="85"/>
      <x:c r="AH72" s="85"/>
      <x:c r="AI72" s="85"/>
      <x:c r="AJ72" s="85"/>
    </x:row>
    <x:row r="73">
      <x:c r="A73" s="86"/>
      <x:c r="B73" s="86"/>
      <x:c r="C73" s="86"/>
      <x:c r="D73" s="88"/>
      <x:c r="E73" s="88"/>
      <x:c r="F73" s="88"/>
      <x:c r="G73" s="88"/>
      <x:c r="H73" s="86"/>
      <x:c r="I73" s="85"/>
      <x:c r="J73" s="85"/>
      <x:c r="K73" s="85"/>
      <x:c r="L73" s="85"/>
      <x:c r="M73" s="85"/>
      <x:c r="N73" s="85"/>
      <x:c r="O73" s="85"/>
      <x:c r="P73" s="85"/>
      <x:c r="Q73" s="85"/>
      <x:c r="R73" s="85"/>
      <x:c r="S73" s="85"/>
      <x:c r="T73" s="85"/>
      <x:c r="U73" s="85"/>
      <x:c r="V73" s="85"/>
      <x:c r="W73" s="85"/>
      <x:c r="X73" s="85"/>
      <x:c r="Y73" s="85"/>
      <x:c r="Z73" s="85"/>
      <x:c r="AA73" s="85"/>
      <x:c r="AB73" s="85"/>
      <x:c r="AC73" s="85"/>
      <x:c r="AD73" s="85"/>
      <x:c r="AE73" s="85"/>
      <x:c r="AF73" s="85"/>
      <x:c r="AG73" s="85"/>
      <x:c r="AH73" s="85"/>
      <x:c r="AI73" s="85"/>
      <x:c r="AJ73" s="85"/>
    </x:row>
    <x:row r="74">
      <x:c r="A74" s="86"/>
      <x:c r="B74" s="86"/>
      <x:c r="C74" s="86"/>
      <x:c r="D74" s="88"/>
      <x:c r="E74" s="88"/>
      <x:c r="F74" s="88"/>
      <x:c r="G74" s="88"/>
      <x:c r="H74" s="86"/>
      <x:c r="I74" s="85"/>
      <x:c r="J74" s="85"/>
      <x:c r="K74" s="85"/>
      <x:c r="L74" s="85"/>
      <x:c r="M74" s="85"/>
      <x:c r="N74" s="85"/>
      <x:c r="O74" s="85"/>
      <x:c r="P74" s="85"/>
      <x:c r="Q74" s="85"/>
      <x:c r="R74" s="85"/>
      <x:c r="S74" s="85"/>
      <x:c r="T74" s="85"/>
      <x:c r="U74" s="85"/>
      <x:c r="V74" s="85"/>
      <x:c r="W74" s="85"/>
      <x:c r="X74" s="85"/>
      <x:c r="Y74" s="85"/>
      <x:c r="Z74" s="85"/>
      <x:c r="AA74" s="85"/>
      <x:c r="AB74" s="85"/>
      <x:c r="AC74" s="85"/>
      <x:c r="AD74" s="85"/>
      <x:c r="AE74" s="85"/>
      <x:c r="AF74" s="85"/>
      <x:c r="AG74" s="85"/>
      <x:c r="AH74" s="85"/>
      <x:c r="AI74" s="85"/>
      <x:c r="AJ74" s="85"/>
    </x:row>
    <x:row r="75">
      <x:c r="A75" s="86"/>
      <x:c r="B75" s="86"/>
      <x:c r="C75" s="86"/>
      <x:c r="D75" s="88"/>
      <x:c r="E75" s="88"/>
      <x:c r="F75" s="88"/>
      <x:c r="G75" s="88"/>
      <x:c r="H75" s="86"/>
      <x:c r="I75" s="85"/>
      <x:c r="J75" s="85"/>
      <x:c r="K75" s="85"/>
      <x:c r="L75" s="85"/>
      <x:c r="M75" s="85"/>
      <x:c r="N75" s="85"/>
      <x:c r="O75" s="85"/>
      <x:c r="P75" s="85"/>
      <x:c r="Q75" s="85"/>
      <x:c r="R75" s="85"/>
      <x:c r="S75" s="85"/>
      <x:c r="T75" s="85"/>
      <x:c r="U75" s="85"/>
      <x:c r="V75" s="85"/>
      <x:c r="W75" s="85"/>
      <x:c r="X75" s="85"/>
      <x:c r="Y75" s="85"/>
      <x:c r="Z75" s="85"/>
      <x:c r="AA75" s="85"/>
      <x:c r="AB75" s="85"/>
      <x:c r="AC75" s="85"/>
      <x:c r="AD75" s="85"/>
      <x:c r="AE75" s="85"/>
      <x:c r="AF75" s="85"/>
      <x:c r="AG75" s="85"/>
      <x:c r="AH75" s="85"/>
      <x:c r="AI75" s="85"/>
      <x:c r="AJ75" s="85"/>
    </x:row>
    <x:row r="76">
      <x:c r="A76" s="86"/>
      <x:c r="B76" s="86"/>
      <x:c r="C76" s="86"/>
      <x:c r="D76" s="88"/>
      <x:c r="E76" s="88"/>
      <x:c r="F76" s="88"/>
      <x:c r="G76" s="88"/>
      <x:c r="H76" s="86"/>
      <x:c r="I76" s="85"/>
      <x:c r="J76" s="85"/>
      <x:c r="K76" s="85"/>
      <x:c r="L76" s="85"/>
      <x:c r="M76" s="85"/>
      <x:c r="N76" s="85"/>
      <x:c r="O76" s="85"/>
      <x:c r="P76" s="85"/>
      <x:c r="Q76" s="85"/>
      <x:c r="R76" s="85"/>
      <x:c r="S76" s="85"/>
      <x:c r="T76" s="85"/>
      <x:c r="U76" s="85"/>
      <x:c r="V76" s="85"/>
      <x:c r="W76" s="85"/>
      <x:c r="X76" s="85"/>
      <x:c r="Y76" s="85"/>
      <x:c r="Z76" s="85"/>
      <x:c r="AA76" s="85"/>
      <x:c r="AB76" s="85"/>
      <x:c r="AC76" s="85"/>
      <x:c r="AD76" s="85"/>
      <x:c r="AE76" s="85"/>
      <x:c r="AF76" s="85"/>
      <x:c r="AG76" s="85"/>
      <x:c r="AH76" s="85"/>
      <x:c r="AI76" s="85"/>
      <x:c r="AJ76" s="85"/>
    </x:row>
    <x:row r="77">
      <x:c r="A77" s="86"/>
      <x:c r="B77" s="86"/>
      <x:c r="C77" s="86"/>
      <x:c r="D77" s="88"/>
      <x:c r="E77" s="88"/>
      <x:c r="F77" s="88"/>
      <x:c r="G77" s="88"/>
      <x:c r="H77" s="86"/>
      <x:c r="I77" s="85"/>
      <x:c r="J77" s="85"/>
      <x:c r="K77" s="85"/>
      <x:c r="L77" s="85"/>
      <x:c r="M77" s="85"/>
      <x:c r="N77" s="85"/>
      <x:c r="O77" s="85"/>
      <x:c r="P77" s="85"/>
      <x:c r="Q77" s="85"/>
      <x:c r="R77" s="85"/>
      <x:c r="S77" s="85"/>
      <x:c r="T77" s="85"/>
      <x:c r="U77" s="85"/>
      <x:c r="V77" s="85"/>
      <x:c r="W77" s="85"/>
      <x:c r="X77" s="85"/>
      <x:c r="Y77" s="85"/>
      <x:c r="Z77" s="85"/>
      <x:c r="AA77" s="85"/>
      <x:c r="AB77" s="85"/>
      <x:c r="AC77" s="85"/>
      <x:c r="AD77" s="85"/>
      <x:c r="AE77" s="85"/>
      <x:c r="AF77" s="85"/>
      <x:c r="AG77" s="85"/>
      <x:c r="AH77" s="85"/>
      <x:c r="AI77" s="85"/>
      <x:c r="AJ77" s="85"/>
    </x:row>
    <x:row r="78">
      <x:c r="A78" s="86"/>
      <x:c r="B78" s="86"/>
      <x:c r="C78" s="86"/>
      <x:c r="D78" s="88"/>
      <x:c r="E78" s="88"/>
      <x:c r="F78" s="88"/>
      <x:c r="G78" s="88"/>
      <x:c r="H78" s="86"/>
      <x:c r="I78" s="85"/>
      <x:c r="J78" s="85"/>
      <x:c r="K78" s="85"/>
      <x:c r="L78" s="85"/>
      <x:c r="M78" s="85"/>
      <x:c r="N78" s="85"/>
      <x:c r="O78" s="85"/>
      <x:c r="P78" s="85"/>
      <x:c r="Q78" s="85"/>
      <x:c r="R78" s="85"/>
      <x:c r="S78" s="85"/>
      <x:c r="T78" s="85"/>
      <x:c r="U78" s="85"/>
      <x:c r="V78" s="85"/>
      <x:c r="W78" s="85"/>
      <x:c r="X78" s="85"/>
      <x:c r="Y78" s="85"/>
      <x:c r="Z78" s="85"/>
      <x:c r="AA78" s="85"/>
      <x:c r="AB78" s="85"/>
      <x:c r="AC78" s="85"/>
      <x:c r="AD78" s="85"/>
      <x:c r="AE78" s="85"/>
      <x:c r="AF78" s="85"/>
      <x:c r="AG78" s="85"/>
      <x:c r="AH78" s="85"/>
      <x:c r="AI78" s="85"/>
      <x:c r="AJ78" s="85"/>
    </x:row>
    <x:row r="79">
      <x:c r="A79" s="86"/>
      <x:c r="B79" s="86"/>
      <x:c r="C79" s="86"/>
      <x:c r="D79" s="88"/>
      <x:c r="E79" s="88"/>
      <x:c r="F79" s="88"/>
      <x:c r="G79" s="88"/>
      <x:c r="H79" s="86"/>
      <x:c r="I79" s="85"/>
      <x:c r="J79" s="85"/>
      <x:c r="K79" s="85"/>
      <x:c r="L79" s="85"/>
      <x:c r="M79" s="85"/>
      <x:c r="N79" s="85"/>
      <x:c r="O79" s="85"/>
      <x:c r="P79" s="85"/>
      <x:c r="Q79" s="85"/>
      <x:c r="R79" s="85"/>
      <x:c r="S79" s="85"/>
      <x:c r="T79" s="85"/>
      <x:c r="U79" s="85"/>
      <x:c r="V79" s="85"/>
      <x:c r="W79" s="85"/>
      <x:c r="X79" s="85"/>
      <x:c r="Y79" s="85"/>
      <x:c r="Z79" s="85"/>
      <x:c r="AA79" s="85"/>
      <x:c r="AB79" s="85"/>
      <x:c r="AC79" s="85"/>
      <x:c r="AD79" s="85"/>
      <x:c r="AE79" s="85"/>
      <x:c r="AF79" s="85"/>
      <x:c r="AG79" s="85"/>
      <x:c r="AH79" s="85"/>
      <x:c r="AI79" s="85"/>
      <x:c r="AJ79" s="85"/>
    </x:row>
    <x:row r="80">
      <x:c r="A80" s="86"/>
      <x:c r="B80" s="86"/>
      <x:c r="C80" s="86"/>
      <x:c r="D80" s="88"/>
      <x:c r="E80" s="88"/>
      <x:c r="F80" s="88"/>
      <x:c r="G80" s="88"/>
      <x:c r="H80" s="86"/>
      <x:c r="I80" s="85"/>
      <x:c r="J80" s="85"/>
      <x:c r="K80" s="85"/>
      <x:c r="L80" s="85"/>
      <x:c r="M80" s="85"/>
      <x:c r="N80" s="85"/>
      <x:c r="O80" s="85"/>
      <x:c r="P80" s="85"/>
      <x:c r="Q80" s="85"/>
      <x:c r="R80" s="85"/>
      <x:c r="S80" s="85"/>
      <x:c r="T80" s="85"/>
      <x:c r="U80" s="85"/>
      <x:c r="V80" s="85"/>
      <x:c r="W80" s="85"/>
      <x:c r="X80" s="85"/>
      <x:c r="Y80" s="85"/>
      <x:c r="Z80" s="85"/>
      <x:c r="AA80" s="85"/>
      <x:c r="AB80" s="85"/>
      <x:c r="AC80" s="85"/>
      <x:c r="AD80" s="85"/>
      <x:c r="AE80" s="85"/>
      <x:c r="AF80" s="85"/>
      <x:c r="AG80" s="85"/>
      <x:c r="AH80" s="85"/>
      <x:c r="AI80" s="85"/>
      <x:c r="AJ80" s="85"/>
    </x:row>
    <x:row r="81">
      <x:c r="A81" s="86"/>
      <x:c r="B81" s="86"/>
      <x:c r="C81" s="86"/>
      <x:c r="D81" s="88"/>
      <x:c r="E81" s="88"/>
      <x:c r="F81" s="88"/>
      <x:c r="G81" s="88"/>
      <x:c r="H81" s="86"/>
      <x:c r="I81" s="85"/>
      <x:c r="J81" s="85"/>
      <x:c r="K81" s="85"/>
      <x:c r="L81" s="85"/>
      <x:c r="M81" s="85"/>
      <x:c r="N81" s="85"/>
      <x:c r="O81" s="85"/>
      <x:c r="P81" s="85"/>
      <x:c r="Q81" s="85"/>
      <x:c r="R81" s="85"/>
      <x:c r="S81" s="85"/>
      <x:c r="T81" s="85"/>
      <x:c r="U81" s="85"/>
      <x:c r="V81" s="85"/>
      <x:c r="W81" s="85"/>
      <x:c r="X81" s="85"/>
      <x:c r="Y81" s="85"/>
      <x:c r="Z81" s="85"/>
      <x:c r="AA81" s="85"/>
      <x:c r="AB81" s="85"/>
      <x:c r="AC81" s="85"/>
      <x:c r="AD81" s="85"/>
      <x:c r="AE81" s="85"/>
      <x:c r="AF81" s="85"/>
      <x:c r="AG81" s="85"/>
      <x:c r="AH81" s="85"/>
      <x:c r="AI81" s="85"/>
      <x:c r="AJ81" s="85"/>
    </x:row>
    <x:row r="82">
      <x:c r="A82" s="86"/>
      <x:c r="B82" s="86"/>
      <x:c r="C82" s="86"/>
      <x:c r="D82" s="88"/>
      <x:c r="E82" s="88"/>
      <x:c r="F82" s="88"/>
      <x:c r="G82" s="88"/>
      <x:c r="H82" s="86"/>
      <x:c r="I82" s="85"/>
      <x:c r="J82" s="85"/>
      <x:c r="K82" s="85"/>
      <x:c r="L82" s="85"/>
      <x:c r="M82" s="85"/>
      <x:c r="N82" s="85"/>
      <x:c r="O82" s="85"/>
      <x:c r="P82" s="85"/>
      <x:c r="Q82" s="85"/>
      <x:c r="R82" s="85"/>
      <x:c r="S82" s="85"/>
      <x:c r="T82" s="85"/>
      <x:c r="U82" s="85"/>
      <x:c r="V82" s="85"/>
      <x:c r="W82" s="85"/>
      <x:c r="X82" s="85"/>
      <x:c r="Y82" s="85"/>
      <x:c r="Z82" s="85"/>
      <x:c r="AA82" s="85"/>
      <x:c r="AB82" s="85"/>
      <x:c r="AC82" s="85"/>
      <x:c r="AD82" s="85"/>
      <x:c r="AE82" s="85"/>
      <x:c r="AF82" s="85"/>
      <x:c r="AG82" s="85"/>
      <x:c r="AH82" s="85"/>
      <x:c r="AI82" s="85"/>
      <x:c r="AJ82" s="85"/>
    </x:row>
    <x:row r="83">
      <x:c r="A83" s="86"/>
      <x:c r="B83" s="86"/>
      <x:c r="C83" s="86"/>
      <x:c r="D83" s="88"/>
      <x:c r="E83" s="88"/>
      <x:c r="F83" s="88"/>
      <x:c r="G83" s="88"/>
      <x:c r="H83" s="86"/>
      <x:c r="I83" s="85"/>
      <x:c r="J83" s="85"/>
      <x:c r="K83" s="85"/>
      <x:c r="L83" s="85"/>
      <x:c r="M83" s="85"/>
      <x:c r="N83" s="85"/>
      <x:c r="O83" s="85"/>
      <x:c r="P83" s="85"/>
      <x:c r="Q83" s="85"/>
      <x:c r="R83" s="85"/>
      <x:c r="S83" s="85"/>
      <x:c r="T83" s="85"/>
      <x:c r="U83" s="85"/>
      <x:c r="V83" s="85"/>
      <x:c r="W83" s="85"/>
      <x:c r="X83" s="85"/>
      <x:c r="Y83" s="85"/>
      <x:c r="Z83" s="85"/>
      <x:c r="AA83" s="85"/>
      <x:c r="AB83" s="85"/>
      <x:c r="AC83" s="85"/>
      <x:c r="AD83" s="85"/>
      <x:c r="AE83" s="85"/>
      <x:c r="AF83" s="85"/>
      <x:c r="AG83" s="85"/>
      <x:c r="AH83" s="85"/>
      <x:c r="AI83" s="85"/>
      <x:c r="AJ83" s="85"/>
    </x:row>
    <x:row r="84">
      <x:c r="A84" s="86"/>
      <x:c r="B84" s="86"/>
      <x:c r="C84" s="86"/>
      <x:c r="D84" s="88"/>
      <x:c r="E84" s="88"/>
      <x:c r="F84" s="88"/>
      <x:c r="G84" s="88"/>
      <x:c r="H84" s="86"/>
      <x:c r="I84" s="85"/>
      <x:c r="J84" s="85"/>
      <x:c r="K84" s="85"/>
      <x:c r="L84" s="85"/>
      <x:c r="M84" s="85"/>
      <x:c r="N84" s="85"/>
      <x:c r="O84" s="85"/>
      <x:c r="P84" s="85"/>
      <x:c r="Q84" s="85"/>
      <x:c r="R84" s="85"/>
      <x:c r="S84" s="85"/>
      <x:c r="T84" s="85"/>
      <x:c r="U84" s="85"/>
      <x:c r="V84" s="85"/>
      <x:c r="W84" s="85"/>
      <x:c r="X84" s="85"/>
      <x:c r="Y84" s="85"/>
      <x:c r="Z84" s="85"/>
      <x:c r="AA84" s="85"/>
      <x:c r="AB84" s="85"/>
      <x:c r="AC84" s="85"/>
      <x:c r="AD84" s="85"/>
      <x:c r="AE84" s="85"/>
      <x:c r="AF84" s="85"/>
      <x:c r="AG84" s="85"/>
      <x:c r="AH84" s="85"/>
      <x:c r="AI84" s="85"/>
      <x:c r="AJ84" s="85"/>
    </x:row>
    <x:row r="85">
      <x:c r="A85" s="86"/>
      <x:c r="B85" s="86"/>
      <x:c r="C85" s="86"/>
      <x:c r="D85" s="88"/>
      <x:c r="E85" s="88"/>
      <x:c r="F85" s="88"/>
      <x:c r="G85" s="88"/>
      <x:c r="H85" s="86"/>
      <x:c r="I85" s="85"/>
      <x:c r="J85" s="85"/>
      <x:c r="K85" s="85"/>
      <x:c r="L85" s="85"/>
      <x:c r="M85" s="85"/>
      <x:c r="N85" s="85"/>
      <x:c r="O85" s="85"/>
      <x:c r="P85" s="85"/>
      <x:c r="Q85" s="85"/>
      <x:c r="R85" s="85"/>
      <x:c r="S85" s="85"/>
      <x:c r="T85" s="85"/>
      <x:c r="U85" s="85"/>
      <x:c r="V85" s="85"/>
      <x:c r="W85" s="85"/>
      <x:c r="X85" s="85"/>
      <x:c r="Y85" s="85"/>
      <x:c r="Z85" s="85"/>
      <x:c r="AA85" s="85"/>
      <x:c r="AB85" s="85"/>
      <x:c r="AC85" s="85"/>
      <x:c r="AD85" s="85"/>
      <x:c r="AE85" s="85"/>
      <x:c r="AF85" s="85"/>
      <x:c r="AG85" s="85"/>
      <x:c r="AH85" s="85"/>
      <x:c r="AI85" s="85"/>
      <x:c r="AJ85" s="85"/>
    </x:row>
    <x:row r="86">
      <x:c r="A86" s="86"/>
      <x:c r="B86" s="86"/>
      <x:c r="C86" s="86"/>
      <x:c r="D86" s="88"/>
      <x:c r="E86" s="88"/>
      <x:c r="F86" s="88"/>
      <x:c r="G86" s="88"/>
      <x:c r="H86" s="86"/>
      <x:c r="I86" s="85"/>
      <x:c r="J86" s="85"/>
      <x:c r="K86" s="85"/>
      <x:c r="L86" s="85"/>
      <x:c r="M86" s="85"/>
      <x:c r="N86" s="85"/>
      <x:c r="O86" s="85"/>
      <x:c r="P86" s="85"/>
      <x:c r="Q86" s="85"/>
      <x:c r="R86" s="85"/>
      <x:c r="S86" s="85"/>
      <x:c r="T86" s="85"/>
      <x:c r="U86" s="85"/>
      <x:c r="V86" s="85"/>
      <x:c r="W86" s="85"/>
      <x:c r="X86" s="85"/>
      <x:c r="Y86" s="85"/>
      <x:c r="Z86" s="85"/>
      <x:c r="AA86" s="85"/>
      <x:c r="AB86" s="85"/>
      <x:c r="AC86" s="85"/>
      <x:c r="AD86" s="85"/>
      <x:c r="AE86" s="85"/>
      <x:c r="AF86" s="85"/>
      <x:c r="AG86" s="85"/>
      <x:c r="AH86" s="85"/>
      <x:c r="AI86" s="85"/>
      <x:c r="AJ86" s="85"/>
    </x:row>
    <x:row r="87">
      <x:c r="A87" s="86"/>
      <x:c r="B87" s="86"/>
      <x:c r="C87" s="86"/>
      <x:c r="D87" s="88"/>
      <x:c r="E87" s="88"/>
      <x:c r="F87" s="88"/>
      <x:c r="G87" s="88"/>
      <x:c r="H87" s="86"/>
      <x:c r="I87" s="85"/>
      <x:c r="J87" s="85"/>
      <x:c r="K87" s="85"/>
      <x:c r="L87" s="85"/>
      <x:c r="M87" s="85"/>
      <x:c r="N87" s="85"/>
      <x:c r="O87" s="85"/>
      <x:c r="P87" s="85"/>
      <x:c r="Q87" s="85"/>
      <x:c r="R87" s="85"/>
      <x:c r="S87" s="85"/>
      <x:c r="T87" s="85"/>
      <x:c r="U87" s="85"/>
      <x:c r="V87" s="85"/>
      <x:c r="W87" s="85"/>
      <x:c r="X87" s="85"/>
      <x:c r="Y87" s="85"/>
      <x:c r="Z87" s="85"/>
      <x:c r="AA87" s="85"/>
      <x:c r="AB87" s="85"/>
      <x:c r="AC87" s="85"/>
      <x:c r="AD87" s="85"/>
      <x:c r="AE87" s="85"/>
      <x:c r="AF87" s="85"/>
      <x:c r="AG87" s="85"/>
      <x:c r="AH87" s="85"/>
      <x:c r="AI87" s="85"/>
      <x:c r="AJ87" s="85"/>
    </x:row>
    <x:row r="88">
      <x:c r="A88" s="86"/>
      <x:c r="B88" s="86"/>
      <x:c r="C88" s="86"/>
      <x:c r="D88" s="88"/>
      <x:c r="E88" s="88"/>
      <x:c r="F88" s="88"/>
      <x:c r="G88" s="88"/>
      <x:c r="H88" s="86"/>
      <x:c r="I88" s="85"/>
      <x:c r="J88" s="85"/>
      <x:c r="K88" s="85"/>
      <x:c r="L88" s="85"/>
      <x:c r="M88" s="85"/>
      <x:c r="N88" s="85"/>
      <x:c r="O88" s="85"/>
      <x:c r="P88" s="85"/>
      <x:c r="Q88" s="85"/>
      <x:c r="R88" s="85"/>
      <x:c r="S88" s="85"/>
      <x:c r="T88" s="85"/>
      <x:c r="U88" s="85"/>
      <x:c r="V88" s="85"/>
      <x:c r="W88" s="85"/>
      <x:c r="X88" s="85"/>
      <x:c r="Y88" s="85"/>
      <x:c r="Z88" s="85"/>
      <x:c r="AA88" s="85"/>
      <x:c r="AB88" s="85"/>
      <x:c r="AC88" s="85"/>
      <x:c r="AD88" s="85"/>
      <x:c r="AE88" s="85"/>
      <x:c r="AF88" s="85"/>
      <x:c r="AG88" s="85"/>
      <x:c r="AH88" s="85"/>
      <x:c r="AI88" s="85"/>
      <x:c r="AJ88" s="85"/>
    </x:row>
    <x:row r="89">
      <x:c r="A89" s="86"/>
      <x:c r="B89" s="86"/>
      <x:c r="C89" s="86"/>
      <x:c r="D89" s="88"/>
      <x:c r="E89" s="88"/>
      <x:c r="F89" s="88"/>
      <x:c r="G89" s="88"/>
      <x:c r="H89" s="86"/>
      <x:c r="I89" s="85"/>
      <x:c r="J89" s="85"/>
      <x:c r="K89" s="85"/>
      <x:c r="L89" s="85"/>
      <x:c r="M89" s="85"/>
      <x:c r="N89" s="85"/>
      <x:c r="O89" s="85"/>
      <x:c r="P89" s="85"/>
      <x:c r="Q89" s="85"/>
      <x:c r="R89" s="85"/>
      <x:c r="S89" s="85"/>
      <x:c r="T89" s="85"/>
      <x:c r="U89" s="85"/>
      <x:c r="V89" s="85"/>
      <x:c r="W89" s="85"/>
      <x:c r="X89" s="85"/>
      <x:c r="Y89" s="85"/>
      <x:c r="Z89" s="85"/>
      <x:c r="AA89" s="85"/>
      <x:c r="AB89" s="85"/>
      <x:c r="AC89" s="85"/>
      <x:c r="AD89" s="85"/>
      <x:c r="AE89" s="85"/>
      <x:c r="AF89" s="85"/>
      <x:c r="AG89" s="85"/>
      <x:c r="AH89" s="85"/>
      <x:c r="AI89" s="85"/>
      <x:c r="AJ89" s="85"/>
    </x:row>
    <x:row r="90">
      <x:c r="A90" s="86"/>
      <x:c r="B90" s="86"/>
      <x:c r="C90" s="86"/>
      <x:c r="D90" s="88"/>
      <x:c r="E90" s="88"/>
      <x:c r="F90" s="88"/>
      <x:c r="G90" s="88"/>
      <x:c r="H90" s="86"/>
      <x:c r="I90" s="85"/>
      <x:c r="J90" s="85"/>
      <x:c r="K90" s="85"/>
      <x:c r="L90" s="85"/>
      <x:c r="M90" s="85"/>
      <x:c r="N90" s="85"/>
      <x:c r="O90" s="85"/>
      <x:c r="P90" s="85"/>
      <x:c r="Q90" s="85"/>
      <x:c r="R90" s="85"/>
      <x:c r="S90" s="85"/>
      <x:c r="T90" s="85"/>
      <x:c r="U90" s="85"/>
      <x:c r="V90" s="85"/>
      <x:c r="W90" s="85"/>
      <x:c r="X90" s="85"/>
      <x:c r="Y90" s="85"/>
      <x:c r="Z90" s="85"/>
      <x:c r="AA90" s="85"/>
      <x:c r="AB90" s="85"/>
      <x:c r="AC90" s="85"/>
      <x:c r="AD90" s="85"/>
      <x:c r="AE90" s="85"/>
      <x:c r="AF90" s="85"/>
      <x:c r="AG90" s="85"/>
      <x:c r="AH90" s="85"/>
      <x:c r="AI90" s="85"/>
      <x:c r="AJ90" s="85"/>
    </x:row>
    <x:row r="91">
      <x:c r="A91" s="86"/>
      <x:c r="B91" s="86"/>
      <x:c r="C91" s="86"/>
      <x:c r="D91" s="88"/>
      <x:c r="E91" s="88"/>
      <x:c r="F91" s="88"/>
      <x:c r="G91" s="88"/>
      <x:c r="H91" s="86"/>
      <x:c r="I91" s="85"/>
      <x:c r="J91" s="85"/>
      <x:c r="K91" s="85"/>
      <x:c r="L91" s="85"/>
      <x:c r="M91" s="85"/>
      <x:c r="N91" s="85"/>
      <x:c r="O91" s="85"/>
      <x:c r="P91" s="85"/>
      <x:c r="Q91" s="85"/>
      <x:c r="R91" s="85"/>
      <x:c r="S91" s="85"/>
      <x:c r="T91" s="85"/>
      <x:c r="U91" s="85"/>
      <x:c r="V91" s="85"/>
      <x:c r="W91" s="85"/>
      <x:c r="X91" s="85"/>
      <x:c r="Y91" s="85"/>
      <x:c r="Z91" s="85"/>
      <x:c r="AA91" s="85"/>
      <x:c r="AB91" s="85"/>
      <x:c r="AC91" s="85"/>
      <x:c r="AD91" s="85"/>
      <x:c r="AE91" s="85"/>
      <x:c r="AF91" s="85"/>
      <x:c r="AG91" s="85"/>
      <x:c r="AH91" s="85"/>
      <x:c r="AI91" s="85"/>
      <x:c r="AJ91" s="85"/>
    </x:row>
    <x:row r="92">
      <x:c r="A92" s="86"/>
      <x:c r="B92" s="86"/>
      <x:c r="C92" s="86"/>
      <x:c r="D92" s="88"/>
      <x:c r="E92" s="88"/>
      <x:c r="F92" s="88"/>
      <x:c r="G92" s="88"/>
      <x:c r="H92" s="86"/>
      <x:c r="I92" s="85"/>
      <x:c r="J92" s="85"/>
      <x:c r="K92" s="85"/>
      <x:c r="L92" s="85"/>
      <x:c r="M92" s="85"/>
      <x:c r="N92" s="85"/>
      <x:c r="O92" s="85"/>
      <x:c r="P92" s="85"/>
      <x:c r="Q92" s="85"/>
      <x:c r="R92" s="85"/>
      <x:c r="S92" s="85"/>
      <x:c r="T92" s="85"/>
      <x:c r="U92" s="85"/>
      <x:c r="V92" s="85"/>
      <x:c r="W92" s="85"/>
      <x:c r="X92" s="85"/>
      <x:c r="Y92" s="85"/>
      <x:c r="Z92" s="85"/>
      <x:c r="AA92" s="85"/>
      <x:c r="AB92" s="85"/>
      <x:c r="AC92" s="85"/>
      <x:c r="AD92" s="85"/>
      <x:c r="AE92" s="85"/>
      <x:c r="AF92" s="85"/>
      <x:c r="AG92" s="85"/>
      <x:c r="AH92" s="85"/>
      <x:c r="AI92" s="85"/>
      <x:c r="AJ92" s="85"/>
    </x:row>
    <x:row r="93">
      <x:c r="A93" s="86"/>
      <x:c r="B93" s="86"/>
      <x:c r="C93" s="86"/>
      <x:c r="D93" s="88"/>
      <x:c r="E93" s="88"/>
      <x:c r="F93" s="88"/>
      <x:c r="G93" s="88"/>
      <x:c r="H93" s="86"/>
      <x:c r="I93" s="85"/>
      <x:c r="J93" s="85"/>
      <x:c r="K93" s="85"/>
      <x:c r="L93" s="85"/>
      <x:c r="M93" s="85"/>
      <x:c r="N93" s="85"/>
      <x:c r="O93" s="85"/>
      <x:c r="P93" s="85"/>
      <x:c r="Q93" s="85"/>
      <x:c r="R93" s="85"/>
      <x:c r="S93" s="85"/>
      <x:c r="T93" s="85"/>
      <x:c r="U93" s="85"/>
      <x:c r="V93" s="85"/>
      <x:c r="W93" s="85"/>
      <x:c r="X93" s="85"/>
      <x:c r="Y93" s="85"/>
      <x:c r="Z93" s="85"/>
      <x:c r="AA93" s="85"/>
      <x:c r="AB93" s="85"/>
      <x:c r="AC93" s="85"/>
      <x:c r="AD93" s="85"/>
      <x:c r="AE93" s="85"/>
      <x:c r="AF93" s="85"/>
      <x:c r="AG93" s="85"/>
      <x:c r="AH93" s="85"/>
      <x:c r="AI93" s="85"/>
      <x:c r="AJ93" s="85"/>
    </x:row>
    <x:row r="94">
      <x:c r="A94" s="86"/>
      <x:c r="B94" s="86"/>
      <x:c r="C94" s="86"/>
      <x:c r="D94" s="88"/>
      <x:c r="E94" s="88"/>
      <x:c r="F94" s="88"/>
      <x:c r="G94" s="88"/>
      <x:c r="H94" s="86"/>
      <x:c r="I94" s="85"/>
      <x:c r="J94" s="85"/>
      <x:c r="K94" s="85"/>
      <x:c r="L94" s="85"/>
      <x:c r="M94" s="85"/>
      <x:c r="N94" s="85"/>
      <x:c r="O94" s="85"/>
      <x:c r="P94" s="85"/>
      <x:c r="Q94" s="85"/>
      <x:c r="R94" s="85"/>
      <x:c r="S94" s="85"/>
      <x:c r="T94" s="85"/>
      <x:c r="U94" s="85"/>
      <x:c r="V94" s="85"/>
      <x:c r="W94" s="85"/>
      <x:c r="X94" s="85"/>
      <x:c r="Y94" s="85"/>
      <x:c r="Z94" s="85"/>
      <x:c r="AA94" s="85"/>
      <x:c r="AB94" s="85"/>
      <x:c r="AC94" s="85"/>
      <x:c r="AD94" s="85"/>
      <x:c r="AE94" s="85"/>
      <x:c r="AF94" s="85"/>
      <x:c r="AG94" s="85"/>
      <x:c r="AH94" s="85"/>
      <x:c r="AI94" s="85"/>
      <x:c r="AJ94" s="85"/>
    </x:row>
    <x:row r="95">
      <x:c r="A95" s="86"/>
      <x:c r="B95" s="86"/>
      <x:c r="C95" s="86"/>
      <x:c r="D95" s="88"/>
      <x:c r="E95" s="88"/>
      <x:c r="F95" s="88"/>
      <x:c r="G95" s="88"/>
      <x:c r="H95" s="86"/>
      <x:c r="I95" s="85"/>
      <x:c r="J95" s="85"/>
      <x:c r="K95" s="85"/>
      <x:c r="L95" s="85"/>
      <x:c r="M95" s="85"/>
      <x:c r="N95" s="85"/>
      <x:c r="O95" s="85"/>
      <x:c r="P95" s="85"/>
      <x:c r="Q95" s="85"/>
      <x:c r="R95" s="85"/>
      <x:c r="S95" s="85"/>
      <x:c r="T95" s="85"/>
      <x:c r="U95" s="85"/>
      <x:c r="V95" s="85"/>
      <x:c r="W95" s="85"/>
      <x:c r="X95" s="85"/>
      <x:c r="Y95" s="85"/>
      <x:c r="Z95" s="85"/>
      <x:c r="AA95" s="85"/>
      <x:c r="AB95" s="85"/>
      <x:c r="AC95" s="85"/>
      <x:c r="AD95" s="85"/>
      <x:c r="AE95" s="85"/>
      <x:c r="AF95" s="85"/>
      <x:c r="AG95" s="85"/>
      <x:c r="AH95" s="85"/>
      <x:c r="AI95" s="85"/>
      <x:c r="AJ95" s="85"/>
    </x:row>
    <x:row r="96">
      <x:c r="A96" s="86"/>
      <x:c r="B96" s="86"/>
      <x:c r="C96" s="86"/>
      <x:c r="D96" s="88"/>
      <x:c r="E96" s="88"/>
      <x:c r="F96" s="88"/>
      <x:c r="G96" s="88"/>
      <x:c r="H96" s="86"/>
      <x:c r="I96" s="85"/>
      <x:c r="J96" s="85"/>
      <x:c r="K96" s="85"/>
      <x:c r="L96" s="85"/>
      <x:c r="M96" s="85"/>
      <x:c r="N96" s="85"/>
      <x:c r="O96" s="85"/>
      <x:c r="P96" s="85"/>
      <x:c r="Q96" s="85"/>
      <x:c r="R96" s="85"/>
      <x:c r="S96" s="85"/>
      <x:c r="T96" s="85"/>
      <x:c r="U96" s="85"/>
      <x:c r="V96" s="85"/>
      <x:c r="W96" s="85"/>
      <x:c r="X96" s="85"/>
      <x:c r="Y96" s="85"/>
      <x:c r="Z96" s="85"/>
      <x:c r="AA96" s="85"/>
      <x:c r="AB96" s="85"/>
      <x:c r="AC96" s="85"/>
      <x:c r="AD96" s="85"/>
      <x:c r="AE96" s="85"/>
      <x:c r="AF96" s="85"/>
      <x:c r="AG96" s="85"/>
      <x:c r="AH96" s="85"/>
      <x:c r="AI96" s="85"/>
      <x:c r="AJ96" s="85"/>
    </x:row>
    <x:row r="97">
      <x:c r="A97" s="86"/>
      <x:c r="B97" s="86"/>
      <x:c r="C97" s="86"/>
      <x:c r="D97" s="88"/>
      <x:c r="E97" s="88"/>
      <x:c r="F97" s="88"/>
      <x:c r="G97" s="88"/>
      <x:c r="H97" s="86"/>
      <x:c r="I97" s="85"/>
      <x:c r="J97" s="85"/>
      <x:c r="K97" s="85"/>
      <x:c r="L97" s="85"/>
      <x:c r="M97" s="85"/>
      <x:c r="N97" s="85"/>
      <x:c r="O97" s="85"/>
      <x:c r="P97" s="85"/>
      <x:c r="Q97" s="85"/>
      <x:c r="R97" s="85"/>
      <x:c r="S97" s="85"/>
      <x:c r="T97" s="85"/>
      <x:c r="U97" s="85"/>
      <x:c r="V97" s="85"/>
      <x:c r="W97" s="85"/>
      <x:c r="X97" s="85"/>
      <x:c r="Y97" s="85"/>
      <x:c r="Z97" s="85"/>
      <x:c r="AA97" s="85"/>
      <x:c r="AB97" s="85"/>
      <x:c r="AC97" s="85"/>
      <x:c r="AD97" s="85"/>
      <x:c r="AE97" s="85"/>
      <x:c r="AF97" s="85"/>
      <x:c r="AG97" s="85"/>
      <x:c r="AH97" s="85"/>
      <x:c r="AI97" s="85"/>
      <x:c r="AJ97" s="85"/>
    </x:row>
    <x:row r="98">
      <x:c r="A98" s="86"/>
      <x:c r="B98" s="86"/>
      <x:c r="C98" s="86"/>
      <x:c r="D98" s="88"/>
      <x:c r="E98" s="88"/>
      <x:c r="F98" s="88"/>
      <x:c r="G98" s="88"/>
      <x:c r="H98" s="86"/>
      <x:c r="I98" s="85"/>
      <x:c r="J98" s="85"/>
      <x:c r="K98" s="85"/>
      <x:c r="L98" s="85"/>
      <x:c r="M98" s="85"/>
      <x:c r="N98" s="85"/>
      <x:c r="O98" s="85"/>
      <x:c r="P98" s="85"/>
      <x:c r="Q98" s="85"/>
      <x:c r="R98" s="85"/>
      <x:c r="S98" s="85"/>
      <x:c r="T98" s="85"/>
      <x:c r="U98" s="85"/>
      <x:c r="V98" s="85"/>
      <x:c r="W98" s="85"/>
      <x:c r="X98" s="85"/>
      <x:c r="Y98" s="85"/>
      <x:c r="Z98" s="85"/>
      <x:c r="AA98" s="85"/>
      <x:c r="AB98" s="85"/>
      <x:c r="AC98" s="85"/>
      <x:c r="AD98" s="85"/>
      <x:c r="AE98" s="85"/>
      <x:c r="AF98" s="85"/>
      <x:c r="AG98" s="85"/>
      <x:c r="AH98" s="85"/>
      <x:c r="AI98" s="85"/>
      <x:c r="AJ98" s="85"/>
    </x:row>
    <x:row r="99">
      <x:c r="A99" s="86"/>
      <x:c r="B99" s="86"/>
      <x:c r="C99" s="86"/>
      <x:c r="D99" s="88"/>
      <x:c r="E99" s="88"/>
      <x:c r="F99" s="88"/>
      <x:c r="G99" s="88"/>
      <x:c r="H99" s="86"/>
      <x:c r="I99" s="85"/>
      <x:c r="J99" s="85"/>
      <x:c r="K99" s="85"/>
      <x:c r="L99" s="85"/>
      <x:c r="M99" s="85"/>
      <x:c r="N99" s="85"/>
      <x:c r="O99" s="85"/>
      <x:c r="P99" s="85"/>
      <x:c r="Q99" s="85"/>
      <x:c r="R99" s="85"/>
      <x:c r="S99" s="85"/>
      <x:c r="T99" s="85"/>
      <x:c r="U99" s="85"/>
      <x:c r="V99" s="85"/>
      <x:c r="W99" s="85"/>
      <x:c r="X99" s="85"/>
      <x:c r="Y99" s="85"/>
      <x:c r="Z99" s="85"/>
      <x:c r="AA99" s="85"/>
      <x:c r="AB99" s="85"/>
      <x:c r="AC99" s="85"/>
      <x:c r="AD99" s="85"/>
      <x:c r="AE99" s="85"/>
      <x:c r="AF99" s="85"/>
      <x:c r="AG99" s="85"/>
      <x:c r="AH99" s="85"/>
      <x:c r="AI99" s="85"/>
      <x:c r="AJ99" s="85"/>
    </x:row>
    <x:row r="100">
      <x:c r="A100" s="86"/>
      <x:c r="B100" s="86"/>
      <x:c r="C100" s="86"/>
      <x:c r="D100" s="88"/>
      <x:c r="E100" s="88"/>
      <x:c r="F100" s="88"/>
      <x:c r="G100" s="88"/>
      <x:c r="H100" s="86"/>
      <x:c r="I100" s="85"/>
      <x:c r="J100" s="85"/>
      <x:c r="K100" s="85"/>
      <x:c r="L100" s="85"/>
      <x:c r="M100" s="85"/>
      <x:c r="N100" s="85"/>
      <x:c r="O100" s="85"/>
      <x:c r="P100" s="85"/>
      <x:c r="Q100" s="85"/>
      <x:c r="R100" s="85"/>
      <x:c r="S100" s="85"/>
      <x:c r="T100" s="85"/>
      <x:c r="U100" s="85"/>
      <x:c r="V100" s="85"/>
      <x:c r="W100" s="85"/>
      <x:c r="X100" s="85"/>
      <x:c r="Y100" s="85"/>
      <x:c r="Z100" s="85"/>
      <x:c r="AA100" s="85"/>
      <x:c r="AB100" s="85"/>
      <x:c r="AC100" s="85"/>
      <x:c r="AD100" s="85"/>
      <x:c r="AE100" s="85"/>
      <x:c r="AF100" s="85"/>
      <x:c r="AG100" s="85"/>
      <x:c r="AH100" s="85"/>
      <x:c r="AI100" s="85"/>
      <x:c r="AJ100" s="85"/>
    </x:row>
    <x:row r="101">
      <x:c r="A101" s="86"/>
      <x:c r="B101" s="86"/>
      <x:c r="C101" s="86"/>
      <x:c r="D101" s="88"/>
      <x:c r="E101" s="88"/>
      <x:c r="F101" s="88"/>
      <x:c r="G101" s="88"/>
      <x:c r="H101" s="86"/>
      <x:c r="I101" s="85"/>
      <x:c r="J101" s="85"/>
      <x:c r="K101" s="85"/>
      <x:c r="L101" s="85"/>
      <x:c r="M101" s="85"/>
      <x:c r="N101" s="85"/>
      <x:c r="O101" s="85"/>
      <x:c r="P101" s="85"/>
      <x:c r="Q101" s="85"/>
      <x:c r="R101" s="85"/>
      <x:c r="S101" s="85"/>
      <x:c r="T101" s="85"/>
      <x:c r="U101" s="85"/>
      <x:c r="V101" s="85"/>
      <x:c r="W101" s="85"/>
      <x:c r="X101" s="85"/>
      <x:c r="Y101" s="85"/>
      <x:c r="Z101" s="85"/>
      <x:c r="AA101" s="85"/>
      <x:c r="AB101" s="85"/>
      <x:c r="AC101" s="85"/>
      <x:c r="AD101" s="85"/>
      <x:c r="AE101" s="85"/>
      <x:c r="AF101" s="85"/>
      <x:c r="AG101" s="85"/>
      <x:c r="AH101" s="85"/>
      <x:c r="AI101" s="85"/>
      <x:c r="AJ101" s="85"/>
    </x:row>
    <x:row r="102">
      <x:c r="A102" s="86"/>
      <x:c r="B102" s="86"/>
      <x:c r="C102" s="86"/>
      <x:c r="D102" s="88"/>
      <x:c r="E102" s="88"/>
      <x:c r="F102" s="88"/>
      <x:c r="G102" s="88"/>
      <x:c r="H102" s="86"/>
      <x:c r="I102" s="85"/>
      <x:c r="J102" s="85"/>
      <x:c r="K102" s="85"/>
      <x:c r="L102" s="85"/>
      <x:c r="M102" s="85"/>
      <x:c r="N102" s="85"/>
      <x:c r="O102" s="85"/>
      <x:c r="P102" s="85"/>
      <x:c r="Q102" s="85"/>
      <x:c r="R102" s="85"/>
      <x:c r="S102" s="85"/>
      <x:c r="T102" s="85"/>
      <x:c r="U102" s="85"/>
      <x:c r="V102" s="85"/>
      <x:c r="W102" s="85"/>
      <x:c r="X102" s="85"/>
      <x:c r="Y102" s="85"/>
      <x:c r="Z102" s="85"/>
      <x:c r="AA102" s="85"/>
      <x:c r="AB102" s="85"/>
      <x:c r="AC102" s="85"/>
      <x:c r="AD102" s="85"/>
      <x:c r="AE102" s="85"/>
      <x:c r="AF102" s="85"/>
      <x:c r="AG102" s="85"/>
      <x:c r="AH102" s="85"/>
      <x:c r="AI102" s="85"/>
      <x:c r="AJ102" s="85"/>
    </x:row>
    <x:row r="103">
      <x:c r="A103" s="86"/>
      <x:c r="B103" s="86"/>
      <x:c r="C103" s="86"/>
      <x:c r="D103" s="88"/>
      <x:c r="E103" s="88"/>
      <x:c r="F103" s="88"/>
      <x:c r="G103" s="88"/>
      <x:c r="H103" s="86"/>
      <x:c r="I103" s="85"/>
      <x:c r="J103" s="85"/>
      <x:c r="K103" s="85"/>
      <x:c r="L103" s="85"/>
      <x:c r="M103" s="85"/>
      <x:c r="N103" s="85"/>
      <x:c r="O103" s="85"/>
      <x:c r="P103" s="85"/>
      <x:c r="Q103" s="85"/>
      <x:c r="R103" s="85"/>
      <x:c r="S103" s="85"/>
      <x:c r="T103" s="85"/>
      <x:c r="U103" s="85"/>
      <x:c r="V103" s="85"/>
      <x:c r="W103" s="85"/>
      <x:c r="X103" s="85"/>
      <x:c r="Y103" s="85"/>
      <x:c r="Z103" s="85"/>
      <x:c r="AA103" s="85"/>
      <x:c r="AB103" s="85"/>
      <x:c r="AC103" s="85"/>
      <x:c r="AD103" s="85"/>
      <x:c r="AE103" s="85"/>
      <x:c r="AF103" s="85"/>
      <x:c r="AG103" s="85"/>
      <x:c r="AH103" s="85"/>
      <x:c r="AI103" s="85"/>
      <x:c r="AJ103" s="85"/>
    </x:row>
  </x:sheetData>
  <x:conditionalFormatting sqref="M4:M103">
    <x:cfRule type="expression" dxfId="6" priority="1">
      <x:formula>M4="Conferido"</x:formula>
    </x:cfRule>
    <x:cfRule type="expression" dxfId="7" priority="2">
      <x:formula>M4="Em conferência"</x:formula>
    </x:cfRule>
  </x:conditionalFormatting>
  <x:dataValidations count="1">
    <x:dataValidation type="list" sqref="M4:M103">
      <x:formula1>"Provisionado,Em conferência,Conferido,Pago"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20" hidden="0" customWidth="1"/>
    <x:col min="9" max="9" width="16" hidden="0" customWidth="1"/>
    <x:col min="10" max="10" width="14" hidden="0" customWidth="1"/>
    <x:col min="11" max="11" width="17" hidden="0" customWidth="1"/>
    <x:col min="12" max="12" width="13" hidden="0" customWidth="1"/>
    <x:col min="13" max="13" width="14" hidden="0" customWidth="1"/>
    <x:col min="14" max="14" width="14" hidden="0" customWidth="1"/>
    <x:col min="15" max="15" width="13" hidden="0" customWidth="1"/>
    <x:col min="16" max="16" width="16" hidden="0" customWidth="1"/>
    <x:col min="17" max="17" width="14" hidden="0" customWidth="1"/>
    <x:col min="18" max="18" width="28" hidden="0" customWidth="1"/>
  </x:cols>
  <x:sheetData>
    <x:row r="1">
      <x:c r="A1" s="107" t="str">
        <x:v>HISTÓRICO E CONFERÊNCIA DE RESCISÕES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7"/>
      <x:c r="P1" s="107"/>
      <x:c r="Q1" s="107"/>
      <x:c r="R1" s="107"/>
      <x:c r="S1" s="85"/>
      <x:c r="T1" s="85"/>
      <x:c r="U1" s="85"/>
      <x:c r="V1" s="85"/>
      <x:c r="W1" s="85"/>
      <x:c r="X1" s="85"/>
      <x:c r="Y1" s="85"/>
      <x:c r="Z1" s="85"/>
      <x:c r="AA1" s="85"/>
      <x:c r="AB1" s="85"/>
      <x:c r="AC1" s="85"/>
      <x:c r="AD1" s="85"/>
      <x:c r="AE1" s="85"/>
      <x:c r="AF1" s="85"/>
      <x:c r="AG1" s="85"/>
      <x:c r="AH1" s="85"/>
      <x:c r="AI1" s="85"/>
      <x:c r="AJ1" s="85"/>
    </x:row>
    <x:row r="2">
      <x:c r="A2" s="85"/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  <x:c r="AA2" s="85"/>
      <x:c r="AB2" s="85"/>
      <x:c r="AC2" s="85"/>
      <x:c r="AD2" s="85"/>
      <x:c r="AE2" s="85"/>
      <x:c r="AF2" s="85"/>
      <x:c r="AG2" s="85"/>
      <x:c r="AH2" s="85"/>
      <x:c r="AI2" s="85"/>
      <x:c r="AJ2" s="85"/>
    </x:row>
    <x:row r="3">
      <x:c r="A3" s="117" t="str">
        <x:v>Matrícula</x:v>
      </x:c>
      <x:c r="B3" s="117" t="str">
        <x:v>Nome</x:v>
      </x:c>
      <x:c r="C3" s="117" t="str">
        <x:v>Cargo</x:v>
      </x:c>
      <x:c r="D3" s="117" t="str">
        <x:v>Departamento</x:v>
      </x:c>
      <x:c r="E3" s="117" t="str">
        <x:v>Data Admissão</x:v>
      </x:c>
      <x:c r="F3" s="117" t="str">
        <x:v>Data Desligamento</x:v>
      </x:c>
      <x:c r="G3" s="117" t="str">
        <x:v>Tempo de Casa (anos)</x:v>
      </x:c>
      <x:c r="H3" s="117" t="str">
        <x:v>Motivo</x:v>
      </x:c>
      <x:c r="I3" s="117" t="str">
        <x:v>Aviso Prévio</x:v>
      </x:c>
      <x:c r="J3" s="117" t="str">
        <x:v>Saldo Salário</x:v>
      </x:c>
      <x:c r="K3" s="117" t="str">
        <x:v>Férias Venc./Prop.</x:v>
      </x:c>
      <x:c r="L3" s="117" t="str">
        <x:v>13º Prop.</x:v>
      </x:c>
      <x:c r="M3" s="117" t="str">
        <x:v>Multa FGTS</x:v>
      </x:c>
      <x:c r="N3" s="117" t="str">
        <x:v>Outras Verbas</x:v>
      </x:c>
      <x:c r="O3" s="117" t="str">
        <x:v>Descontos</x:v>
      </x:c>
      <x:c r="P3" s="117" t="str">
        <x:v>Valor Rescisão</x:v>
      </x:c>
      <x:c r="Q3" s="117" t="str">
        <x:v>Status</x:v>
      </x:c>
      <x:c r="R3" s="117" t="str">
        <x:v>Observação</x:v>
      </x:c>
      <x:c r="S3" s="85"/>
      <x:c r="T3" s="85"/>
      <x:c r="U3" s="85"/>
      <x:c r="V3" s="85"/>
      <x:c r="W3" s="85"/>
      <x:c r="X3" s="85"/>
      <x:c r="Y3" s="85"/>
      <x:c r="Z3" s="85"/>
      <x:c r="AA3" s="85"/>
      <x:c r="AB3" s="85"/>
      <x:c r="AC3" s="85"/>
      <x:c r="AD3" s="85"/>
      <x:c r="AE3" s="85"/>
      <x:c r="AF3" s="85"/>
      <x:c r="AG3" s="85"/>
      <x:c r="AH3" s="85"/>
      <x:c r="AI3" s="85"/>
      <x:c r="AJ3" s="85"/>
    </x:row>
    <x:row r="4">
      <x:c r="A4" s="118" t="n">
        <x:v>9001</x:v>
      </x:c>
      <x:c r="B4" s="118" t="str">
        <x:v>André Carvalho</x:v>
      </x:c>
      <x:c r="C4" s="119" t="str">
        <x:v>Consultor de Vendas</x:v>
      </x:c>
      <x:c r="D4" s="118" t="str">
        <x:v>Comercial</x:v>
      </x:c>
      <x:c r="E4" s="119" t="n">
        <x:v>42401</x:v>
      </x:c>
      <x:c r="F4" s="119" t="n">
        <x:v>43238</x:v>
      </x:c>
      <x:c r="G4" s="123" t="n">
        <x:v>2.3</x:v>
      </x:c>
      <x:c r="H4" s="123" t="str">
        <x:v>Pedido de demissão</x:v>
      </x:c>
      <x:c r="I4" s="122" t="str">
        <x:v>Trabalhado</x:v>
      </x:c>
      <x:c r="J4" s="121" t="n">
        <x:v>2100</x:v>
      </x:c>
      <x:c r="K4" s="121" t="n">
        <x:v>3850</x:v>
      </x:c>
      <x:c r="L4" s="121" t="n">
        <x:v>1750</x:v>
      </x:c>
      <x:c r="M4" s="121" t="n">
        <x:v>0</x:v>
      </x:c>
      <x:c r="N4" s="121" t="n">
        <x:v>300</x:v>
      </x:c>
      <x:c r="O4" s="121" t="n">
        <x:v>-850</x:v>
      </x:c>
      <x:c r="P4" s="121" t="n">
        <x:v>7150</x:v>
      </x:c>
      <x:c r="Q4" s="122" t="str">
        <x:v>Conferida</x:v>
      </x:c>
      <x:c r="R4" s="122" t="str">
        <x:v>Histórico início da empresa</x:v>
      </x:c>
      <x:c r="S4" s="85"/>
      <x:c r="T4" s="85"/>
      <x:c r="U4" s="85"/>
      <x:c r="V4" s="85"/>
      <x:c r="W4" s="85"/>
      <x:c r="X4" s="85"/>
      <x:c r="Y4" s="85"/>
      <x:c r="Z4" s="85"/>
      <x:c r="AA4" s="85"/>
      <x:c r="AB4" s="85"/>
      <x:c r="AC4" s="85"/>
      <x:c r="AD4" s="85"/>
      <x:c r="AE4" s="85"/>
      <x:c r="AF4" s="85"/>
      <x:c r="AG4" s="85"/>
      <x:c r="AH4" s="85"/>
      <x:c r="AI4" s="85"/>
      <x:c r="AJ4" s="85"/>
    </x:row>
    <x:row r="5">
      <x:c r="A5" s="118" t="n">
        <x:v>9002</x:v>
      </x:c>
      <x:c r="B5" s="118" t="str">
        <x:v>Sandra Lopes</x:v>
      </x:c>
      <x:c r="C5" s="119" t="str">
        <x:v>Assistente Administrativo</x:v>
      </x:c>
      <x:c r="D5" s="118" t="str">
        <x:v>Administrativo</x:v>
      </x:c>
      <x:c r="E5" s="119" t="n">
        <x:v>42471</x:v>
      </x:c>
      <x:c r="F5" s="119" t="n">
        <x:v>43798</x:v>
      </x:c>
      <x:c r="G5" s="123" t="n">
        <x:v>3.6</x:v>
      </x:c>
      <x:c r="H5" s="123" t="str">
        <x:v>Sem justa causa</x:v>
      </x:c>
      <x:c r="I5" s="122" t="str">
        <x:v>Indenizado</x:v>
      </x:c>
      <x:c r="J5" s="121" t="n">
        <x:v>1850</x:v>
      </x:c>
      <x:c r="K5" s="121" t="n">
        <x:v>4200</x:v>
      </x:c>
      <x:c r="L5" s="121" t="n">
        <x:v>2100</x:v>
      </x:c>
      <x:c r="M5" s="121" t="n">
        <x:v>5200</x:v>
      </x:c>
      <x:c r="N5" s="121" t="n">
        <x:v>450</x:v>
      </x:c>
      <x:c r="O5" s="121" t="n">
        <x:v>-900</x:v>
      </x:c>
      <x:c r="P5" s="121" t="n">
        <x:v>12900</x:v>
      </x:c>
      <x:c r="Q5" s="122" t="str">
        <x:v>Conferida</x:v>
      </x:c>
      <x:c r="R5" s="122" t="str"/>
      <x:c r="S5" s="85"/>
      <x:c r="T5" s="85"/>
      <x:c r="U5" s="85"/>
      <x:c r="V5" s="85"/>
      <x:c r="W5" s="85"/>
      <x:c r="X5" s="85"/>
      <x:c r="Y5" s="85"/>
      <x:c r="Z5" s="85"/>
      <x:c r="AA5" s="85"/>
      <x:c r="AB5" s="85"/>
      <x:c r="AC5" s="85"/>
      <x:c r="AD5" s="85"/>
      <x:c r="AE5" s="85"/>
      <x:c r="AF5" s="85"/>
      <x:c r="AG5" s="85"/>
      <x:c r="AH5" s="85"/>
      <x:c r="AI5" s="85"/>
      <x:c r="AJ5" s="85"/>
    </x:row>
    <x:row r="6">
      <x:c r="A6" s="118" t="n">
        <x:v>9003</x:v>
      </x:c>
      <x:c r="B6" s="118" t="str">
        <x:v>Rodrigo Teixeira</x:v>
      </x:c>
      <x:c r="C6" s="119" t="str">
        <x:v>Consultor de Vendas</x:v>
      </x:c>
      <x:c r="D6" s="118" t="str">
        <x:v>Comercial</x:v>
      </x:c>
      <x:c r="E6" s="119" t="n">
        <x:v>42555</x:v>
      </x:c>
      <x:c r="F6" s="119" t="n">
        <x:v>44057</x:v>
      </x:c>
      <x:c r="G6" s="123" t="n">
        <x:v>4.1</x:v>
      </x:c>
      <x:c r="H6" s="123" t="str">
        <x:v>Pedido de demissão</x:v>
      </x:c>
      <x:c r="I6" s="122" t="str">
        <x:v>Trabalhado</x:v>
      </x:c>
      <x:c r="J6" s="121" t="n">
        <x:v>2300</x:v>
      </x:c>
      <x:c r="K6" s="121" t="n">
        <x:v>5100</x:v>
      </x:c>
      <x:c r="L6" s="121" t="n">
        <x:v>3200</x:v>
      </x:c>
      <x:c r="M6" s="121" t="n">
        <x:v>0</x:v>
      </x:c>
      <x:c r="N6" s="121" t="n">
        <x:v>650</x:v>
      </x:c>
      <x:c r="O6" s="121" t="n">
        <x:v>-1200</x:v>
      </x:c>
      <x:c r="P6" s="121" t="n">
        <x:v>10050</x:v>
      </x:c>
      <x:c r="Q6" s="122" t="str">
        <x:v>Conferida</x:v>
      </x:c>
      <x:c r="R6" s="122" t="str"/>
      <x:c r="S6" s="85"/>
      <x:c r="T6" s="85"/>
      <x:c r="U6" s="85"/>
      <x:c r="V6" s="85"/>
      <x:c r="W6" s="85"/>
      <x:c r="X6" s="85"/>
      <x:c r="Y6" s="85"/>
      <x:c r="Z6" s="85"/>
      <x:c r="AA6" s="85"/>
      <x:c r="AB6" s="85"/>
      <x:c r="AC6" s="85"/>
      <x:c r="AD6" s="85"/>
      <x:c r="AE6" s="85"/>
      <x:c r="AF6" s="85"/>
      <x:c r="AG6" s="85"/>
      <x:c r="AH6" s="85"/>
      <x:c r="AI6" s="85"/>
      <x:c r="AJ6" s="85"/>
    </x:row>
    <x:row r="7">
      <x:c r="A7" s="118" t="n">
        <x:v>9004</x:v>
      </x:c>
      <x:c r="B7" s="118" t="str">
        <x:v>Vanessa Moura</x:v>
      </x:c>
      <x:c r="C7" s="119" t="str">
        <x:v>Analista de Marketing</x:v>
      </x:c>
      <x:c r="D7" s="118" t="str">
        <x:v>Marketing</x:v>
      </x:c>
      <x:c r="E7" s="119" t="n">
        <x:v>42814</x:v>
      </x:c>
      <x:c r="F7" s="119" t="n">
        <x:v>44253</x:v>
      </x:c>
      <x:c r="G7" s="123" t="n">
        <x:v>3.9</x:v>
      </x:c>
      <x:c r="H7" s="123" t="str">
        <x:v>Sem justa causa</x:v>
      </x:c>
      <x:c r="I7" s="122" t="str">
        <x:v>Indenizado</x:v>
      </x:c>
      <x:c r="J7" s="121" t="n">
        <x:v>2600</x:v>
      </x:c>
      <x:c r="K7" s="121" t="n">
        <x:v>5900</x:v>
      </x:c>
      <x:c r="L7" s="121" t="n">
        <x:v>2800</x:v>
      </x:c>
      <x:c r="M7" s="121" t="n">
        <x:v>6300</x:v>
      </x:c>
      <x:c r="N7" s="121" t="n">
        <x:v>900</x:v>
      </x:c>
      <x:c r="O7" s="121" t="n">
        <x:v>-1250</x:v>
      </x:c>
      <x:c r="P7" s="121" t="n">
        <x:v>17250</x:v>
      </x:c>
      <x:c r="Q7" s="122" t="str">
        <x:v>Conferida</x:v>
      </x:c>
      <x:c r="R7" s="122" t="str"/>
      <x:c r="S7" s="85"/>
      <x:c r="T7" s="85"/>
      <x:c r="U7" s="85"/>
      <x:c r="V7" s="85"/>
      <x:c r="W7" s="85"/>
      <x:c r="X7" s="85"/>
      <x:c r="Y7" s="85"/>
      <x:c r="Z7" s="85"/>
      <x:c r="AA7" s="85"/>
      <x:c r="AB7" s="85"/>
      <x:c r="AC7" s="85"/>
      <x:c r="AD7" s="85"/>
      <x:c r="AE7" s="85"/>
      <x:c r="AF7" s="85"/>
      <x:c r="AG7" s="85"/>
      <x:c r="AH7" s="85"/>
      <x:c r="AI7" s="85"/>
      <x:c r="AJ7" s="85"/>
    </x:row>
    <x:row r="8">
      <x:c r="A8" s="118" t="n">
        <x:v>9005</x:v>
      </x:c>
      <x:c r="B8" s="118" t="str">
        <x:v>Carlos Henrique</x:v>
      </x:c>
      <x:c r="C8" s="119" t="str">
        <x:v>Supervisor de Vendas</x:v>
      </x:c>
      <x:c r="D8" s="118" t="str">
        <x:v>Comercial</x:v>
      </x:c>
      <x:c r="E8" s="119" t="n">
        <x:v>42989</x:v>
      </x:c>
      <x:c r="F8" s="119" t="n">
        <x:v>44722</x:v>
      </x:c>
      <x:c r="G8" s="123" t="n">
        <x:v>4.8</x:v>
      </x:c>
      <x:c r="H8" s="123" t="str">
        <x:v>Sem justa causa</x:v>
      </x:c>
      <x:c r="I8" s="122" t="str">
        <x:v>Indenizado</x:v>
      </x:c>
      <x:c r="J8" s="121" t="n">
        <x:v>4300</x:v>
      </x:c>
      <x:c r="K8" s="121" t="n">
        <x:v>8900</x:v>
      </x:c>
      <x:c r="L8" s="121" t="n">
        <x:v>4900</x:v>
      </x:c>
      <x:c r="M8" s="121" t="n">
        <x:v>9800</x:v>
      </x:c>
      <x:c r="N8" s="121" t="n">
        <x:v>1300</x:v>
      </x:c>
      <x:c r="O8" s="121" t="n">
        <x:v>-2100</x:v>
      </x:c>
      <x:c r="P8" s="121" t="n">
        <x:v>27100</x:v>
      </x:c>
      <x:c r="Q8" s="122" t="str">
        <x:v>Conferida</x:v>
      </x:c>
      <x:c r="R8" s="122" t="str">
        <x:v>Longo tempo de casa</x:v>
      </x:c>
      <x:c r="S8" s="85"/>
      <x:c r="T8" s="85"/>
      <x:c r="U8" s="85"/>
      <x:c r="V8" s="85"/>
      <x:c r="W8" s="85"/>
      <x:c r="X8" s="85"/>
      <x:c r="Y8" s="85"/>
      <x:c r="Z8" s="85"/>
      <x:c r="AA8" s="85"/>
      <x:c r="AB8" s="85"/>
      <x:c r="AC8" s="85"/>
      <x:c r="AD8" s="85"/>
      <x:c r="AE8" s="85"/>
      <x:c r="AF8" s="85"/>
      <x:c r="AG8" s="85"/>
      <x:c r="AH8" s="85"/>
      <x:c r="AI8" s="85"/>
      <x:c r="AJ8" s="85"/>
    </x:row>
    <x:row r="9">
      <x:c r="A9" s="118" t="n">
        <x:v>9006</x:v>
      </x:c>
      <x:c r="B9" s="118" t="str">
        <x:v>Priscila Monteiro</x:v>
      </x:c>
      <x:c r="C9" s="119" t="str">
        <x:v>Analista Financeiro</x:v>
      </x:c>
      <x:c r="D9" s="118" t="str">
        <x:v>Financeiro</x:v>
      </x:c>
      <x:c r="E9" s="119" t="n">
        <x:v>43115</x:v>
      </x:c>
      <x:c r="F9" s="119" t="n">
        <x:v>45044</x:v>
      </x:c>
      <x:c r="G9" s="123" t="n">
        <x:v>5.3</x:v>
      </x:c>
      <x:c r="H9" s="123" t="str">
        <x:v>Pedido de demissão</x:v>
      </x:c>
      <x:c r="I9" s="122" t="str">
        <x:v>Trabalhado</x:v>
      </x:c>
      <x:c r="J9" s="121" t="n">
        <x:v>3100</x:v>
      </x:c>
      <x:c r="K9" s="121" t="n">
        <x:v>7200</x:v>
      </x:c>
      <x:c r="L9" s="121" t="n">
        <x:v>3900</x:v>
      </x:c>
      <x:c r="M9" s="121" t="n">
        <x:v>0</x:v>
      </x:c>
      <x:c r="N9" s="121" t="n">
        <x:v>700</x:v>
      </x:c>
      <x:c r="O9" s="121" t="n">
        <x:v>-1450</x:v>
      </x:c>
      <x:c r="P9" s="121" t="n">
        <x:v>13450</x:v>
      </x:c>
      <x:c r="Q9" s="122" t="str">
        <x:v>Conferida</x:v>
      </x:c>
      <x:c r="R9" s="122" t="str"/>
      <x:c r="S9" s="85"/>
      <x:c r="T9" s="85"/>
      <x:c r="U9" s="85"/>
      <x:c r="V9" s="85"/>
      <x:c r="W9" s="85"/>
      <x:c r="X9" s="85"/>
      <x:c r="Y9" s="85"/>
      <x:c r="Z9" s="85"/>
      <x:c r="AA9" s="85"/>
      <x:c r="AB9" s="85"/>
      <x:c r="AC9" s="85"/>
      <x:c r="AD9" s="85"/>
      <x:c r="AE9" s="85"/>
      <x:c r="AF9" s="85"/>
      <x:c r="AG9" s="85"/>
      <x:c r="AH9" s="85"/>
      <x:c r="AI9" s="85"/>
      <x:c r="AJ9" s="85"/>
    </x:row>
    <x:row r="10">
      <x:c r="A10" s="118" t="n">
        <x:v>9007</x:v>
      </x:c>
      <x:c r="B10" s="118" t="str">
        <x:v>Henrique Azevedo</x:v>
      </x:c>
      <x:c r="C10" s="119" t="str">
        <x:v>Consultor de Vendas</x:v>
      </x:c>
      <x:c r="D10" s="118" t="str">
        <x:v>Comercial</x:v>
      </x:c>
      <x:c r="E10" s="119" t="n">
        <x:v>43269</x:v>
      </x:c>
      <x:c r="F10" s="119" t="n">
        <x:v>45303</x:v>
      </x:c>
      <x:c r="G10" s="123" t="n">
        <x:v>5.6</x:v>
      </x:c>
      <x:c r="H10" s="123" t="str">
        <x:v>Sem justa causa</x:v>
      </x:c>
      <x:c r="I10" s="122" t="str">
        <x:v>Indenizado</x:v>
      </x:c>
      <x:c r="J10" s="121" t="n">
        <x:v>3400</x:v>
      </x:c>
      <x:c r="K10" s="121" t="n">
        <x:v>7700</x:v>
      </x:c>
      <x:c r="L10" s="121" t="n">
        <x:v>4200</x:v>
      </x:c>
      <x:c r="M10" s="121" t="n">
        <x:v>11200</x:v>
      </x:c>
      <x:c r="N10" s="121" t="n">
        <x:v>1000</x:v>
      </x:c>
      <x:c r="O10" s="121" t="n">
        <x:v>-1900</x:v>
      </x:c>
      <x:c r="P10" s="121" t="n">
        <x:v>25600</x:v>
      </x:c>
      <x:c r="Q10" s="122" t="str">
        <x:v>Conferida</x:v>
      </x:c>
      <x:c r="R10" s="122" t="str">
        <x:v>Histórico de alta comissão</x:v>
      </x:c>
      <x:c r="S10" s="85"/>
      <x:c r="T10" s="85"/>
      <x:c r="U10" s="85"/>
      <x:c r="V10" s="85"/>
      <x:c r="W10" s="85"/>
      <x:c r="X10" s="85"/>
      <x:c r="Y10" s="85"/>
      <x:c r="Z10" s="85"/>
      <x:c r="AA10" s="85"/>
      <x:c r="AB10" s="85"/>
      <x:c r="AC10" s="85"/>
      <x:c r="AD10" s="85"/>
      <x:c r="AE10" s="85"/>
      <x:c r="AF10" s="85"/>
      <x:c r="AG10" s="85"/>
      <x:c r="AH10" s="85"/>
      <x:c r="AI10" s="85"/>
      <x:c r="AJ10" s="85"/>
    </x:row>
    <x:row r="11">
      <x:c r="A11" s="118" t="n">
        <x:v>9008</x:v>
      </x:c>
      <x:c r="B11" s="118" t="str">
        <x:v>Tatiane Martins</x:v>
      </x:c>
      <x:c r="C11" s="119" t="str">
        <x:v>Coordenadora de Pós-venda</x:v>
      </x:c>
      <x:c r="D11" s="118" t="str">
        <x:v>Pós-venda</x:v>
      </x:c>
      <x:c r="E11" s="119" t="n">
        <x:v>43500</x:v>
      </x:c>
      <x:c r="F11" s="119" t="n">
        <x:v>45590</x:v>
      </x:c>
      <x:c r="G11" s="123" t="n">
        <x:v>5.7</x:v>
      </x:c>
      <x:c r="H11" s="123" t="str">
        <x:v>Pedido de demissão</x:v>
      </x:c>
      <x:c r="I11" s="122" t="str">
        <x:v>Trabalhado</x:v>
      </x:c>
      <x:c r="J11" s="121" t="n">
        <x:v>3600</x:v>
      </x:c>
      <x:c r="K11" s="121" t="n">
        <x:v>8200</x:v>
      </x:c>
      <x:c r="L11" s="121" t="n">
        <x:v>4500</x:v>
      </x:c>
      <x:c r="M11" s="121" t="n">
        <x:v>0</x:v>
      </x:c>
      <x:c r="N11" s="121" t="n">
        <x:v>950</x:v>
      </x:c>
      <x:c r="O11" s="121" t="n">
        <x:v>-1700</x:v>
      </x:c>
      <x:c r="P11" s="121" t="n">
        <x:v>15550</x:v>
      </x:c>
      <x:c r="Q11" s="122" t="str">
        <x:v>Conferida</x:v>
      </x:c>
      <x:c r="R11" s="122" t="str"/>
      <x:c r="S11" s="85"/>
      <x:c r="T11" s="85"/>
      <x:c r="U11" s="85"/>
      <x:c r="V11" s="85"/>
      <x:c r="W11" s="85"/>
      <x:c r="X11" s="85"/>
      <x:c r="Y11" s="85"/>
      <x:c r="Z11" s="85"/>
      <x:c r="AA11" s="85"/>
      <x:c r="AB11" s="85"/>
      <x:c r="AC11" s="85"/>
      <x:c r="AD11" s="85"/>
      <x:c r="AE11" s="85"/>
      <x:c r="AF11" s="85"/>
      <x:c r="AG11" s="85"/>
      <x:c r="AH11" s="85"/>
      <x:c r="AI11" s="85"/>
      <x:c r="AJ11" s="85"/>
    </x:row>
    <x:row r="12">
      <x:c r="A12" s="118" t="n">
        <x:v>9009</x:v>
      </x:c>
      <x:c r="B12" s="118" t="str">
        <x:v>Leandro Dias</x:v>
      </x:c>
      <x:c r="C12" s="119" t="str">
        <x:v>Consultor de Vendas</x:v>
      </x:c>
      <x:c r="D12" s="118" t="str">
        <x:v>Comercial</x:v>
      </x:c>
      <x:c r="E12" s="119" t="n">
        <x:v>43962</x:v>
      </x:c>
      <x:c r="F12" s="119" t="n">
        <x:v>45842</x:v>
      </x:c>
      <x:c r="G12" s="123" t="n">
        <x:v>5.1</x:v>
      </x:c>
      <x:c r="H12" s="123" t="str">
        <x:v>Sem justa causa</x:v>
      </x:c>
      <x:c r="I12" s="122" t="str">
        <x:v>Indenizado</x:v>
      </x:c>
      <x:c r="J12" s="121" t="n">
        <x:v>3250</x:v>
      </x:c>
      <x:c r="K12" s="121" t="n">
        <x:v>7600</x:v>
      </x:c>
      <x:c r="L12" s="121" t="n">
        <x:v>4100</x:v>
      </x:c>
      <x:c r="M12" s="121" t="n">
        <x:v>9800</x:v>
      </x:c>
      <x:c r="N12" s="121" t="n">
        <x:v>1100</x:v>
      </x:c>
      <x:c r="O12" s="121" t="n">
        <x:v>-1800</x:v>
      </x:c>
      <x:c r="P12" s="121" t="n">
        <x:v>24050</x:v>
      </x:c>
      <x:c r="Q12" s="122" t="str">
        <x:v>Conferida</x:v>
      </x:c>
      <x:c r="R12" s="122" t="str"/>
      <x:c r="S12" s="85"/>
      <x:c r="T12" s="85"/>
      <x:c r="U12" s="85"/>
      <x:c r="V12" s="85"/>
      <x:c r="W12" s="85"/>
      <x:c r="X12" s="85"/>
      <x:c r="Y12" s="85"/>
      <x:c r="Z12" s="85"/>
      <x:c r="AA12" s="85"/>
      <x:c r="AB12" s="85"/>
      <x:c r="AC12" s="85"/>
      <x:c r="AD12" s="85"/>
      <x:c r="AE12" s="85"/>
      <x:c r="AF12" s="85"/>
      <x:c r="AG12" s="85"/>
      <x:c r="AH12" s="85"/>
      <x:c r="AI12" s="85"/>
      <x:c r="AJ12" s="85"/>
    </x:row>
    <x:row r="13">
      <x:c r="A13" s="118" t="n">
        <x:v>9010</x:v>
      </x:c>
      <x:c r="B13" s="118" t="str">
        <x:v>Monica Tavares</x:v>
      </x:c>
      <x:c r="C13" s="119" t="str">
        <x:v>Assistente de RH</x:v>
      </x:c>
      <x:c r="D13" s="118" t="str">
        <x:v>RH</x:v>
      </x:c>
      <x:c r="E13" s="119" t="n">
        <x:v>44221</x:v>
      </x:c>
      <x:c r="F13" s="119" t="n">
        <x:v>46129</x:v>
      </x:c>
      <x:c r="G13" s="123" t="n">
        <x:v>5.2</x:v>
      </x:c>
      <x:c r="H13" s="123" t="str">
        <x:v>Sem justa causa</x:v>
      </x:c>
      <x:c r="I13" s="122" t="str">
        <x:v>Indenizado</x:v>
      </x:c>
      <x:c r="J13" s="121" t="n">
        <x:v>2900</x:v>
      </x:c>
      <x:c r="K13" s="121" t="n">
        <x:v>6900</x:v>
      </x:c>
      <x:c r="L13" s="121" t="n">
        <x:v>3500</x:v>
      </x:c>
      <x:c r="M13" s="121" t="n">
        <x:v>7600</x:v>
      </x:c>
      <x:c r="N13" s="121" t="n">
        <x:v>800</x:v>
      </x:c>
      <x:c r="O13" s="121" t="n">
        <x:v>-1500</x:v>
      </x:c>
      <x:c r="P13" s="121" t="n">
        <x:v>20200</x:v>
      </x:c>
      <x:c r="Q13" s="122" t="str">
        <x:v>Em auditoria</x:v>
      </x:c>
      <x:c r="R13" s="122" t="str">
        <x:v>Conferir férias proporcionais</x:v>
      </x:c>
      <x:c r="S13" s="85"/>
      <x:c r="T13" s="85"/>
      <x:c r="U13" s="85"/>
      <x:c r="V13" s="85"/>
      <x:c r="W13" s="85"/>
      <x:c r="X13" s="85"/>
      <x:c r="Y13" s="85"/>
      <x:c r="Z13" s="85"/>
      <x:c r="AA13" s="85"/>
      <x:c r="AB13" s="85"/>
      <x:c r="AC13" s="85"/>
      <x:c r="AD13" s="85"/>
      <x:c r="AE13" s="85"/>
      <x:c r="AF13" s="85"/>
      <x:c r="AG13" s="85"/>
      <x:c r="AH13" s="85"/>
      <x:c r="AI13" s="85"/>
      <x:c r="AJ13" s="85"/>
    </x:row>
    <x:row r="14">
      <x:c r="A14" s="118" t="n">
        <x:v>9011</x:v>
      </x:c>
      <x:c r="B14" s="118" t="str">
        <x:v>Paulo Mendes</x:v>
      </x:c>
      <x:c r="C14" s="119" t="str">
        <x:v>Consultor de Vendas</x:v>
      </x:c>
      <x:c r="D14" s="118" t="str">
        <x:v>Comercial</x:v>
      </x:c>
      <x:c r="E14" s="119" t="n">
        <x:v>44627</x:v>
      </x:c>
      <x:c r="F14" s="119" t="n">
        <x:v>46262</x:v>
      </x:c>
      <x:c r="G14" s="123" t="n">
        <x:v>4.5</x:v>
      </x:c>
      <x:c r="H14" s="123" t="str">
        <x:v>Pedido de demissão</x:v>
      </x:c>
      <x:c r="I14" s="122" t="str">
        <x:v>Trabalhado</x:v>
      </x:c>
      <x:c r="J14" s="121" t="n">
        <x:v>2750</x:v>
      </x:c>
      <x:c r="K14" s="121" t="n">
        <x:v>6100</x:v>
      </x:c>
      <x:c r="L14" s="121" t="n">
        <x:v>3300</x:v>
      </x:c>
      <x:c r="M14" s="121" t="n">
        <x:v>0</x:v>
      </x:c>
      <x:c r="N14" s="121" t="n">
        <x:v>650</x:v>
      </x:c>
      <x:c r="O14" s="121" t="n">
        <x:v>-1250</x:v>
      </x:c>
      <x:c r="P14" s="121" t="n">
        <x:v>11550</x:v>
      </x:c>
      <x:c r="Q14" s="122" t="str">
        <x:v>Pendente</x:v>
      </x:c>
      <x:c r="R14" s="122" t="str">
        <x:v>Aguardando validação final</x:v>
      </x:c>
      <x:c r="S14" s="85"/>
      <x:c r="T14" s="85"/>
      <x:c r="U14" s="85"/>
      <x:c r="V14" s="85"/>
      <x:c r="W14" s="85"/>
      <x:c r="X14" s="85"/>
      <x:c r="Y14" s="85"/>
      <x:c r="Z14" s="85"/>
      <x:c r="AA14" s="85"/>
      <x:c r="AB14" s="85"/>
      <x:c r="AC14" s="85"/>
      <x:c r="AD14" s="85"/>
      <x:c r="AE14" s="85"/>
      <x:c r="AF14" s="85"/>
      <x:c r="AG14" s="85"/>
      <x:c r="AH14" s="85"/>
      <x:c r="AI14" s="85"/>
      <x:c r="AJ14" s="85"/>
    </x:row>
    <x:row r="15">
      <x:c r="A15" s="86"/>
      <x:c r="B15" s="86"/>
      <x:c r="C15" s="87"/>
      <x:c r="D15" s="86"/>
      <x:c r="E15" s="86"/>
      <x:c r="F15" s="88"/>
      <x:c r="G15" s="88"/>
      <x:c r="H15" s="88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  <x:c r="AA15" s="85"/>
      <x:c r="AB15" s="85"/>
      <x:c r="AC15" s="85"/>
      <x:c r="AD15" s="85"/>
      <x:c r="AE15" s="85"/>
      <x:c r="AF15" s="85"/>
      <x:c r="AG15" s="85"/>
      <x:c r="AH15" s="85"/>
      <x:c r="AI15" s="85"/>
      <x:c r="AJ15" s="85"/>
    </x:row>
    <x:row r="16">
      <x:c r="A16" s="86"/>
      <x:c r="B16" s="86"/>
      <x:c r="C16" s="87"/>
      <x:c r="D16" s="86"/>
      <x:c r="E16" s="86"/>
      <x:c r="F16" s="88"/>
      <x:c r="G16" s="88"/>
      <x:c r="H16" s="88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  <x:c r="AA16" s="85"/>
      <x:c r="AB16" s="85"/>
      <x:c r="AC16" s="85"/>
      <x:c r="AD16" s="85"/>
      <x:c r="AE16" s="85"/>
      <x:c r="AF16" s="85"/>
      <x:c r="AG16" s="85"/>
      <x:c r="AH16" s="85"/>
      <x:c r="AI16" s="85"/>
      <x:c r="AJ16" s="85"/>
    </x:row>
    <x:row r="17">
      <x:c r="A17" s="86"/>
      <x:c r="B17" s="86"/>
      <x:c r="C17" s="87"/>
      <x:c r="D17" s="86"/>
      <x:c r="E17" s="86"/>
      <x:c r="F17" s="88"/>
      <x:c r="G17" s="88"/>
      <x:c r="H17" s="88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  <x:c r="AA17" s="85"/>
      <x:c r="AB17" s="85"/>
      <x:c r="AC17" s="85"/>
      <x:c r="AD17" s="85"/>
      <x:c r="AE17" s="85"/>
      <x:c r="AF17" s="85"/>
      <x:c r="AG17" s="85"/>
      <x:c r="AH17" s="85"/>
      <x:c r="AI17" s="85"/>
      <x:c r="AJ17" s="85"/>
    </x:row>
    <x:row r="18">
      <x:c r="A18" s="86"/>
      <x:c r="B18" s="86"/>
      <x:c r="C18" s="87"/>
      <x:c r="D18" s="86"/>
      <x:c r="E18" s="86"/>
      <x:c r="F18" s="88"/>
      <x:c r="G18" s="88"/>
      <x:c r="H18" s="88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  <x:c r="AA18" s="85"/>
      <x:c r="AB18" s="85"/>
      <x:c r="AC18" s="85"/>
      <x:c r="AD18" s="85"/>
      <x:c r="AE18" s="85"/>
      <x:c r="AF18" s="85"/>
      <x:c r="AG18" s="85"/>
      <x:c r="AH18" s="85"/>
      <x:c r="AI18" s="85"/>
      <x:c r="AJ18" s="85"/>
    </x:row>
    <x:row r="19">
      <x:c r="A19" s="86"/>
      <x:c r="B19" s="86"/>
      <x:c r="C19" s="87"/>
      <x:c r="D19" s="86"/>
      <x:c r="E19" s="86"/>
      <x:c r="F19" s="88"/>
      <x:c r="G19" s="88"/>
      <x:c r="H19" s="88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  <x:c r="AA19" s="85"/>
      <x:c r="AB19" s="85"/>
      <x:c r="AC19" s="85"/>
      <x:c r="AD19" s="85"/>
      <x:c r="AE19" s="85"/>
      <x:c r="AF19" s="85"/>
      <x:c r="AG19" s="85"/>
      <x:c r="AH19" s="85"/>
      <x:c r="AI19" s="85"/>
      <x:c r="AJ19" s="85"/>
    </x:row>
    <x:row r="20">
      <x:c r="A20" s="86"/>
      <x:c r="B20" s="86"/>
      <x:c r="C20" s="87"/>
      <x:c r="D20" s="86"/>
      <x:c r="E20" s="86"/>
      <x:c r="F20" s="88"/>
      <x:c r="G20" s="88"/>
      <x:c r="H20" s="88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  <x:c r="AA20" s="85"/>
      <x:c r="AB20" s="85"/>
      <x:c r="AC20" s="85"/>
      <x:c r="AD20" s="85"/>
      <x:c r="AE20" s="85"/>
      <x:c r="AF20" s="85"/>
      <x:c r="AG20" s="85"/>
      <x:c r="AH20" s="85"/>
      <x:c r="AI20" s="85"/>
      <x:c r="AJ20" s="85"/>
    </x:row>
    <x:row r="21">
      <x:c r="A21" s="86"/>
      <x:c r="B21" s="86"/>
      <x:c r="C21" s="87"/>
      <x:c r="D21" s="86"/>
      <x:c r="E21" s="86"/>
      <x:c r="F21" s="88"/>
      <x:c r="G21" s="88"/>
      <x:c r="H21" s="88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  <x:c r="AA21" s="85"/>
      <x:c r="AB21" s="85"/>
      <x:c r="AC21" s="85"/>
      <x:c r="AD21" s="85"/>
      <x:c r="AE21" s="85"/>
      <x:c r="AF21" s="85"/>
      <x:c r="AG21" s="85"/>
      <x:c r="AH21" s="85"/>
      <x:c r="AI21" s="85"/>
      <x:c r="AJ21" s="85"/>
    </x:row>
    <x:row r="22">
      <x:c r="A22" s="86"/>
      <x:c r="B22" s="86"/>
      <x:c r="C22" s="87"/>
      <x:c r="D22" s="86"/>
      <x:c r="E22" s="86"/>
      <x:c r="F22" s="88"/>
      <x:c r="G22" s="88"/>
      <x:c r="H22" s="88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  <x:c r="AA22" s="85"/>
      <x:c r="AB22" s="85"/>
      <x:c r="AC22" s="85"/>
      <x:c r="AD22" s="85"/>
      <x:c r="AE22" s="85"/>
      <x:c r="AF22" s="85"/>
      <x:c r="AG22" s="85"/>
      <x:c r="AH22" s="85"/>
      <x:c r="AI22" s="85"/>
      <x:c r="AJ22" s="85"/>
    </x:row>
    <x:row r="23">
      <x:c r="A23" s="86"/>
      <x:c r="B23" s="86"/>
      <x:c r="C23" s="87"/>
      <x:c r="D23" s="86"/>
      <x:c r="E23" s="86"/>
      <x:c r="F23" s="88"/>
      <x:c r="G23" s="88"/>
      <x:c r="H23" s="88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  <x:c r="AA23" s="85"/>
      <x:c r="AB23" s="85"/>
      <x:c r="AC23" s="85"/>
      <x:c r="AD23" s="85"/>
      <x:c r="AE23" s="85"/>
      <x:c r="AF23" s="85"/>
      <x:c r="AG23" s="85"/>
      <x:c r="AH23" s="85"/>
      <x:c r="AI23" s="85"/>
      <x:c r="AJ23" s="85"/>
    </x:row>
    <x:row r="24">
      <x:c r="A24" s="86"/>
      <x:c r="B24" s="86"/>
      <x:c r="C24" s="87"/>
      <x:c r="D24" s="86"/>
      <x:c r="E24" s="86"/>
      <x:c r="F24" s="88"/>
      <x:c r="G24" s="88"/>
      <x:c r="H24" s="88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  <x:c r="AA24" s="85"/>
      <x:c r="AB24" s="85"/>
      <x:c r="AC24" s="85"/>
      <x:c r="AD24" s="85"/>
      <x:c r="AE24" s="85"/>
      <x:c r="AF24" s="85"/>
      <x:c r="AG24" s="85"/>
      <x:c r="AH24" s="85"/>
      <x:c r="AI24" s="85"/>
      <x:c r="AJ24" s="85"/>
    </x:row>
    <x:row r="25">
      <x:c r="A25" s="86"/>
      <x:c r="B25" s="86"/>
      <x:c r="C25" s="87"/>
      <x:c r="D25" s="86"/>
      <x:c r="E25" s="86"/>
      <x:c r="F25" s="88"/>
      <x:c r="G25" s="88"/>
      <x:c r="H25" s="88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  <x:c r="AA25" s="85"/>
      <x:c r="AB25" s="85"/>
      <x:c r="AC25" s="85"/>
      <x:c r="AD25" s="85"/>
      <x:c r="AE25" s="85"/>
      <x:c r="AF25" s="85"/>
      <x:c r="AG25" s="85"/>
      <x:c r="AH25" s="85"/>
      <x:c r="AI25" s="85"/>
      <x:c r="AJ25" s="85"/>
    </x:row>
    <x:row r="26">
      <x:c r="A26" s="86"/>
      <x:c r="B26" s="86"/>
      <x:c r="C26" s="87"/>
      <x:c r="D26" s="86"/>
      <x:c r="E26" s="86"/>
      <x:c r="F26" s="88"/>
      <x:c r="G26" s="88"/>
      <x:c r="H26" s="88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  <x:c r="AA26" s="85"/>
      <x:c r="AB26" s="85"/>
      <x:c r="AC26" s="85"/>
      <x:c r="AD26" s="85"/>
      <x:c r="AE26" s="85"/>
      <x:c r="AF26" s="85"/>
      <x:c r="AG26" s="85"/>
      <x:c r="AH26" s="85"/>
      <x:c r="AI26" s="85"/>
      <x:c r="AJ26" s="85"/>
    </x:row>
    <x:row r="27">
      <x:c r="A27" s="86"/>
      <x:c r="B27" s="86"/>
      <x:c r="C27" s="87"/>
      <x:c r="D27" s="86"/>
      <x:c r="E27" s="86"/>
      <x:c r="F27" s="88"/>
      <x:c r="G27" s="88"/>
      <x:c r="H27" s="88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  <x:c r="AA27" s="85"/>
      <x:c r="AB27" s="85"/>
      <x:c r="AC27" s="85"/>
      <x:c r="AD27" s="85"/>
      <x:c r="AE27" s="85"/>
      <x:c r="AF27" s="85"/>
      <x:c r="AG27" s="85"/>
      <x:c r="AH27" s="85"/>
      <x:c r="AI27" s="85"/>
      <x:c r="AJ27" s="85"/>
    </x:row>
    <x:row r="28">
      <x:c r="A28" s="86"/>
      <x:c r="B28" s="86"/>
      <x:c r="C28" s="87"/>
      <x:c r="D28" s="86"/>
      <x:c r="E28" s="86"/>
      <x:c r="F28" s="88"/>
      <x:c r="G28" s="88"/>
      <x:c r="H28" s="88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  <x:c r="AA28" s="85"/>
      <x:c r="AB28" s="85"/>
      <x:c r="AC28" s="85"/>
      <x:c r="AD28" s="85"/>
      <x:c r="AE28" s="85"/>
      <x:c r="AF28" s="85"/>
      <x:c r="AG28" s="85"/>
      <x:c r="AH28" s="85"/>
      <x:c r="AI28" s="85"/>
      <x:c r="AJ28" s="85"/>
    </x:row>
    <x:row r="29">
      <x:c r="A29" s="86"/>
      <x:c r="B29" s="86"/>
      <x:c r="C29" s="87"/>
      <x:c r="D29" s="86"/>
      <x:c r="E29" s="86"/>
      <x:c r="F29" s="88"/>
      <x:c r="G29" s="88"/>
      <x:c r="H29" s="88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  <x:c r="AA29" s="85"/>
      <x:c r="AB29" s="85"/>
      <x:c r="AC29" s="85"/>
      <x:c r="AD29" s="85"/>
      <x:c r="AE29" s="85"/>
      <x:c r="AF29" s="85"/>
      <x:c r="AG29" s="85"/>
      <x:c r="AH29" s="85"/>
      <x:c r="AI29" s="85"/>
      <x:c r="AJ29" s="85"/>
    </x:row>
    <x:row r="30">
      <x:c r="A30" s="86"/>
      <x:c r="B30" s="86"/>
      <x:c r="C30" s="87"/>
      <x:c r="D30" s="86"/>
      <x:c r="E30" s="86"/>
      <x:c r="F30" s="88"/>
      <x:c r="G30" s="88"/>
      <x:c r="H30" s="88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  <x:c r="AA30" s="85"/>
      <x:c r="AB30" s="85"/>
      <x:c r="AC30" s="85"/>
      <x:c r="AD30" s="85"/>
      <x:c r="AE30" s="85"/>
      <x:c r="AF30" s="85"/>
      <x:c r="AG30" s="85"/>
      <x:c r="AH30" s="85"/>
      <x:c r="AI30" s="85"/>
      <x:c r="AJ30" s="85"/>
    </x:row>
    <x:row r="31">
      <x:c r="A31" s="86"/>
      <x:c r="B31" s="86"/>
      <x:c r="C31" s="87"/>
      <x:c r="D31" s="86"/>
      <x:c r="E31" s="86"/>
      <x:c r="F31" s="88"/>
      <x:c r="G31" s="88"/>
      <x:c r="H31" s="88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  <x:c r="AA31" s="85"/>
      <x:c r="AB31" s="85"/>
      <x:c r="AC31" s="85"/>
      <x:c r="AD31" s="85"/>
      <x:c r="AE31" s="85"/>
      <x:c r="AF31" s="85"/>
      <x:c r="AG31" s="85"/>
      <x:c r="AH31" s="85"/>
      <x:c r="AI31" s="85"/>
      <x:c r="AJ31" s="85"/>
    </x:row>
    <x:row r="32">
      <x:c r="A32" s="86"/>
      <x:c r="B32" s="86"/>
      <x:c r="C32" s="87"/>
      <x:c r="D32" s="86"/>
      <x:c r="E32" s="86"/>
      <x:c r="F32" s="88"/>
      <x:c r="G32" s="88"/>
      <x:c r="H32" s="88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  <x:c r="AA32" s="85"/>
      <x:c r="AB32" s="85"/>
      <x:c r="AC32" s="85"/>
      <x:c r="AD32" s="85"/>
      <x:c r="AE32" s="85"/>
      <x:c r="AF32" s="85"/>
      <x:c r="AG32" s="85"/>
      <x:c r="AH32" s="85"/>
      <x:c r="AI32" s="85"/>
      <x:c r="AJ32" s="85"/>
    </x:row>
    <x:row r="33">
      <x:c r="A33" s="86"/>
      <x:c r="B33" s="86"/>
      <x:c r="C33" s="87"/>
      <x:c r="D33" s="86"/>
      <x:c r="E33" s="86"/>
      <x:c r="F33" s="88"/>
      <x:c r="G33" s="88"/>
      <x:c r="H33" s="88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  <x:c r="AA33" s="85"/>
      <x:c r="AB33" s="85"/>
      <x:c r="AC33" s="85"/>
      <x:c r="AD33" s="85"/>
      <x:c r="AE33" s="85"/>
      <x:c r="AF33" s="85"/>
      <x:c r="AG33" s="85"/>
      <x:c r="AH33" s="85"/>
      <x:c r="AI33" s="85"/>
      <x:c r="AJ33" s="85"/>
    </x:row>
    <x:row r="34">
      <x:c r="A34" s="86"/>
      <x:c r="B34" s="86"/>
      <x:c r="C34" s="87"/>
      <x:c r="D34" s="86"/>
      <x:c r="E34" s="86"/>
      <x:c r="F34" s="88"/>
      <x:c r="G34" s="88"/>
      <x:c r="H34" s="88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  <x:c r="AA34" s="85"/>
      <x:c r="AB34" s="85"/>
      <x:c r="AC34" s="85"/>
      <x:c r="AD34" s="85"/>
      <x:c r="AE34" s="85"/>
      <x:c r="AF34" s="85"/>
      <x:c r="AG34" s="85"/>
      <x:c r="AH34" s="85"/>
      <x:c r="AI34" s="85"/>
      <x:c r="AJ34" s="85"/>
    </x:row>
    <x:row r="35">
      <x:c r="A35" s="86"/>
      <x:c r="B35" s="86"/>
      <x:c r="C35" s="87"/>
      <x:c r="D35" s="86"/>
      <x:c r="E35" s="86"/>
      <x:c r="F35" s="88"/>
      <x:c r="G35" s="88"/>
      <x:c r="H35" s="88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  <x:c r="AA35" s="85"/>
      <x:c r="AB35" s="85"/>
      <x:c r="AC35" s="85"/>
      <x:c r="AD35" s="85"/>
      <x:c r="AE35" s="85"/>
      <x:c r="AF35" s="85"/>
      <x:c r="AG35" s="85"/>
      <x:c r="AH35" s="85"/>
      <x:c r="AI35" s="85"/>
      <x:c r="AJ35" s="85"/>
    </x:row>
    <x:row r="36">
      <x:c r="A36" s="86"/>
      <x:c r="B36" s="86"/>
      <x:c r="C36" s="87"/>
      <x:c r="D36" s="86"/>
      <x:c r="E36" s="86"/>
      <x:c r="F36" s="88"/>
      <x:c r="G36" s="88"/>
      <x:c r="H36" s="88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  <x:c r="AA36" s="85"/>
      <x:c r="AB36" s="85"/>
      <x:c r="AC36" s="85"/>
      <x:c r="AD36" s="85"/>
      <x:c r="AE36" s="85"/>
      <x:c r="AF36" s="85"/>
      <x:c r="AG36" s="85"/>
      <x:c r="AH36" s="85"/>
      <x:c r="AI36" s="85"/>
      <x:c r="AJ36" s="85"/>
    </x:row>
    <x:row r="37">
      <x:c r="A37" s="86"/>
      <x:c r="B37" s="86"/>
      <x:c r="C37" s="87"/>
      <x:c r="D37" s="86"/>
      <x:c r="E37" s="86"/>
      <x:c r="F37" s="88"/>
      <x:c r="G37" s="88"/>
      <x:c r="H37" s="88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  <x:c r="AA37" s="85"/>
      <x:c r="AB37" s="85"/>
      <x:c r="AC37" s="85"/>
      <x:c r="AD37" s="85"/>
      <x:c r="AE37" s="85"/>
      <x:c r="AF37" s="85"/>
      <x:c r="AG37" s="85"/>
      <x:c r="AH37" s="85"/>
      <x:c r="AI37" s="85"/>
      <x:c r="AJ37" s="85"/>
    </x:row>
    <x:row r="38">
      <x:c r="A38" s="86"/>
      <x:c r="B38" s="86"/>
      <x:c r="C38" s="87"/>
      <x:c r="D38" s="86"/>
      <x:c r="E38" s="86"/>
      <x:c r="F38" s="88"/>
      <x:c r="G38" s="88"/>
      <x:c r="H38" s="88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  <x:c r="AA38" s="85"/>
      <x:c r="AB38" s="85"/>
      <x:c r="AC38" s="85"/>
      <x:c r="AD38" s="85"/>
      <x:c r="AE38" s="85"/>
      <x:c r="AF38" s="85"/>
      <x:c r="AG38" s="85"/>
      <x:c r="AH38" s="85"/>
      <x:c r="AI38" s="85"/>
      <x:c r="AJ38" s="85"/>
    </x:row>
    <x:row r="39">
      <x:c r="A39" s="86"/>
      <x:c r="B39" s="86"/>
      <x:c r="C39" s="87"/>
      <x:c r="D39" s="86"/>
      <x:c r="E39" s="86"/>
      <x:c r="F39" s="88"/>
      <x:c r="G39" s="88"/>
      <x:c r="H39" s="88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  <x:c r="AA39" s="85"/>
      <x:c r="AB39" s="85"/>
      <x:c r="AC39" s="85"/>
      <x:c r="AD39" s="85"/>
      <x:c r="AE39" s="85"/>
      <x:c r="AF39" s="85"/>
      <x:c r="AG39" s="85"/>
      <x:c r="AH39" s="85"/>
      <x:c r="AI39" s="85"/>
      <x:c r="AJ39" s="85"/>
    </x:row>
    <x:row r="40">
      <x:c r="A40" s="86"/>
      <x:c r="B40" s="86"/>
      <x:c r="C40" s="87"/>
      <x:c r="D40" s="86"/>
      <x:c r="E40" s="86"/>
      <x:c r="F40" s="88"/>
      <x:c r="G40" s="88"/>
      <x:c r="H40" s="88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  <x:c r="AA40" s="85"/>
      <x:c r="AB40" s="85"/>
      <x:c r="AC40" s="85"/>
      <x:c r="AD40" s="85"/>
      <x:c r="AE40" s="85"/>
      <x:c r="AF40" s="85"/>
      <x:c r="AG40" s="85"/>
      <x:c r="AH40" s="85"/>
      <x:c r="AI40" s="85"/>
      <x:c r="AJ40" s="85"/>
    </x:row>
    <x:row r="41">
      <x:c r="A41" s="86"/>
      <x:c r="B41" s="86"/>
      <x:c r="C41" s="87"/>
      <x:c r="D41" s="86"/>
      <x:c r="E41" s="86"/>
      <x:c r="F41" s="88"/>
      <x:c r="G41" s="88"/>
      <x:c r="H41" s="88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  <x:c r="AA41" s="85"/>
      <x:c r="AB41" s="85"/>
      <x:c r="AC41" s="85"/>
      <x:c r="AD41" s="85"/>
      <x:c r="AE41" s="85"/>
      <x:c r="AF41" s="85"/>
      <x:c r="AG41" s="85"/>
      <x:c r="AH41" s="85"/>
      <x:c r="AI41" s="85"/>
      <x:c r="AJ41" s="85"/>
    </x:row>
    <x:row r="42">
      <x:c r="A42" s="86"/>
      <x:c r="B42" s="86"/>
      <x:c r="C42" s="87"/>
      <x:c r="D42" s="86"/>
      <x:c r="E42" s="86"/>
      <x:c r="F42" s="88"/>
      <x:c r="G42" s="88"/>
      <x:c r="H42" s="88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  <x:c r="AA42" s="85"/>
      <x:c r="AB42" s="85"/>
      <x:c r="AC42" s="85"/>
      <x:c r="AD42" s="85"/>
      <x:c r="AE42" s="85"/>
      <x:c r="AF42" s="85"/>
      <x:c r="AG42" s="85"/>
      <x:c r="AH42" s="85"/>
      <x:c r="AI42" s="85"/>
      <x:c r="AJ42" s="85"/>
    </x:row>
    <x:row r="43">
      <x:c r="A43" s="86"/>
      <x:c r="B43" s="86"/>
      <x:c r="C43" s="87"/>
      <x:c r="D43" s="86"/>
      <x:c r="E43" s="86"/>
      <x:c r="F43" s="88"/>
      <x:c r="G43" s="88"/>
      <x:c r="H43" s="88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  <x:c r="AA43" s="85"/>
      <x:c r="AB43" s="85"/>
      <x:c r="AC43" s="85"/>
      <x:c r="AD43" s="85"/>
      <x:c r="AE43" s="85"/>
      <x:c r="AF43" s="85"/>
      <x:c r="AG43" s="85"/>
      <x:c r="AH43" s="85"/>
      <x:c r="AI43" s="85"/>
      <x:c r="AJ43" s="85"/>
    </x:row>
    <x:row r="44">
      <x:c r="A44" s="86"/>
      <x:c r="B44" s="86"/>
      <x:c r="C44" s="87"/>
      <x:c r="D44" s="86"/>
      <x:c r="E44" s="86"/>
      <x:c r="F44" s="88"/>
      <x:c r="G44" s="88"/>
      <x:c r="H44" s="88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  <x:c r="AA44" s="85"/>
      <x:c r="AB44" s="85"/>
      <x:c r="AC44" s="85"/>
      <x:c r="AD44" s="85"/>
      <x:c r="AE44" s="85"/>
      <x:c r="AF44" s="85"/>
      <x:c r="AG44" s="85"/>
      <x:c r="AH44" s="85"/>
      <x:c r="AI44" s="85"/>
      <x:c r="AJ44" s="85"/>
    </x:row>
    <x:row r="45">
      <x:c r="A45" s="86"/>
      <x:c r="B45" s="86"/>
      <x:c r="C45" s="87"/>
      <x:c r="D45" s="86"/>
      <x:c r="E45" s="86"/>
      <x:c r="F45" s="88"/>
      <x:c r="G45" s="88"/>
      <x:c r="H45" s="88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  <x:c r="AA45" s="85"/>
      <x:c r="AB45" s="85"/>
      <x:c r="AC45" s="85"/>
      <x:c r="AD45" s="85"/>
      <x:c r="AE45" s="85"/>
      <x:c r="AF45" s="85"/>
      <x:c r="AG45" s="85"/>
      <x:c r="AH45" s="85"/>
      <x:c r="AI45" s="85"/>
      <x:c r="AJ45" s="85"/>
    </x:row>
    <x:row r="46">
      <x:c r="A46" s="86"/>
      <x:c r="B46" s="86"/>
      <x:c r="C46" s="87"/>
      <x:c r="D46" s="86"/>
      <x:c r="E46" s="86"/>
      <x:c r="F46" s="88"/>
      <x:c r="G46" s="88"/>
      <x:c r="H46" s="88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  <x:c r="AA46" s="85"/>
      <x:c r="AB46" s="85"/>
      <x:c r="AC46" s="85"/>
      <x:c r="AD46" s="85"/>
      <x:c r="AE46" s="85"/>
      <x:c r="AF46" s="85"/>
      <x:c r="AG46" s="85"/>
      <x:c r="AH46" s="85"/>
      <x:c r="AI46" s="85"/>
      <x:c r="AJ46" s="85"/>
    </x:row>
    <x:row r="47">
      <x:c r="A47" s="86"/>
      <x:c r="B47" s="86"/>
      <x:c r="C47" s="87"/>
      <x:c r="D47" s="86"/>
      <x:c r="E47" s="86"/>
      <x:c r="F47" s="88"/>
      <x:c r="G47" s="88"/>
      <x:c r="H47" s="88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  <x:c r="AA47" s="85"/>
      <x:c r="AB47" s="85"/>
      <x:c r="AC47" s="85"/>
      <x:c r="AD47" s="85"/>
      <x:c r="AE47" s="85"/>
      <x:c r="AF47" s="85"/>
      <x:c r="AG47" s="85"/>
      <x:c r="AH47" s="85"/>
      <x:c r="AI47" s="85"/>
      <x:c r="AJ47" s="85"/>
    </x:row>
    <x:row r="48">
      <x:c r="A48" s="86"/>
      <x:c r="B48" s="86"/>
      <x:c r="C48" s="87"/>
      <x:c r="D48" s="86"/>
      <x:c r="E48" s="86"/>
      <x:c r="F48" s="88"/>
      <x:c r="G48" s="88"/>
      <x:c r="H48" s="88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  <x:c r="AA48" s="85"/>
      <x:c r="AB48" s="85"/>
      <x:c r="AC48" s="85"/>
      <x:c r="AD48" s="85"/>
      <x:c r="AE48" s="85"/>
      <x:c r="AF48" s="85"/>
      <x:c r="AG48" s="85"/>
      <x:c r="AH48" s="85"/>
      <x:c r="AI48" s="85"/>
      <x:c r="AJ48" s="85"/>
    </x:row>
    <x:row r="49">
      <x:c r="A49" s="86"/>
      <x:c r="B49" s="86"/>
      <x:c r="C49" s="87"/>
      <x:c r="D49" s="86"/>
      <x:c r="E49" s="86"/>
      <x:c r="F49" s="88"/>
      <x:c r="G49" s="88"/>
      <x:c r="H49" s="88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  <x:c r="AA49" s="85"/>
      <x:c r="AB49" s="85"/>
      <x:c r="AC49" s="85"/>
      <x:c r="AD49" s="85"/>
      <x:c r="AE49" s="85"/>
      <x:c r="AF49" s="85"/>
      <x:c r="AG49" s="85"/>
      <x:c r="AH49" s="85"/>
      <x:c r="AI49" s="85"/>
      <x:c r="AJ49" s="85"/>
    </x:row>
    <x:row r="50">
      <x:c r="A50" s="86"/>
      <x:c r="B50" s="86"/>
      <x:c r="C50" s="87"/>
      <x:c r="D50" s="86"/>
      <x:c r="E50" s="86"/>
      <x:c r="F50" s="88"/>
      <x:c r="G50" s="88"/>
      <x:c r="H50" s="88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  <x:c r="AA50" s="85"/>
      <x:c r="AB50" s="85"/>
      <x:c r="AC50" s="85"/>
      <x:c r="AD50" s="85"/>
      <x:c r="AE50" s="85"/>
      <x:c r="AF50" s="85"/>
      <x:c r="AG50" s="85"/>
      <x:c r="AH50" s="85"/>
      <x:c r="AI50" s="85"/>
      <x:c r="AJ50" s="85"/>
    </x:row>
    <x:row r="51">
      <x:c r="A51" s="86"/>
      <x:c r="B51" s="86"/>
      <x:c r="C51" s="87"/>
      <x:c r="D51" s="86"/>
      <x:c r="E51" s="86"/>
      <x:c r="F51" s="88"/>
      <x:c r="G51" s="88"/>
      <x:c r="H51" s="88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  <x:c r="AA51" s="85"/>
      <x:c r="AB51" s="85"/>
      <x:c r="AC51" s="85"/>
      <x:c r="AD51" s="85"/>
      <x:c r="AE51" s="85"/>
      <x:c r="AF51" s="85"/>
      <x:c r="AG51" s="85"/>
      <x:c r="AH51" s="85"/>
      <x:c r="AI51" s="85"/>
      <x:c r="AJ51" s="85"/>
    </x:row>
    <x:row r="52">
      <x:c r="A52" s="86"/>
      <x:c r="B52" s="86"/>
      <x:c r="C52" s="87"/>
      <x:c r="D52" s="86"/>
      <x:c r="E52" s="86"/>
      <x:c r="F52" s="88"/>
      <x:c r="G52" s="88"/>
      <x:c r="H52" s="88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  <x:c r="AA52" s="85"/>
      <x:c r="AB52" s="85"/>
      <x:c r="AC52" s="85"/>
      <x:c r="AD52" s="85"/>
      <x:c r="AE52" s="85"/>
      <x:c r="AF52" s="85"/>
      <x:c r="AG52" s="85"/>
      <x:c r="AH52" s="85"/>
      <x:c r="AI52" s="85"/>
      <x:c r="AJ52" s="85"/>
    </x:row>
    <x:row r="53">
      <x:c r="A53" s="86"/>
      <x:c r="B53" s="86"/>
      <x:c r="C53" s="87"/>
      <x:c r="D53" s="86"/>
      <x:c r="E53" s="86"/>
      <x:c r="F53" s="88"/>
      <x:c r="G53" s="88"/>
      <x:c r="H53" s="88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  <x:c r="AA53" s="85"/>
      <x:c r="AB53" s="85"/>
      <x:c r="AC53" s="85"/>
      <x:c r="AD53" s="85"/>
      <x:c r="AE53" s="85"/>
      <x:c r="AF53" s="85"/>
      <x:c r="AG53" s="85"/>
      <x:c r="AH53" s="85"/>
      <x:c r="AI53" s="85"/>
      <x:c r="AJ53" s="85"/>
    </x:row>
    <x:row r="54">
      <x:c r="A54" s="86"/>
      <x:c r="B54" s="86"/>
      <x:c r="C54" s="87"/>
      <x:c r="D54" s="86"/>
      <x:c r="E54" s="86"/>
      <x:c r="F54" s="88"/>
      <x:c r="G54" s="88"/>
      <x:c r="H54" s="88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  <x:c r="AA54" s="85"/>
      <x:c r="AB54" s="85"/>
      <x:c r="AC54" s="85"/>
      <x:c r="AD54" s="85"/>
      <x:c r="AE54" s="85"/>
      <x:c r="AF54" s="85"/>
      <x:c r="AG54" s="85"/>
      <x:c r="AH54" s="85"/>
      <x:c r="AI54" s="85"/>
      <x:c r="AJ54" s="85"/>
    </x:row>
    <x:row r="55">
      <x:c r="A55" s="86"/>
      <x:c r="B55" s="86"/>
      <x:c r="C55" s="87"/>
      <x:c r="D55" s="86"/>
      <x:c r="E55" s="86"/>
      <x:c r="F55" s="88"/>
      <x:c r="G55" s="88"/>
      <x:c r="H55" s="88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  <x:c r="AA55" s="85"/>
      <x:c r="AB55" s="85"/>
      <x:c r="AC55" s="85"/>
      <x:c r="AD55" s="85"/>
      <x:c r="AE55" s="85"/>
      <x:c r="AF55" s="85"/>
      <x:c r="AG55" s="85"/>
      <x:c r="AH55" s="85"/>
      <x:c r="AI55" s="85"/>
      <x:c r="AJ55" s="85"/>
    </x:row>
    <x:row r="56">
      <x:c r="A56" s="86"/>
      <x:c r="B56" s="86"/>
      <x:c r="C56" s="87"/>
      <x:c r="D56" s="86"/>
      <x:c r="E56" s="86"/>
      <x:c r="F56" s="88"/>
      <x:c r="G56" s="88"/>
      <x:c r="H56" s="88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  <x:c r="AA56" s="85"/>
      <x:c r="AB56" s="85"/>
      <x:c r="AC56" s="85"/>
      <x:c r="AD56" s="85"/>
      <x:c r="AE56" s="85"/>
      <x:c r="AF56" s="85"/>
      <x:c r="AG56" s="85"/>
      <x:c r="AH56" s="85"/>
      <x:c r="AI56" s="85"/>
      <x:c r="AJ56" s="85"/>
    </x:row>
    <x:row r="57">
      <x:c r="A57" s="86"/>
      <x:c r="B57" s="86"/>
      <x:c r="C57" s="87"/>
      <x:c r="D57" s="86"/>
      <x:c r="E57" s="86"/>
      <x:c r="F57" s="88"/>
      <x:c r="G57" s="88"/>
      <x:c r="H57" s="88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  <x:c r="AA57" s="85"/>
      <x:c r="AB57" s="85"/>
      <x:c r="AC57" s="85"/>
      <x:c r="AD57" s="85"/>
      <x:c r="AE57" s="85"/>
      <x:c r="AF57" s="85"/>
      <x:c r="AG57" s="85"/>
      <x:c r="AH57" s="85"/>
      <x:c r="AI57" s="85"/>
      <x:c r="AJ57" s="85"/>
    </x:row>
    <x:row r="58">
      <x:c r="A58" s="86"/>
      <x:c r="B58" s="86"/>
      <x:c r="C58" s="87"/>
      <x:c r="D58" s="86"/>
      <x:c r="E58" s="86"/>
      <x:c r="F58" s="88"/>
      <x:c r="G58" s="88"/>
      <x:c r="H58" s="88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  <x:c r="AA58" s="85"/>
      <x:c r="AB58" s="85"/>
      <x:c r="AC58" s="85"/>
      <x:c r="AD58" s="85"/>
      <x:c r="AE58" s="85"/>
      <x:c r="AF58" s="85"/>
      <x:c r="AG58" s="85"/>
      <x:c r="AH58" s="85"/>
      <x:c r="AI58" s="85"/>
      <x:c r="AJ58" s="85"/>
    </x:row>
    <x:row r="59">
      <x:c r="A59" s="86"/>
      <x:c r="B59" s="86"/>
      <x:c r="C59" s="87"/>
      <x:c r="D59" s="86"/>
      <x:c r="E59" s="86"/>
      <x:c r="F59" s="88"/>
      <x:c r="G59" s="88"/>
      <x:c r="H59" s="88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  <x:c r="AA59" s="85"/>
      <x:c r="AB59" s="85"/>
      <x:c r="AC59" s="85"/>
      <x:c r="AD59" s="85"/>
      <x:c r="AE59" s="85"/>
      <x:c r="AF59" s="85"/>
      <x:c r="AG59" s="85"/>
      <x:c r="AH59" s="85"/>
      <x:c r="AI59" s="85"/>
      <x:c r="AJ59" s="85"/>
    </x:row>
    <x:row r="60">
      <x:c r="A60" s="86"/>
      <x:c r="B60" s="86"/>
      <x:c r="C60" s="87"/>
      <x:c r="D60" s="86"/>
      <x:c r="E60" s="86"/>
      <x:c r="F60" s="88"/>
      <x:c r="G60" s="88"/>
      <x:c r="H60" s="88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  <x:c r="AA60" s="85"/>
      <x:c r="AB60" s="85"/>
      <x:c r="AC60" s="85"/>
      <x:c r="AD60" s="85"/>
      <x:c r="AE60" s="85"/>
      <x:c r="AF60" s="85"/>
      <x:c r="AG60" s="85"/>
      <x:c r="AH60" s="85"/>
      <x:c r="AI60" s="85"/>
      <x:c r="AJ60" s="85"/>
    </x:row>
    <x:row r="61">
      <x:c r="A61" s="86"/>
      <x:c r="B61" s="86"/>
      <x:c r="C61" s="87"/>
      <x:c r="D61" s="86"/>
      <x:c r="E61" s="86"/>
      <x:c r="F61" s="88"/>
      <x:c r="G61" s="88"/>
      <x:c r="H61" s="88"/>
      <x:c r="I61" s="85"/>
      <x:c r="J61" s="85"/>
      <x:c r="K61" s="85"/>
      <x:c r="L61" s="85"/>
      <x:c r="M61" s="85"/>
      <x:c r="N61" s="85"/>
      <x:c r="O61" s="85"/>
      <x:c r="P61" s="85"/>
      <x:c r="Q61" s="85"/>
      <x:c r="R61" s="85"/>
      <x:c r="S61" s="85"/>
      <x:c r="T61" s="85"/>
      <x:c r="U61" s="85"/>
      <x:c r="V61" s="85"/>
      <x:c r="W61" s="85"/>
      <x:c r="X61" s="85"/>
      <x:c r="Y61" s="85"/>
      <x:c r="Z61" s="85"/>
      <x:c r="AA61" s="85"/>
      <x:c r="AB61" s="85"/>
      <x:c r="AC61" s="85"/>
      <x:c r="AD61" s="85"/>
      <x:c r="AE61" s="85"/>
      <x:c r="AF61" s="85"/>
      <x:c r="AG61" s="85"/>
      <x:c r="AH61" s="85"/>
      <x:c r="AI61" s="85"/>
      <x:c r="AJ61" s="85"/>
    </x:row>
    <x:row r="62">
      <x:c r="A62" s="86"/>
      <x:c r="B62" s="86"/>
      <x:c r="C62" s="87"/>
      <x:c r="D62" s="86"/>
      <x:c r="E62" s="86"/>
      <x:c r="F62" s="88"/>
      <x:c r="G62" s="88"/>
      <x:c r="H62" s="88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  <x:c r="AA62" s="85"/>
      <x:c r="AB62" s="85"/>
      <x:c r="AC62" s="85"/>
      <x:c r="AD62" s="85"/>
      <x:c r="AE62" s="85"/>
      <x:c r="AF62" s="85"/>
      <x:c r="AG62" s="85"/>
      <x:c r="AH62" s="85"/>
      <x:c r="AI62" s="85"/>
      <x:c r="AJ62" s="85"/>
    </x:row>
    <x:row r="63">
      <x:c r="A63" s="86"/>
      <x:c r="B63" s="86"/>
      <x:c r="C63" s="87"/>
      <x:c r="D63" s="86"/>
      <x:c r="E63" s="86"/>
      <x:c r="F63" s="88"/>
      <x:c r="G63" s="88"/>
      <x:c r="H63" s="88"/>
      <x:c r="I63" s="85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5"/>
      <x:c r="V63" s="85"/>
      <x:c r="W63" s="85"/>
      <x:c r="X63" s="85"/>
      <x:c r="Y63" s="85"/>
      <x:c r="Z63" s="85"/>
      <x:c r="AA63" s="85"/>
      <x:c r="AB63" s="85"/>
      <x:c r="AC63" s="85"/>
      <x:c r="AD63" s="85"/>
      <x:c r="AE63" s="85"/>
      <x:c r="AF63" s="85"/>
      <x:c r="AG63" s="85"/>
      <x:c r="AH63" s="85"/>
      <x:c r="AI63" s="85"/>
      <x:c r="AJ63" s="85"/>
    </x:row>
    <x:row r="64">
      <x:c r="A64" s="86"/>
      <x:c r="B64" s="86"/>
      <x:c r="C64" s="87"/>
      <x:c r="D64" s="86"/>
      <x:c r="E64" s="86"/>
      <x:c r="F64" s="88"/>
      <x:c r="G64" s="88"/>
      <x:c r="H64" s="88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  <x:c r="AA64" s="85"/>
      <x:c r="AB64" s="85"/>
      <x:c r="AC64" s="85"/>
      <x:c r="AD64" s="85"/>
      <x:c r="AE64" s="85"/>
      <x:c r="AF64" s="85"/>
      <x:c r="AG64" s="85"/>
      <x:c r="AH64" s="85"/>
      <x:c r="AI64" s="85"/>
      <x:c r="AJ64" s="85"/>
    </x:row>
    <x:row r="65">
      <x:c r="A65" s="86"/>
      <x:c r="B65" s="86"/>
      <x:c r="C65" s="87"/>
      <x:c r="D65" s="86"/>
      <x:c r="E65" s="86"/>
      <x:c r="F65" s="88"/>
      <x:c r="G65" s="88"/>
      <x:c r="H65" s="88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  <x:c r="AA65" s="85"/>
      <x:c r="AB65" s="85"/>
      <x:c r="AC65" s="85"/>
      <x:c r="AD65" s="85"/>
      <x:c r="AE65" s="85"/>
      <x:c r="AF65" s="85"/>
      <x:c r="AG65" s="85"/>
      <x:c r="AH65" s="85"/>
      <x:c r="AI65" s="85"/>
      <x:c r="AJ65" s="85"/>
    </x:row>
    <x:row r="66">
      <x:c r="A66" s="86"/>
      <x:c r="B66" s="86"/>
      <x:c r="C66" s="87"/>
      <x:c r="D66" s="86"/>
      <x:c r="E66" s="86"/>
      <x:c r="F66" s="88"/>
      <x:c r="G66" s="88"/>
      <x:c r="H66" s="88"/>
      <x:c r="I66" s="85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5"/>
      <x:c r="V66" s="85"/>
      <x:c r="W66" s="85"/>
      <x:c r="X66" s="85"/>
      <x:c r="Y66" s="85"/>
      <x:c r="Z66" s="85"/>
      <x:c r="AA66" s="85"/>
      <x:c r="AB66" s="85"/>
      <x:c r="AC66" s="85"/>
      <x:c r="AD66" s="85"/>
      <x:c r="AE66" s="85"/>
      <x:c r="AF66" s="85"/>
      <x:c r="AG66" s="85"/>
      <x:c r="AH66" s="85"/>
      <x:c r="AI66" s="85"/>
      <x:c r="AJ66" s="85"/>
    </x:row>
    <x:row r="67">
      <x:c r="A67" s="86"/>
      <x:c r="B67" s="86"/>
      <x:c r="C67" s="87"/>
      <x:c r="D67" s="86"/>
      <x:c r="E67" s="86"/>
      <x:c r="F67" s="88"/>
      <x:c r="G67" s="88"/>
      <x:c r="H67" s="88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  <x:c r="AA67" s="85"/>
      <x:c r="AB67" s="85"/>
      <x:c r="AC67" s="85"/>
      <x:c r="AD67" s="85"/>
      <x:c r="AE67" s="85"/>
      <x:c r="AF67" s="85"/>
      <x:c r="AG67" s="85"/>
      <x:c r="AH67" s="85"/>
      <x:c r="AI67" s="85"/>
      <x:c r="AJ67" s="85"/>
    </x:row>
    <x:row r="68">
      <x:c r="A68" s="86"/>
      <x:c r="B68" s="86"/>
      <x:c r="C68" s="87"/>
      <x:c r="D68" s="86"/>
      <x:c r="E68" s="86"/>
      <x:c r="F68" s="88"/>
      <x:c r="G68" s="88"/>
      <x:c r="H68" s="88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  <x:c r="AA68" s="85"/>
      <x:c r="AB68" s="85"/>
      <x:c r="AC68" s="85"/>
      <x:c r="AD68" s="85"/>
      <x:c r="AE68" s="85"/>
      <x:c r="AF68" s="85"/>
      <x:c r="AG68" s="85"/>
      <x:c r="AH68" s="85"/>
      <x:c r="AI68" s="85"/>
      <x:c r="AJ68" s="85"/>
    </x:row>
    <x:row r="69">
      <x:c r="A69" s="86"/>
      <x:c r="B69" s="86"/>
      <x:c r="C69" s="87"/>
      <x:c r="D69" s="86"/>
      <x:c r="E69" s="86"/>
      <x:c r="F69" s="88"/>
      <x:c r="G69" s="88"/>
      <x:c r="H69" s="88"/>
      <x:c r="I69" s="85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5"/>
      <x:c r="V69" s="85"/>
      <x:c r="W69" s="85"/>
      <x:c r="X69" s="85"/>
      <x:c r="Y69" s="85"/>
      <x:c r="Z69" s="85"/>
      <x:c r="AA69" s="85"/>
      <x:c r="AB69" s="85"/>
      <x:c r="AC69" s="85"/>
      <x:c r="AD69" s="85"/>
      <x:c r="AE69" s="85"/>
      <x:c r="AF69" s="85"/>
      <x:c r="AG69" s="85"/>
      <x:c r="AH69" s="85"/>
      <x:c r="AI69" s="85"/>
      <x:c r="AJ69" s="85"/>
    </x:row>
    <x:row r="70">
      <x:c r="A70" s="86"/>
      <x:c r="B70" s="86"/>
      <x:c r="C70" s="87"/>
      <x:c r="D70" s="86"/>
      <x:c r="E70" s="86"/>
      <x:c r="F70" s="88"/>
      <x:c r="G70" s="88"/>
      <x:c r="H70" s="88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  <x:c r="AA70" s="85"/>
      <x:c r="AB70" s="85"/>
      <x:c r="AC70" s="85"/>
      <x:c r="AD70" s="85"/>
      <x:c r="AE70" s="85"/>
      <x:c r="AF70" s="85"/>
      <x:c r="AG70" s="85"/>
      <x:c r="AH70" s="85"/>
      <x:c r="AI70" s="85"/>
      <x:c r="AJ70" s="85"/>
    </x:row>
    <x:row r="71">
      <x:c r="A71" s="86"/>
      <x:c r="B71" s="86"/>
      <x:c r="C71" s="87"/>
      <x:c r="D71" s="86"/>
      <x:c r="E71" s="86"/>
      <x:c r="F71" s="88"/>
      <x:c r="G71" s="88"/>
      <x:c r="H71" s="88"/>
      <x:c r="I71" s="85"/>
      <x:c r="J71" s="85"/>
      <x:c r="K71" s="85"/>
      <x:c r="L71" s="85"/>
      <x:c r="M71" s="85"/>
      <x:c r="N71" s="85"/>
      <x:c r="O71" s="85"/>
      <x:c r="P71" s="85"/>
      <x:c r="Q71" s="85"/>
      <x:c r="R71" s="85"/>
      <x:c r="S71" s="85"/>
      <x:c r="T71" s="85"/>
      <x:c r="U71" s="85"/>
      <x:c r="V71" s="85"/>
      <x:c r="W71" s="85"/>
      <x:c r="X71" s="85"/>
      <x:c r="Y71" s="85"/>
      <x:c r="Z71" s="85"/>
      <x:c r="AA71" s="85"/>
      <x:c r="AB71" s="85"/>
      <x:c r="AC71" s="85"/>
      <x:c r="AD71" s="85"/>
      <x:c r="AE71" s="85"/>
      <x:c r="AF71" s="85"/>
      <x:c r="AG71" s="85"/>
      <x:c r="AH71" s="85"/>
      <x:c r="AI71" s="85"/>
      <x:c r="AJ71" s="85"/>
    </x:row>
    <x:row r="72">
      <x:c r="A72" s="86"/>
      <x:c r="B72" s="86"/>
      <x:c r="C72" s="87"/>
      <x:c r="D72" s="86"/>
      <x:c r="E72" s="86"/>
      <x:c r="F72" s="88"/>
      <x:c r="G72" s="88"/>
      <x:c r="H72" s="88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  <x:c r="AA72" s="85"/>
      <x:c r="AB72" s="85"/>
      <x:c r="AC72" s="85"/>
      <x:c r="AD72" s="85"/>
      <x:c r="AE72" s="85"/>
      <x:c r="AF72" s="85"/>
      <x:c r="AG72" s="85"/>
      <x:c r="AH72" s="85"/>
      <x:c r="AI72" s="85"/>
      <x:c r="AJ72" s="85"/>
    </x:row>
    <x:row r="73">
      <x:c r="A73" s="86"/>
      <x:c r="B73" s="86"/>
      <x:c r="C73" s="87"/>
      <x:c r="D73" s="86"/>
      <x:c r="E73" s="86"/>
      <x:c r="F73" s="88"/>
      <x:c r="G73" s="88"/>
      <x:c r="H73" s="88"/>
      <x:c r="I73" s="85"/>
      <x:c r="J73" s="85"/>
      <x:c r="K73" s="85"/>
      <x:c r="L73" s="85"/>
      <x:c r="M73" s="85"/>
      <x:c r="N73" s="85"/>
      <x:c r="O73" s="85"/>
      <x:c r="P73" s="85"/>
      <x:c r="Q73" s="85"/>
      <x:c r="R73" s="85"/>
      <x:c r="S73" s="85"/>
      <x:c r="T73" s="85"/>
      <x:c r="U73" s="85"/>
      <x:c r="V73" s="85"/>
      <x:c r="W73" s="85"/>
      <x:c r="X73" s="85"/>
      <x:c r="Y73" s="85"/>
      <x:c r="Z73" s="85"/>
      <x:c r="AA73" s="85"/>
      <x:c r="AB73" s="85"/>
      <x:c r="AC73" s="85"/>
      <x:c r="AD73" s="85"/>
      <x:c r="AE73" s="85"/>
      <x:c r="AF73" s="85"/>
      <x:c r="AG73" s="85"/>
      <x:c r="AH73" s="85"/>
      <x:c r="AI73" s="85"/>
      <x:c r="AJ73" s="85"/>
    </x:row>
    <x:row r="74">
      <x:c r="A74" s="86"/>
      <x:c r="B74" s="86"/>
      <x:c r="C74" s="87"/>
      <x:c r="D74" s="86"/>
      <x:c r="E74" s="86"/>
      <x:c r="F74" s="88"/>
      <x:c r="G74" s="88"/>
      <x:c r="H74" s="88"/>
      <x:c r="I74" s="85"/>
      <x:c r="J74" s="85"/>
      <x:c r="K74" s="85"/>
      <x:c r="L74" s="85"/>
      <x:c r="M74" s="85"/>
      <x:c r="N74" s="85"/>
      <x:c r="O74" s="85"/>
      <x:c r="P74" s="85"/>
      <x:c r="Q74" s="85"/>
      <x:c r="R74" s="85"/>
      <x:c r="S74" s="85"/>
      <x:c r="T74" s="85"/>
      <x:c r="U74" s="85"/>
      <x:c r="V74" s="85"/>
      <x:c r="W74" s="85"/>
      <x:c r="X74" s="85"/>
      <x:c r="Y74" s="85"/>
      <x:c r="Z74" s="85"/>
      <x:c r="AA74" s="85"/>
      <x:c r="AB74" s="85"/>
      <x:c r="AC74" s="85"/>
      <x:c r="AD74" s="85"/>
      <x:c r="AE74" s="85"/>
      <x:c r="AF74" s="85"/>
      <x:c r="AG74" s="85"/>
      <x:c r="AH74" s="85"/>
      <x:c r="AI74" s="85"/>
      <x:c r="AJ74" s="85"/>
    </x:row>
    <x:row r="75">
      <x:c r="A75" s="86"/>
      <x:c r="B75" s="86"/>
      <x:c r="C75" s="87"/>
      <x:c r="D75" s="86"/>
      <x:c r="E75" s="86"/>
      <x:c r="F75" s="88"/>
      <x:c r="G75" s="88"/>
      <x:c r="H75" s="88"/>
      <x:c r="I75" s="85"/>
      <x:c r="J75" s="85"/>
      <x:c r="K75" s="85"/>
      <x:c r="L75" s="85"/>
      <x:c r="M75" s="85"/>
      <x:c r="N75" s="85"/>
      <x:c r="O75" s="85"/>
      <x:c r="P75" s="85"/>
      <x:c r="Q75" s="85"/>
      <x:c r="R75" s="85"/>
      <x:c r="S75" s="85"/>
      <x:c r="T75" s="85"/>
      <x:c r="U75" s="85"/>
      <x:c r="V75" s="85"/>
      <x:c r="W75" s="85"/>
      <x:c r="X75" s="85"/>
      <x:c r="Y75" s="85"/>
      <x:c r="Z75" s="85"/>
      <x:c r="AA75" s="85"/>
      <x:c r="AB75" s="85"/>
      <x:c r="AC75" s="85"/>
      <x:c r="AD75" s="85"/>
      <x:c r="AE75" s="85"/>
      <x:c r="AF75" s="85"/>
      <x:c r="AG75" s="85"/>
      <x:c r="AH75" s="85"/>
      <x:c r="AI75" s="85"/>
      <x:c r="AJ75" s="85"/>
    </x:row>
    <x:row r="76">
      <x:c r="A76" s="86"/>
      <x:c r="B76" s="86"/>
      <x:c r="C76" s="87"/>
      <x:c r="D76" s="86"/>
      <x:c r="E76" s="86"/>
      <x:c r="F76" s="88"/>
      <x:c r="G76" s="88"/>
      <x:c r="H76" s="88"/>
      <x:c r="I76" s="85"/>
      <x:c r="J76" s="85"/>
      <x:c r="K76" s="85"/>
      <x:c r="L76" s="85"/>
      <x:c r="M76" s="85"/>
      <x:c r="N76" s="85"/>
      <x:c r="O76" s="85"/>
      <x:c r="P76" s="85"/>
      <x:c r="Q76" s="85"/>
      <x:c r="R76" s="85"/>
      <x:c r="S76" s="85"/>
      <x:c r="T76" s="85"/>
      <x:c r="U76" s="85"/>
      <x:c r="V76" s="85"/>
      <x:c r="W76" s="85"/>
      <x:c r="X76" s="85"/>
      <x:c r="Y76" s="85"/>
      <x:c r="Z76" s="85"/>
      <x:c r="AA76" s="85"/>
      <x:c r="AB76" s="85"/>
      <x:c r="AC76" s="85"/>
      <x:c r="AD76" s="85"/>
      <x:c r="AE76" s="85"/>
      <x:c r="AF76" s="85"/>
      <x:c r="AG76" s="85"/>
      <x:c r="AH76" s="85"/>
      <x:c r="AI76" s="85"/>
      <x:c r="AJ76" s="85"/>
    </x:row>
    <x:row r="77">
      <x:c r="A77" s="86"/>
      <x:c r="B77" s="86"/>
      <x:c r="C77" s="87"/>
      <x:c r="D77" s="86"/>
      <x:c r="E77" s="86"/>
      <x:c r="F77" s="88"/>
      <x:c r="G77" s="88"/>
      <x:c r="H77" s="88"/>
      <x:c r="I77" s="85"/>
      <x:c r="J77" s="85"/>
      <x:c r="K77" s="85"/>
      <x:c r="L77" s="85"/>
      <x:c r="M77" s="85"/>
      <x:c r="N77" s="85"/>
      <x:c r="O77" s="85"/>
      <x:c r="P77" s="85"/>
      <x:c r="Q77" s="85"/>
      <x:c r="R77" s="85"/>
      <x:c r="S77" s="85"/>
      <x:c r="T77" s="85"/>
      <x:c r="U77" s="85"/>
      <x:c r="V77" s="85"/>
      <x:c r="W77" s="85"/>
      <x:c r="X77" s="85"/>
      <x:c r="Y77" s="85"/>
      <x:c r="Z77" s="85"/>
      <x:c r="AA77" s="85"/>
      <x:c r="AB77" s="85"/>
      <x:c r="AC77" s="85"/>
      <x:c r="AD77" s="85"/>
      <x:c r="AE77" s="85"/>
      <x:c r="AF77" s="85"/>
      <x:c r="AG77" s="85"/>
      <x:c r="AH77" s="85"/>
      <x:c r="AI77" s="85"/>
      <x:c r="AJ77" s="85"/>
    </x:row>
    <x:row r="78">
      <x:c r="A78" s="86"/>
      <x:c r="B78" s="86"/>
      <x:c r="C78" s="87"/>
      <x:c r="D78" s="86"/>
      <x:c r="E78" s="86"/>
      <x:c r="F78" s="88"/>
      <x:c r="G78" s="88"/>
      <x:c r="H78" s="88"/>
      <x:c r="I78" s="85"/>
      <x:c r="J78" s="85"/>
      <x:c r="K78" s="85"/>
      <x:c r="L78" s="85"/>
      <x:c r="M78" s="85"/>
      <x:c r="N78" s="85"/>
      <x:c r="O78" s="85"/>
      <x:c r="P78" s="85"/>
      <x:c r="Q78" s="85"/>
      <x:c r="R78" s="85"/>
      <x:c r="S78" s="85"/>
      <x:c r="T78" s="85"/>
      <x:c r="U78" s="85"/>
      <x:c r="V78" s="85"/>
      <x:c r="W78" s="85"/>
      <x:c r="X78" s="85"/>
      <x:c r="Y78" s="85"/>
      <x:c r="Z78" s="85"/>
      <x:c r="AA78" s="85"/>
      <x:c r="AB78" s="85"/>
      <x:c r="AC78" s="85"/>
      <x:c r="AD78" s="85"/>
      <x:c r="AE78" s="85"/>
      <x:c r="AF78" s="85"/>
      <x:c r="AG78" s="85"/>
      <x:c r="AH78" s="85"/>
      <x:c r="AI78" s="85"/>
      <x:c r="AJ78" s="85"/>
    </x:row>
    <x:row r="79">
      <x:c r="A79" s="86"/>
      <x:c r="B79" s="86"/>
      <x:c r="C79" s="87"/>
      <x:c r="D79" s="86"/>
      <x:c r="E79" s="86"/>
      <x:c r="F79" s="88"/>
      <x:c r="G79" s="88"/>
      <x:c r="H79" s="88"/>
      <x:c r="I79" s="85"/>
      <x:c r="J79" s="85"/>
      <x:c r="K79" s="85"/>
      <x:c r="L79" s="85"/>
      <x:c r="M79" s="85"/>
      <x:c r="N79" s="85"/>
      <x:c r="O79" s="85"/>
      <x:c r="P79" s="85"/>
      <x:c r="Q79" s="85"/>
      <x:c r="R79" s="85"/>
      <x:c r="S79" s="85"/>
      <x:c r="T79" s="85"/>
      <x:c r="U79" s="85"/>
      <x:c r="V79" s="85"/>
      <x:c r="W79" s="85"/>
      <x:c r="X79" s="85"/>
      <x:c r="Y79" s="85"/>
      <x:c r="Z79" s="85"/>
      <x:c r="AA79" s="85"/>
      <x:c r="AB79" s="85"/>
      <x:c r="AC79" s="85"/>
      <x:c r="AD79" s="85"/>
      <x:c r="AE79" s="85"/>
      <x:c r="AF79" s="85"/>
      <x:c r="AG79" s="85"/>
      <x:c r="AH79" s="85"/>
      <x:c r="AI79" s="85"/>
      <x:c r="AJ79" s="85"/>
    </x:row>
    <x:row r="80">
      <x:c r="A80" s="86"/>
      <x:c r="B80" s="86"/>
      <x:c r="C80" s="87"/>
      <x:c r="D80" s="86"/>
      <x:c r="E80" s="86"/>
      <x:c r="F80" s="88"/>
      <x:c r="G80" s="88"/>
      <x:c r="H80" s="88"/>
      <x:c r="I80" s="85"/>
      <x:c r="J80" s="85"/>
      <x:c r="K80" s="85"/>
      <x:c r="L80" s="85"/>
      <x:c r="M80" s="85"/>
      <x:c r="N80" s="85"/>
      <x:c r="O80" s="85"/>
      <x:c r="P80" s="85"/>
      <x:c r="Q80" s="85"/>
      <x:c r="R80" s="85"/>
      <x:c r="S80" s="85"/>
      <x:c r="T80" s="85"/>
      <x:c r="U80" s="85"/>
      <x:c r="V80" s="85"/>
      <x:c r="W80" s="85"/>
      <x:c r="X80" s="85"/>
      <x:c r="Y80" s="85"/>
      <x:c r="Z80" s="85"/>
      <x:c r="AA80" s="85"/>
      <x:c r="AB80" s="85"/>
      <x:c r="AC80" s="85"/>
      <x:c r="AD80" s="85"/>
      <x:c r="AE80" s="85"/>
      <x:c r="AF80" s="85"/>
      <x:c r="AG80" s="85"/>
      <x:c r="AH80" s="85"/>
      <x:c r="AI80" s="85"/>
      <x:c r="AJ80" s="85"/>
    </x:row>
    <x:row r="81">
      <x:c r="A81" s="86"/>
      <x:c r="B81" s="86"/>
      <x:c r="C81" s="87"/>
      <x:c r="D81" s="86"/>
      <x:c r="E81" s="86"/>
      <x:c r="F81" s="88"/>
      <x:c r="G81" s="88"/>
      <x:c r="H81" s="88"/>
      <x:c r="I81" s="85"/>
      <x:c r="J81" s="85"/>
      <x:c r="K81" s="85"/>
      <x:c r="L81" s="85"/>
      <x:c r="M81" s="85"/>
      <x:c r="N81" s="85"/>
      <x:c r="O81" s="85"/>
      <x:c r="P81" s="85"/>
      <x:c r="Q81" s="85"/>
      <x:c r="R81" s="85"/>
      <x:c r="S81" s="85"/>
      <x:c r="T81" s="85"/>
      <x:c r="U81" s="85"/>
      <x:c r="V81" s="85"/>
      <x:c r="W81" s="85"/>
      <x:c r="X81" s="85"/>
      <x:c r="Y81" s="85"/>
      <x:c r="Z81" s="85"/>
      <x:c r="AA81" s="85"/>
      <x:c r="AB81" s="85"/>
      <x:c r="AC81" s="85"/>
      <x:c r="AD81" s="85"/>
      <x:c r="AE81" s="85"/>
      <x:c r="AF81" s="85"/>
      <x:c r="AG81" s="85"/>
      <x:c r="AH81" s="85"/>
      <x:c r="AI81" s="85"/>
      <x:c r="AJ81" s="85"/>
    </x:row>
    <x:row r="82">
      <x:c r="A82" s="86"/>
      <x:c r="B82" s="86"/>
      <x:c r="C82" s="87"/>
      <x:c r="D82" s="86"/>
      <x:c r="E82" s="86"/>
      <x:c r="F82" s="88"/>
      <x:c r="G82" s="88"/>
      <x:c r="H82" s="88"/>
      <x:c r="I82" s="85"/>
      <x:c r="J82" s="85"/>
      <x:c r="K82" s="85"/>
      <x:c r="L82" s="85"/>
      <x:c r="M82" s="85"/>
      <x:c r="N82" s="85"/>
      <x:c r="O82" s="85"/>
      <x:c r="P82" s="85"/>
      <x:c r="Q82" s="85"/>
      <x:c r="R82" s="85"/>
      <x:c r="S82" s="85"/>
      <x:c r="T82" s="85"/>
      <x:c r="U82" s="85"/>
      <x:c r="V82" s="85"/>
      <x:c r="W82" s="85"/>
      <x:c r="X82" s="85"/>
      <x:c r="Y82" s="85"/>
      <x:c r="Z82" s="85"/>
      <x:c r="AA82" s="85"/>
      <x:c r="AB82" s="85"/>
      <x:c r="AC82" s="85"/>
      <x:c r="AD82" s="85"/>
      <x:c r="AE82" s="85"/>
      <x:c r="AF82" s="85"/>
      <x:c r="AG82" s="85"/>
      <x:c r="AH82" s="85"/>
      <x:c r="AI82" s="85"/>
      <x:c r="AJ82" s="85"/>
    </x:row>
    <x:row r="83">
      <x:c r="A83" s="86"/>
      <x:c r="B83" s="86"/>
      <x:c r="C83" s="87"/>
      <x:c r="D83" s="86"/>
      <x:c r="E83" s="86"/>
      <x:c r="F83" s="88"/>
      <x:c r="G83" s="88"/>
      <x:c r="H83" s="88"/>
      <x:c r="I83" s="85"/>
      <x:c r="J83" s="85"/>
      <x:c r="K83" s="85"/>
      <x:c r="L83" s="85"/>
      <x:c r="M83" s="85"/>
      <x:c r="N83" s="85"/>
      <x:c r="O83" s="85"/>
      <x:c r="P83" s="85"/>
      <x:c r="Q83" s="85"/>
      <x:c r="R83" s="85"/>
      <x:c r="S83" s="85"/>
      <x:c r="T83" s="85"/>
      <x:c r="U83" s="85"/>
      <x:c r="V83" s="85"/>
      <x:c r="W83" s="85"/>
      <x:c r="X83" s="85"/>
      <x:c r="Y83" s="85"/>
      <x:c r="Z83" s="85"/>
      <x:c r="AA83" s="85"/>
      <x:c r="AB83" s="85"/>
      <x:c r="AC83" s="85"/>
      <x:c r="AD83" s="85"/>
      <x:c r="AE83" s="85"/>
      <x:c r="AF83" s="85"/>
      <x:c r="AG83" s="85"/>
      <x:c r="AH83" s="85"/>
      <x:c r="AI83" s="85"/>
      <x:c r="AJ83" s="85"/>
    </x:row>
    <x:row r="84">
      <x:c r="A84" s="86"/>
      <x:c r="B84" s="86"/>
      <x:c r="C84" s="87"/>
      <x:c r="D84" s="86"/>
      <x:c r="E84" s="86"/>
      <x:c r="F84" s="88"/>
      <x:c r="G84" s="88"/>
      <x:c r="H84" s="88"/>
      <x:c r="I84" s="85"/>
      <x:c r="J84" s="85"/>
      <x:c r="K84" s="85"/>
      <x:c r="L84" s="85"/>
      <x:c r="M84" s="85"/>
      <x:c r="N84" s="85"/>
      <x:c r="O84" s="85"/>
      <x:c r="P84" s="85"/>
      <x:c r="Q84" s="85"/>
      <x:c r="R84" s="85"/>
      <x:c r="S84" s="85"/>
      <x:c r="T84" s="85"/>
      <x:c r="U84" s="85"/>
      <x:c r="V84" s="85"/>
      <x:c r="W84" s="85"/>
      <x:c r="X84" s="85"/>
      <x:c r="Y84" s="85"/>
      <x:c r="Z84" s="85"/>
      <x:c r="AA84" s="85"/>
      <x:c r="AB84" s="85"/>
      <x:c r="AC84" s="85"/>
      <x:c r="AD84" s="85"/>
      <x:c r="AE84" s="85"/>
      <x:c r="AF84" s="85"/>
      <x:c r="AG84" s="85"/>
      <x:c r="AH84" s="85"/>
      <x:c r="AI84" s="85"/>
      <x:c r="AJ84" s="85"/>
    </x:row>
    <x:row r="85">
      <x:c r="A85" s="86"/>
      <x:c r="B85" s="86"/>
      <x:c r="C85" s="87"/>
      <x:c r="D85" s="86"/>
      <x:c r="E85" s="86"/>
      <x:c r="F85" s="88"/>
      <x:c r="G85" s="88"/>
      <x:c r="H85" s="88"/>
      <x:c r="I85" s="85"/>
      <x:c r="J85" s="85"/>
      <x:c r="K85" s="85"/>
      <x:c r="L85" s="85"/>
      <x:c r="M85" s="85"/>
      <x:c r="N85" s="85"/>
      <x:c r="O85" s="85"/>
      <x:c r="P85" s="85"/>
      <x:c r="Q85" s="85"/>
      <x:c r="R85" s="85"/>
      <x:c r="S85" s="85"/>
      <x:c r="T85" s="85"/>
      <x:c r="U85" s="85"/>
      <x:c r="V85" s="85"/>
      <x:c r="W85" s="85"/>
      <x:c r="X85" s="85"/>
      <x:c r="Y85" s="85"/>
      <x:c r="Z85" s="85"/>
      <x:c r="AA85" s="85"/>
      <x:c r="AB85" s="85"/>
      <x:c r="AC85" s="85"/>
      <x:c r="AD85" s="85"/>
      <x:c r="AE85" s="85"/>
      <x:c r="AF85" s="85"/>
      <x:c r="AG85" s="85"/>
      <x:c r="AH85" s="85"/>
      <x:c r="AI85" s="85"/>
      <x:c r="AJ85" s="85"/>
    </x:row>
    <x:row r="86">
      <x:c r="A86" s="86"/>
      <x:c r="B86" s="86"/>
      <x:c r="C86" s="87"/>
      <x:c r="D86" s="86"/>
      <x:c r="E86" s="86"/>
      <x:c r="F86" s="88"/>
      <x:c r="G86" s="88"/>
      <x:c r="H86" s="88"/>
      <x:c r="I86" s="85"/>
      <x:c r="J86" s="85"/>
      <x:c r="K86" s="85"/>
      <x:c r="L86" s="85"/>
      <x:c r="M86" s="85"/>
      <x:c r="N86" s="85"/>
      <x:c r="O86" s="85"/>
      <x:c r="P86" s="85"/>
      <x:c r="Q86" s="85"/>
      <x:c r="R86" s="85"/>
      <x:c r="S86" s="85"/>
      <x:c r="T86" s="85"/>
      <x:c r="U86" s="85"/>
      <x:c r="V86" s="85"/>
      <x:c r="W86" s="85"/>
      <x:c r="X86" s="85"/>
      <x:c r="Y86" s="85"/>
      <x:c r="Z86" s="85"/>
      <x:c r="AA86" s="85"/>
      <x:c r="AB86" s="85"/>
      <x:c r="AC86" s="85"/>
      <x:c r="AD86" s="85"/>
      <x:c r="AE86" s="85"/>
      <x:c r="AF86" s="85"/>
      <x:c r="AG86" s="85"/>
      <x:c r="AH86" s="85"/>
      <x:c r="AI86" s="85"/>
      <x:c r="AJ86" s="85"/>
    </x:row>
    <x:row r="87">
      <x:c r="A87" s="86"/>
      <x:c r="B87" s="86"/>
      <x:c r="C87" s="87"/>
      <x:c r="D87" s="86"/>
      <x:c r="E87" s="86"/>
      <x:c r="F87" s="88"/>
      <x:c r="G87" s="88"/>
      <x:c r="H87" s="88"/>
      <x:c r="I87" s="85"/>
      <x:c r="J87" s="85"/>
      <x:c r="K87" s="85"/>
      <x:c r="L87" s="85"/>
      <x:c r="M87" s="85"/>
      <x:c r="N87" s="85"/>
      <x:c r="O87" s="85"/>
      <x:c r="P87" s="85"/>
      <x:c r="Q87" s="85"/>
      <x:c r="R87" s="85"/>
      <x:c r="S87" s="85"/>
      <x:c r="T87" s="85"/>
      <x:c r="U87" s="85"/>
      <x:c r="V87" s="85"/>
      <x:c r="W87" s="85"/>
      <x:c r="X87" s="85"/>
      <x:c r="Y87" s="85"/>
      <x:c r="Z87" s="85"/>
      <x:c r="AA87" s="85"/>
      <x:c r="AB87" s="85"/>
      <x:c r="AC87" s="85"/>
      <x:c r="AD87" s="85"/>
      <x:c r="AE87" s="85"/>
      <x:c r="AF87" s="85"/>
      <x:c r="AG87" s="85"/>
      <x:c r="AH87" s="85"/>
      <x:c r="AI87" s="85"/>
      <x:c r="AJ87" s="85"/>
    </x:row>
    <x:row r="88">
      <x:c r="A88" s="86"/>
      <x:c r="B88" s="86"/>
      <x:c r="C88" s="87"/>
      <x:c r="D88" s="86"/>
      <x:c r="E88" s="86"/>
      <x:c r="F88" s="88"/>
      <x:c r="G88" s="88"/>
      <x:c r="H88" s="88"/>
      <x:c r="I88" s="85"/>
      <x:c r="J88" s="85"/>
      <x:c r="K88" s="85"/>
      <x:c r="L88" s="85"/>
      <x:c r="M88" s="85"/>
      <x:c r="N88" s="85"/>
      <x:c r="O88" s="85"/>
      <x:c r="P88" s="85"/>
      <x:c r="Q88" s="85"/>
      <x:c r="R88" s="85"/>
      <x:c r="S88" s="85"/>
      <x:c r="T88" s="85"/>
      <x:c r="U88" s="85"/>
      <x:c r="V88" s="85"/>
      <x:c r="W88" s="85"/>
      <x:c r="X88" s="85"/>
      <x:c r="Y88" s="85"/>
      <x:c r="Z88" s="85"/>
      <x:c r="AA88" s="85"/>
      <x:c r="AB88" s="85"/>
      <x:c r="AC88" s="85"/>
      <x:c r="AD88" s="85"/>
      <x:c r="AE88" s="85"/>
      <x:c r="AF88" s="85"/>
      <x:c r="AG88" s="85"/>
      <x:c r="AH88" s="85"/>
      <x:c r="AI88" s="85"/>
      <x:c r="AJ88" s="85"/>
    </x:row>
    <x:row r="89">
      <x:c r="A89" s="86"/>
      <x:c r="B89" s="86"/>
      <x:c r="C89" s="87"/>
      <x:c r="D89" s="86"/>
      <x:c r="E89" s="86"/>
      <x:c r="F89" s="88"/>
      <x:c r="G89" s="88"/>
      <x:c r="H89" s="88"/>
      <x:c r="I89" s="85"/>
      <x:c r="J89" s="85"/>
      <x:c r="K89" s="85"/>
      <x:c r="L89" s="85"/>
      <x:c r="M89" s="85"/>
      <x:c r="N89" s="85"/>
      <x:c r="O89" s="85"/>
      <x:c r="P89" s="85"/>
      <x:c r="Q89" s="85"/>
      <x:c r="R89" s="85"/>
      <x:c r="S89" s="85"/>
      <x:c r="T89" s="85"/>
      <x:c r="U89" s="85"/>
      <x:c r="V89" s="85"/>
      <x:c r="W89" s="85"/>
      <x:c r="X89" s="85"/>
      <x:c r="Y89" s="85"/>
      <x:c r="Z89" s="85"/>
      <x:c r="AA89" s="85"/>
      <x:c r="AB89" s="85"/>
      <x:c r="AC89" s="85"/>
      <x:c r="AD89" s="85"/>
      <x:c r="AE89" s="85"/>
      <x:c r="AF89" s="85"/>
      <x:c r="AG89" s="85"/>
      <x:c r="AH89" s="85"/>
      <x:c r="AI89" s="85"/>
      <x:c r="AJ89" s="85"/>
    </x:row>
    <x:row r="90">
      <x:c r="A90" s="86"/>
      <x:c r="B90" s="86"/>
      <x:c r="C90" s="87"/>
      <x:c r="D90" s="86"/>
      <x:c r="E90" s="86"/>
      <x:c r="F90" s="88"/>
      <x:c r="G90" s="88"/>
      <x:c r="H90" s="88"/>
      <x:c r="I90" s="85"/>
      <x:c r="J90" s="85"/>
      <x:c r="K90" s="85"/>
      <x:c r="L90" s="85"/>
      <x:c r="M90" s="85"/>
      <x:c r="N90" s="85"/>
      <x:c r="O90" s="85"/>
      <x:c r="P90" s="85"/>
      <x:c r="Q90" s="85"/>
      <x:c r="R90" s="85"/>
      <x:c r="S90" s="85"/>
      <x:c r="T90" s="85"/>
      <x:c r="U90" s="85"/>
      <x:c r="V90" s="85"/>
      <x:c r="W90" s="85"/>
      <x:c r="X90" s="85"/>
      <x:c r="Y90" s="85"/>
      <x:c r="Z90" s="85"/>
      <x:c r="AA90" s="85"/>
      <x:c r="AB90" s="85"/>
      <x:c r="AC90" s="85"/>
      <x:c r="AD90" s="85"/>
      <x:c r="AE90" s="85"/>
      <x:c r="AF90" s="85"/>
      <x:c r="AG90" s="85"/>
      <x:c r="AH90" s="85"/>
      <x:c r="AI90" s="85"/>
      <x:c r="AJ90" s="85"/>
    </x:row>
    <x:row r="91">
      <x:c r="A91" s="86"/>
      <x:c r="B91" s="86"/>
      <x:c r="C91" s="87"/>
      <x:c r="D91" s="86"/>
      <x:c r="E91" s="86"/>
      <x:c r="F91" s="88"/>
      <x:c r="G91" s="88"/>
      <x:c r="H91" s="88"/>
      <x:c r="I91" s="85"/>
      <x:c r="J91" s="85"/>
      <x:c r="K91" s="85"/>
      <x:c r="L91" s="85"/>
      <x:c r="M91" s="85"/>
      <x:c r="N91" s="85"/>
      <x:c r="O91" s="85"/>
      <x:c r="P91" s="85"/>
      <x:c r="Q91" s="85"/>
      <x:c r="R91" s="85"/>
      <x:c r="S91" s="85"/>
      <x:c r="T91" s="85"/>
      <x:c r="U91" s="85"/>
      <x:c r="V91" s="85"/>
      <x:c r="W91" s="85"/>
      <x:c r="X91" s="85"/>
      <x:c r="Y91" s="85"/>
      <x:c r="Z91" s="85"/>
      <x:c r="AA91" s="85"/>
      <x:c r="AB91" s="85"/>
      <x:c r="AC91" s="85"/>
      <x:c r="AD91" s="85"/>
      <x:c r="AE91" s="85"/>
      <x:c r="AF91" s="85"/>
      <x:c r="AG91" s="85"/>
      <x:c r="AH91" s="85"/>
      <x:c r="AI91" s="85"/>
      <x:c r="AJ91" s="85"/>
    </x:row>
    <x:row r="92">
      <x:c r="A92" s="86"/>
      <x:c r="B92" s="86"/>
      <x:c r="C92" s="87"/>
      <x:c r="D92" s="86"/>
      <x:c r="E92" s="86"/>
      <x:c r="F92" s="88"/>
      <x:c r="G92" s="88"/>
      <x:c r="H92" s="88"/>
      <x:c r="I92" s="85"/>
      <x:c r="J92" s="85"/>
      <x:c r="K92" s="85"/>
      <x:c r="L92" s="85"/>
      <x:c r="M92" s="85"/>
      <x:c r="N92" s="85"/>
      <x:c r="O92" s="85"/>
      <x:c r="P92" s="85"/>
      <x:c r="Q92" s="85"/>
      <x:c r="R92" s="85"/>
      <x:c r="S92" s="85"/>
      <x:c r="T92" s="85"/>
      <x:c r="U92" s="85"/>
      <x:c r="V92" s="85"/>
      <x:c r="W92" s="85"/>
      <x:c r="X92" s="85"/>
      <x:c r="Y92" s="85"/>
      <x:c r="Z92" s="85"/>
      <x:c r="AA92" s="85"/>
      <x:c r="AB92" s="85"/>
      <x:c r="AC92" s="85"/>
      <x:c r="AD92" s="85"/>
      <x:c r="AE92" s="85"/>
      <x:c r="AF92" s="85"/>
      <x:c r="AG92" s="85"/>
      <x:c r="AH92" s="85"/>
      <x:c r="AI92" s="85"/>
      <x:c r="AJ92" s="85"/>
    </x:row>
    <x:row r="93">
      <x:c r="A93" s="86"/>
      <x:c r="B93" s="86"/>
      <x:c r="C93" s="87"/>
      <x:c r="D93" s="86"/>
      <x:c r="E93" s="86"/>
      <x:c r="F93" s="88"/>
      <x:c r="G93" s="88"/>
      <x:c r="H93" s="88"/>
      <x:c r="I93" s="85"/>
      <x:c r="J93" s="85"/>
      <x:c r="K93" s="85"/>
      <x:c r="L93" s="85"/>
      <x:c r="M93" s="85"/>
      <x:c r="N93" s="85"/>
      <x:c r="O93" s="85"/>
      <x:c r="P93" s="85"/>
      <x:c r="Q93" s="85"/>
      <x:c r="R93" s="85"/>
      <x:c r="S93" s="85"/>
      <x:c r="T93" s="85"/>
      <x:c r="U93" s="85"/>
      <x:c r="V93" s="85"/>
      <x:c r="W93" s="85"/>
      <x:c r="X93" s="85"/>
      <x:c r="Y93" s="85"/>
      <x:c r="Z93" s="85"/>
      <x:c r="AA93" s="85"/>
      <x:c r="AB93" s="85"/>
      <x:c r="AC93" s="85"/>
      <x:c r="AD93" s="85"/>
      <x:c r="AE93" s="85"/>
      <x:c r="AF93" s="85"/>
      <x:c r="AG93" s="85"/>
      <x:c r="AH93" s="85"/>
      <x:c r="AI93" s="85"/>
      <x:c r="AJ93" s="85"/>
    </x:row>
    <x:row r="94">
      <x:c r="A94" s="86"/>
      <x:c r="B94" s="86"/>
      <x:c r="C94" s="87"/>
      <x:c r="D94" s="86"/>
      <x:c r="E94" s="86"/>
      <x:c r="F94" s="88"/>
      <x:c r="G94" s="88"/>
      <x:c r="H94" s="88"/>
      <x:c r="I94" s="85"/>
      <x:c r="J94" s="85"/>
      <x:c r="K94" s="85"/>
      <x:c r="L94" s="85"/>
      <x:c r="M94" s="85"/>
      <x:c r="N94" s="85"/>
      <x:c r="O94" s="85"/>
      <x:c r="P94" s="85"/>
      <x:c r="Q94" s="85"/>
      <x:c r="R94" s="85"/>
      <x:c r="S94" s="85"/>
      <x:c r="T94" s="85"/>
      <x:c r="U94" s="85"/>
      <x:c r="V94" s="85"/>
      <x:c r="W94" s="85"/>
      <x:c r="X94" s="85"/>
      <x:c r="Y94" s="85"/>
      <x:c r="Z94" s="85"/>
      <x:c r="AA94" s="85"/>
      <x:c r="AB94" s="85"/>
      <x:c r="AC94" s="85"/>
      <x:c r="AD94" s="85"/>
      <x:c r="AE94" s="85"/>
      <x:c r="AF94" s="85"/>
      <x:c r="AG94" s="85"/>
      <x:c r="AH94" s="85"/>
      <x:c r="AI94" s="85"/>
      <x:c r="AJ94" s="85"/>
    </x:row>
    <x:row r="95">
      <x:c r="A95" s="86"/>
      <x:c r="B95" s="86"/>
      <x:c r="C95" s="87"/>
      <x:c r="D95" s="86"/>
      <x:c r="E95" s="86"/>
      <x:c r="F95" s="88"/>
      <x:c r="G95" s="88"/>
      <x:c r="H95" s="88"/>
      <x:c r="I95" s="85"/>
      <x:c r="J95" s="85"/>
      <x:c r="K95" s="85"/>
      <x:c r="L95" s="85"/>
      <x:c r="M95" s="85"/>
      <x:c r="N95" s="85"/>
      <x:c r="O95" s="85"/>
      <x:c r="P95" s="85"/>
      <x:c r="Q95" s="85"/>
      <x:c r="R95" s="85"/>
      <x:c r="S95" s="85"/>
      <x:c r="T95" s="85"/>
      <x:c r="U95" s="85"/>
      <x:c r="V95" s="85"/>
      <x:c r="W95" s="85"/>
      <x:c r="X95" s="85"/>
      <x:c r="Y95" s="85"/>
      <x:c r="Z95" s="85"/>
      <x:c r="AA95" s="85"/>
      <x:c r="AB95" s="85"/>
      <x:c r="AC95" s="85"/>
      <x:c r="AD95" s="85"/>
      <x:c r="AE95" s="85"/>
      <x:c r="AF95" s="85"/>
      <x:c r="AG95" s="85"/>
      <x:c r="AH95" s="85"/>
      <x:c r="AI95" s="85"/>
      <x:c r="AJ95" s="85"/>
    </x:row>
    <x:row r="96">
      <x:c r="A96" s="86"/>
      <x:c r="B96" s="86"/>
      <x:c r="C96" s="87"/>
      <x:c r="D96" s="86"/>
      <x:c r="E96" s="86"/>
      <x:c r="F96" s="88"/>
      <x:c r="G96" s="88"/>
      <x:c r="H96" s="88"/>
      <x:c r="I96" s="85"/>
      <x:c r="J96" s="85"/>
      <x:c r="K96" s="85"/>
      <x:c r="L96" s="85"/>
      <x:c r="M96" s="85"/>
      <x:c r="N96" s="85"/>
      <x:c r="O96" s="85"/>
      <x:c r="P96" s="85"/>
      <x:c r="Q96" s="85"/>
      <x:c r="R96" s="85"/>
      <x:c r="S96" s="85"/>
      <x:c r="T96" s="85"/>
      <x:c r="U96" s="85"/>
      <x:c r="V96" s="85"/>
      <x:c r="W96" s="85"/>
      <x:c r="X96" s="85"/>
      <x:c r="Y96" s="85"/>
      <x:c r="Z96" s="85"/>
      <x:c r="AA96" s="85"/>
      <x:c r="AB96" s="85"/>
      <x:c r="AC96" s="85"/>
      <x:c r="AD96" s="85"/>
      <x:c r="AE96" s="85"/>
      <x:c r="AF96" s="85"/>
      <x:c r="AG96" s="85"/>
      <x:c r="AH96" s="85"/>
      <x:c r="AI96" s="85"/>
      <x:c r="AJ96" s="85"/>
    </x:row>
    <x:row r="97">
      <x:c r="A97" s="86"/>
      <x:c r="B97" s="86"/>
      <x:c r="C97" s="87"/>
      <x:c r="D97" s="86"/>
      <x:c r="E97" s="86"/>
      <x:c r="F97" s="88"/>
      <x:c r="G97" s="88"/>
      <x:c r="H97" s="88"/>
      <x:c r="I97" s="85"/>
      <x:c r="J97" s="85"/>
      <x:c r="K97" s="85"/>
      <x:c r="L97" s="85"/>
      <x:c r="M97" s="85"/>
      <x:c r="N97" s="85"/>
      <x:c r="O97" s="85"/>
      <x:c r="P97" s="85"/>
      <x:c r="Q97" s="85"/>
      <x:c r="R97" s="85"/>
      <x:c r="S97" s="85"/>
      <x:c r="T97" s="85"/>
      <x:c r="U97" s="85"/>
      <x:c r="V97" s="85"/>
      <x:c r="W97" s="85"/>
      <x:c r="X97" s="85"/>
      <x:c r="Y97" s="85"/>
      <x:c r="Z97" s="85"/>
      <x:c r="AA97" s="85"/>
      <x:c r="AB97" s="85"/>
      <x:c r="AC97" s="85"/>
      <x:c r="AD97" s="85"/>
      <x:c r="AE97" s="85"/>
      <x:c r="AF97" s="85"/>
      <x:c r="AG97" s="85"/>
      <x:c r="AH97" s="85"/>
      <x:c r="AI97" s="85"/>
      <x:c r="AJ97" s="85"/>
    </x:row>
    <x:row r="98">
      <x:c r="A98" s="86"/>
      <x:c r="B98" s="86"/>
      <x:c r="C98" s="87"/>
      <x:c r="D98" s="86"/>
      <x:c r="E98" s="86"/>
      <x:c r="F98" s="88"/>
      <x:c r="G98" s="88"/>
      <x:c r="H98" s="88"/>
      <x:c r="I98" s="85"/>
      <x:c r="J98" s="85"/>
      <x:c r="K98" s="85"/>
      <x:c r="L98" s="85"/>
      <x:c r="M98" s="85"/>
      <x:c r="N98" s="85"/>
      <x:c r="O98" s="85"/>
      <x:c r="P98" s="85"/>
      <x:c r="Q98" s="85"/>
      <x:c r="R98" s="85"/>
      <x:c r="S98" s="85"/>
      <x:c r="T98" s="85"/>
      <x:c r="U98" s="85"/>
      <x:c r="V98" s="85"/>
      <x:c r="W98" s="85"/>
      <x:c r="X98" s="85"/>
      <x:c r="Y98" s="85"/>
      <x:c r="Z98" s="85"/>
      <x:c r="AA98" s="85"/>
      <x:c r="AB98" s="85"/>
      <x:c r="AC98" s="85"/>
      <x:c r="AD98" s="85"/>
      <x:c r="AE98" s="85"/>
      <x:c r="AF98" s="85"/>
      <x:c r="AG98" s="85"/>
      <x:c r="AH98" s="85"/>
      <x:c r="AI98" s="85"/>
      <x:c r="AJ98" s="85"/>
    </x:row>
    <x:row r="99">
      <x:c r="A99" s="86"/>
      <x:c r="B99" s="86"/>
      <x:c r="C99" s="87"/>
      <x:c r="D99" s="86"/>
      <x:c r="E99" s="86"/>
      <x:c r="F99" s="88"/>
      <x:c r="G99" s="88"/>
      <x:c r="H99" s="88"/>
      <x:c r="I99" s="85"/>
      <x:c r="J99" s="85"/>
      <x:c r="K99" s="85"/>
      <x:c r="L99" s="85"/>
      <x:c r="M99" s="85"/>
      <x:c r="N99" s="85"/>
      <x:c r="O99" s="85"/>
      <x:c r="P99" s="85"/>
      <x:c r="Q99" s="85"/>
      <x:c r="R99" s="85"/>
      <x:c r="S99" s="85"/>
      <x:c r="T99" s="85"/>
      <x:c r="U99" s="85"/>
      <x:c r="V99" s="85"/>
      <x:c r="W99" s="85"/>
      <x:c r="X99" s="85"/>
      <x:c r="Y99" s="85"/>
      <x:c r="Z99" s="85"/>
      <x:c r="AA99" s="85"/>
      <x:c r="AB99" s="85"/>
      <x:c r="AC99" s="85"/>
      <x:c r="AD99" s="85"/>
      <x:c r="AE99" s="85"/>
      <x:c r="AF99" s="85"/>
      <x:c r="AG99" s="85"/>
      <x:c r="AH99" s="85"/>
      <x:c r="AI99" s="85"/>
      <x:c r="AJ99" s="85"/>
    </x:row>
    <x:row r="100">
      <x:c r="A100" s="86"/>
      <x:c r="B100" s="86"/>
      <x:c r="C100" s="87"/>
      <x:c r="D100" s="86"/>
      <x:c r="E100" s="86"/>
      <x:c r="F100" s="88"/>
      <x:c r="G100" s="88"/>
      <x:c r="H100" s="88"/>
      <x:c r="I100" s="85"/>
      <x:c r="J100" s="85"/>
      <x:c r="K100" s="85"/>
      <x:c r="L100" s="85"/>
      <x:c r="M100" s="85"/>
      <x:c r="N100" s="85"/>
      <x:c r="O100" s="85"/>
      <x:c r="P100" s="85"/>
      <x:c r="Q100" s="85"/>
      <x:c r="R100" s="85"/>
      <x:c r="S100" s="85"/>
      <x:c r="T100" s="85"/>
      <x:c r="U100" s="85"/>
      <x:c r="V100" s="85"/>
      <x:c r="W100" s="85"/>
      <x:c r="X100" s="85"/>
      <x:c r="Y100" s="85"/>
      <x:c r="Z100" s="85"/>
      <x:c r="AA100" s="85"/>
      <x:c r="AB100" s="85"/>
      <x:c r="AC100" s="85"/>
      <x:c r="AD100" s="85"/>
      <x:c r="AE100" s="85"/>
      <x:c r="AF100" s="85"/>
      <x:c r="AG100" s="85"/>
      <x:c r="AH100" s="85"/>
      <x:c r="AI100" s="85"/>
      <x:c r="AJ100" s="85"/>
    </x:row>
    <x:row r="101">
      <x:c r="A101" s="86"/>
      <x:c r="B101" s="86"/>
      <x:c r="C101" s="87"/>
      <x:c r="D101" s="86"/>
      <x:c r="E101" s="86"/>
      <x:c r="F101" s="88"/>
      <x:c r="G101" s="88"/>
      <x:c r="H101" s="88"/>
      <x:c r="I101" s="85"/>
      <x:c r="J101" s="85"/>
      <x:c r="K101" s="85"/>
      <x:c r="L101" s="85"/>
      <x:c r="M101" s="85"/>
      <x:c r="N101" s="85"/>
      <x:c r="O101" s="85"/>
      <x:c r="P101" s="85"/>
      <x:c r="Q101" s="85"/>
      <x:c r="R101" s="85"/>
      <x:c r="S101" s="85"/>
      <x:c r="T101" s="85"/>
      <x:c r="U101" s="85"/>
      <x:c r="V101" s="85"/>
      <x:c r="W101" s="85"/>
      <x:c r="X101" s="85"/>
      <x:c r="Y101" s="85"/>
      <x:c r="Z101" s="85"/>
      <x:c r="AA101" s="85"/>
      <x:c r="AB101" s="85"/>
      <x:c r="AC101" s="85"/>
      <x:c r="AD101" s="85"/>
      <x:c r="AE101" s="85"/>
      <x:c r="AF101" s="85"/>
      <x:c r="AG101" s="85"/>
      <x:c r="AH101" s="85"/>
      <x:c r="AI101" s="85"/>
      <x:c r="AJ101" s="85"/>
    </x:row>
    <x:row r="102">
      <x:c r="A102" s="86"/>
      <x:c r="B102" s="86"/>
      <x:c r="C102" s="87"/>
      <x:c r="D102" s="86"/>
      <x:c r="E102" s="86"/>
      <x:c r="F102" s="88"/>
      <x:c r="G102" s="88"/>
      <x:c r="H102" s="88"/>
      <x:c r="I102" s="85"/>
      <x:c r="J102" s="85"/>
      <x:c r="K102" s="85"/>
      <x:c r="L102" s="85"/>
      <x:c r="M102" s="85"/>
      <x:c r="N102" s="85"/>
      <x:c r="O102" s="85"/>
      <x:c r="P102" s="85"/>
      <x:c r="Q102" s="85"/>
      <x:c r="R102" s="85"/>
      <x:c r="S102" s="85"/>
      <x:c r="T102" s="85"/>
      <x:c r="U102" s="85"/>
      <x:c r="V102" s="85"/>
      <x:c r="W102" s="85"/>
      <x:c r="X102" s="85"/>
      <x:c r="Y102" s="85"/>
      <x:c r="Z102" s="85"/>
      <x:c r="AA102" s="85"/>
      <x:c r="AB102" s="85"/>
      <x:c r="AC102" s="85"/>
      <x:c r="AD102" s="85"/>
      <x:c r="AE102" s="85"/>
      <x:c r="AF102" s="85"/>
      <x:c r="AG102" s="85"/>
      <x:c r="AH102" s="85"/>
      <x:c r="AI102" s="85"/>
      <x:c r="AJ102" s="85"/>
    </x:row>
    <x:row r="103">
      <x:c r="A103" s="86"/>
      <x:c r="B103" s="86"/>
      <x:c r="C103" s="87"/>
      <x:c r="D103" s="86"/>
      <x:c r="E103" s="86"/>
      <x:c r="F103" s="88"/>
      <x:c r="G103" s="88"/>
      <x:c r="H103" s="88"/>
      <x:c r="I103" s="85"/>
      <x:c r="J103" s="85"/>
      <x:c r="K103" s="85"/>
      <x:c r="L103" s="85"/>
      <x:c r="M103" s="85"/>
      <x:c r="N103" s="85"/>
      <x:c r="O103" s="85"/>
      <x:c r="P103" s="85"/>
      <x:c r="Q103" s="85"/>
      <x:c r="R103" s="85"/>
      <x:c r="S103" s="85"/>
      <x:c r="T103" s="85"/>
      <x:c r="U103" s="85"/>
      <x:c r="V103" s="85"/>
      <x:c r="W103" s="85"/>
      <x:c r="X103" s="85"/>
      <x:c r="Y103" s="85"/>
      <x:c r="Z103" s="85"/>
      <x:c r="AA103" s="85"/>
      <x:c r="AB103" s="85"/>
      <x:c r="AC103" s="85"/>
      <x:c r="AD103" s="85"/>
      <x:c r="AE103" s="85"/>
      <x:c r="AF103" s="85"/>
      <x:c r="AG103" s="85"/>
      <x:c r="AH103" s="85"/>
      <x:c r="AI103" s="85"/>
      <x:c r="AJ103" s="85"/>
    </x:row>
  </x:sheetData>
  <x:conditionalFormatting sqref="Q4:Q103">
    <x:cfRule type="expression" dxfId="8" priority="1">
      <x:formula>Q4="Conferida"</x:formula>
    </x:cfRule>
    <x:cfRule type="expression" dxfId="9" priority="2">
      <x:formula>Q4="Em auditoria"</x:formula>
    </x:cfRule>
    <x:cfRule type="expression" dxfId="10" priority="3">
      <x:formula>Q4="Pendente"</x:formula>
    </x:cfRule>
  </x:conditionalFormatting>
  <x:dataValidations count="1">
    <x:dataValidation type="list" sqref="Q4:Q103">
      <x:formula1>"Pendente,Em auditoria,Conferida,Paga"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6" hidden="0" customWidth="1"/>
    <x:col min="53" max="53" width="20" hidden="0" customWidth="1"/>
    <x:col min="54" max="54" width="46" hidden="0" customWidth="1"/>
  </x:cols>
  <x:sheetData>
    <x:row r="1" ht="28" customHeight="1">
      <x:c r="A1" s="158" t="str">
        <x:v>DIAGNÓSTICO AUTOMÁTICO DE DIVERGÊNCIAS DA FOLHA</x:v>
      </x:c>
      <x:c r="B1" s="158"/>
      <x:c r="C1" s="158"/>
      <x:c r="D1" s="158"/>
      <x:c r="E1" s="158"/>
      <x:c r="F1" s="158"/>
      <x:c r="G1" s="158"/>
      <x:c r="H1" s="158"/>
      <x:c r="I1" s="158"/>
      <x:c r="J1" s="158"/>
      <x:c r="K1" s="158"/>
      <x:c r="L1" s="158"/>
      <x:c r="M1" s="158"/>
      <x:c r="N1" s="158"/>
      <x:c r="O1" s="158"/>
      <x:c r="P1" s="158"/>
      <x:c r="Q1" s="158"/>
      <x:c r="R1" s="158"/>
      <x:c r="S1" s="158"/>
      <x:c r="T1" s="158"/>
      <x:c r="U1" s="158"/>
      <x:c r="V1" s="158"/>
      <x:c r="W1" s="158"/>
      <x:c r="X1" s="158"/>
      <x:c r="Y1" s="158"/>
      <x:c r="Z1" s="158"/>
      <x:c r="AA1" s="158"/>
      <x:c r="AB1" s="158"/>
      <x:c r="AC1" s="158"/>
      <x:c r="AD1" s="158"/>
      <x:c r="AE1" s="158"/>
      <x:c r="AF1" s="158"/>
      <x:c r="AG1" s="158"/>
      <x:c r="AH1" s="158"/>
      <x:c r="AI1" s="158"/>
      <x:c r="AJ1" s="158"/>
      <x:c r="AK1" s="158"/>
      <x:c r="AL1" s="158"/>
      <x:c r="AM1" s="158"/>
      <x:c r="AN1" s="158"/>
      <x:c r="AO1" s="158"/>
      <x:c r="AP1" s="158"/>
      <x:c r="AQ1" s="158"/>
      <x:c r="AR1" s="158"/>
      <x:c r="AS1" s="158"/>
      <x:c r="AT1" s="158"/>
      <x:c r="AU1" s="158"/>
      <x:c r="AV1" s="158"/>
      <x:c r="AW1" s="158"/>
      <x:c r="AX1" s="158"/>
      <x:c r="AY1" s="158"/>
      <x:c r="AZ1" s="158"/>
      <x:c r="BA1" s="85"/>
      <x:c r="BB1" s="85"/>
    </x:row>
    <x:row r="2">
      <x:c r="A2" s="85"/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  <x:c r="AA2" s="85"/>
      <x:c r="AB2" s="85"/>
      <x:c r="AC2" s="85"/>
      <x:c r="AD2" s="85"/>
      <x:c r="AE2" s="85"/>
      <x:c r="AF2" s="85"/>
      <x:c r="AG2" s="85"/>
      <x:c r="AH2" s="85"/>
      <x:c r="AI2" s="85"/>
      <x:c r="AJ2" s="85"/>
      <x:c r="AK2" s="85"/>
      <x:c r="AL2" s="85"/>
      <x:c r="AM2" s="85"/>
      <x:c r="AN2" s="85"/>
      <x:c r="AO2" s="85"/>
      <x:c r="AP2" s="85"/>
      <x:c r="AQ2" s="85"/>
      <x:c r="AR2" s="85"/>
      <x:c r="AS2" s="85"/>
      <x:c r="AT2" s="85"/>
      <x:c r="AU2" s="85"/>
      <x:c r="AV2" s="85"/>
      <x:c r="AW2" s="85"/>
      <x:c r="AX2" s="85"/>
      <x:c r="AY2" s="85"/>
      <x:c r="AZ2" s="85"/>
      <x:c r="BA2" s="85"/>
      <x:c r="BB2" s="85"/>
    </x:row>
    <x:row r="3">
      <x:c r="A3" s="145" t="str">
        <x:v>Como usar: as colunas amarelas são os valores detalhados que vieram do sistema/contabilidade. A planilha compara cada verba com o cálculo interno e aponta automaticamente a maior divergência.</x:v>
      </x:c>
      <x:c r="B3" s="145" t="str"/>
      <x:c r="C3" s="145" t="str"/>
      <x:c r="D3" s="145" t="str"/>
      <x:c r="E3" s="145" t="str"/>
      <x:c r="F3" s="145" t="str"/>
      <x:c r="G3" s="145" t="str"/>
      <x:c r="H3" s="145" t="str"/>
      <x:c r="I3" s="145" t="str"/>
      <x:c r="J3" s="145" t="str"/>
      <x:c r="K3" s="145" t="str"/>
      <x:c r="L3" s="145" t="str"/>
      <x:c r="M3" s="145" t="str"/>
      <x:c r="N3" s="145" t="str"/>
      <x:c r="O3" s="145" t="str"/>
      <x:c r="P3" s="145" t="str"/>
      <x:c r="Q3" s="145" t="str"/>
      <x:c r="R3" s="145" t="str"/>
      <x:c r="S3" s="145" t="str"/>
      <x:c r="T3" s="145" t="str"/>
      <x:c r="U3" s="145" t="str"/>
      <x:c r="V3" s="145" t="str"/>
      <x:c r="W3" s="145" t="str"/>
      <x:c r="X3" s="145" t="str"/>
      <x:c r="Y3" s="145" t="str"/>
      <x:c r="Z3" s="145" t="str"/>
      <x:c r="AA3" s="145" t="str"/>
      <x:c r="AB3" s="145" t="str"/>
      <x:c r="AC3" s="145" t="str"/>
      <x:c r="AD3" s="145" t="str"/>
      <x:c r="AE3" s="145" t="str"/>
      <x:c r="AF3" s="145" t="str"/>
      <x:c r="AG3" s="145" t="str"/>
      <x:c r="AH3" s="145" t="str"/>
      <x:c r="AI3" s="145" t="str"/>
      <x:c r="AJ3" s="145" t="str"/>
      <x:c r="AK3" s="145" t="str"/>
      <x:c r="AL3" s="145" t="str"/>
      <x:c r="AM3" s="145" t="str"/>
      <x:c r="AN3" s="145" t="str"/>
      <x:c r="AO3" s="145" t="str"/>
      <x:c r="AP3" s="145" t="str"/>
      <x:c r="AQ3" s="145" t="str"/>
      <x:c r="AR3" s="145" t="str"/>
      <x:c r="AS3" s="145" t="str"/>
      <x:c r="AT3" s="145" t="str"/>
      <x:c r="AU3" s="145" t="str"/>
      <x:c r="AV3" s="145" t="str"/>
      <x:c r="AW3" s="145" t="str"/>
      <x:c r="AX3" s="145" t="str"/>
      <x:c r="AY3" s="145" t="str"/>
      <x:c r="AZ3" s="145" t="str"/>
      <x:c r="BA3" s="85"/>
      <x:c r="BB3" s="85"/>
    </x:row>
    <x:row r="4">
      <x:c r="A4" s="85"/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  <x:c r="AA4" s="85"/>
      <x:c r="AB4" s="85"/>
      <x:c r="AC4" s="85"/>
      <x:c r="AD4" s="85"/>
      <x:c r="AE4" s="85"/>
      <x:c r="AF4" s="85"/>
      <x:c r="AG4" s="85"/>
      <x:c r="AH4" s="85"/>
      <x:c r="AI4" s="85"/>
      <x:c r="AJ4" s="85"/>
      <x:c r="AK4" s="85"/>
      <x:c r="AL4" s="85"/>
      <x:c r="AM4" s="85"/>
      <x:c r="AN4" s="85"/>
      <x:c r="AO4" s="85"/>
      <x:c r="AP4" s="85"/>
      <x:c r="AQ4" s="85"/>
      <x:c r="AR4" s="85"/>
      <x:c r="AS4" s="85"/>
      <x:c r="AT4" s="85"/>
      <x:c r="AU4" s="85"/>
      <x:c r="AV4" s="85"/>
      <x:c r="AW4" s="85"/>
      <x:c r="AX4" s="85"/>
      <x:c r="AY4" s="85"/>
      <x:c r="AZ4" s="85"/>
      <x:c r="BA4" s="85"/>
      <x:c r="BB4" s="85"/>
    </x:row>
    <x:row r="5" ht="55" customHeight="1">
      <x:c r="A5" s="154" t="str">
        <x:v>Matrícula</x:v>
      </x:c>
      <x:c r="B5" s="154" t="str">
        <x:v>Nome</x:v>
      </x:c>
      <x:c r="C5" s="154" t="str">
        <x:v>Status Geral</x:v>
      </x:c>
      <x:c r="D5" s="154" t="str">
        <x:v>Calc. Desc. Falta</x:v>
      </x:c>
      <x:c r="E5" s="154" t="str">
        <x:v>Sist. Desc. Falta</x:v>
      </x:c>
      <x:c r="F5" s="154" t="str">
        <x:v>Dif. Desc. Falta</x:v>
      </x:c>
      <x:c r="G5" s="154" t="str">
        <x:v>Calc. DSR Falta</x:v>
      </x:c>
      <x:c r="H5" s="154" t="str">
        <x:v>Sist. DSR Falta</x:v>
      </x:c>
      <x:c r="I5" s="154" t="str">
        <x:v>Dif. DSR Falta</x:v>
      </x:c>
      <x:c r="J5" s="154" t="str">
        <x:v>Calc. HE 50%</x:v>
      </x:c>
      <x:c r="K5" s="154" t="str">
        <x:v>Sist. HE 50%</x:v>
      </x:c>
      <x:c r="L5" s="154" t="str">
        <x:v>Dif. HE 50%</x:v>
      </x:c>
      <x:c r="M5" s="154" t="str">
        <x:v>Calc. HE 100%</x:v>
      </x:c>
      <x:c r="N5" s="154" t="str">
        <x:v>Sist. HE 100%</x:v>
      </x:c>
      <x:c r="O5" s="154" t="str">
        <x:v>Dif. HE 100%</x:v>
      </x:c>
      <x:c r="P5" s="154" t="str">
        <x:v>Calc. Comissão</x:v>
      </x:c>
      <x:c r="Q5" s="154" t="str">
        <x:v>Sist. Comissão</x:v>
      </x:c>
      <x:c r="R5" s="154" t="str">
        <x:v>Dif. Comissão</x:v>
      </x:c>
      <x:c r="S5" s="154" t="str">
        <x:v>Calc. Bônus/Grat.</x:v>
      </x:c>
      <x:c r="T5" s="154" t="str">
        <x:v>Sist. Bônus/Grat.</x:v>
      </x:c>
      <x:c r="U5" s="154" t="str">
        <x:v>Dif. Bônus/Grat.</x:v>
      </x:c>
      <x:c r="V5" s="154" t="str">
        <x:v>Calc. Adicionais</x:v>
      </x:c>
      <x:c r="W5" s="154" t="str">
        <x:v>Sist. Adicionais</x:v>
      </x:c>
      <x:c r="X5" s="154" t="str">
        <x:v>Dif. Adicionais</x:v>
      </x:c>
      <x:c r="Y5" s="154" t="str">
        <x:v>Calc. DSR HE</x:v>
      </x:c>
      <x:c r="Z5" s="154" t="str">
        <x:v>Sist. DSR HE</x:v>
      </x:c>
      <x:c r="AA5" s="154" t="str">
        <x:v>Dif. DSR HE</x:v>
      </x:c>
      <x:c r="AB5" s="154" t="str">
        <x:v>Calc. DSR Comissão</x:v>
      </x:c>
      <x:c r="AC5" s="154" t="str">
        <x:v>Sist. DSR Comissão</x:v>
      </x:c>
      <x:c r="AD5" s="154" t="str">
        <x:v>Dif. DSR Comissão</x:v>
      </x:c>
      <x:c r="AE5" s="154" t="str">
        <x:v>Calc. VT</x:v>
      </x:c>
      <x:c r="AF5" s="154" t="str">
        <x:v>Sist. VT</x:v>
      </x:c>
      <x:c r="AG5" s="154" t="str">
        <x:v>Dif. VT</x:v>
      </x:c>
      <x:c r="AH5" s="154" t="str">
        <x:v>Calc. INSS</x:v>
      </x:c>
      <x:c r="AI5" s="154" t="str">
        <x:v>Sist. INSS</x:v>
      </x:c>
      <x:c r="AJ5" s="154" t="str">
        <x:v>Dif. INSS</x:v>
      </x:c>
      <x:c r="AK5" s="154" t="str">
        <x:v>Calc. IRRF</x:v>
      </x:c>
      <x:c r="AL5" s="154" t="str">
        <x:v>Sist. IRRF</x:v>
      </x:c>
      <x:c r="AM5" s="154" t="str">
        <x:v>Dif. IRRF</x:v>
      </x:c>
      <x:c r="AN5" s="154" t="str">
        <x:v>Calc. VA/VR</x:v>
      </x:c>
      <x:c r="AO5" s="154" t="str">
        <x:v>Sist. VA/VR</x:v>
      </x:c>
      <x:c r="AP5" s="154" t="str">
        <x:v>Dif. VA/VR</x:v>
      </x:c>
      <x:c r="AQ5" s="154" t="str">
        <x:v>Calc. Plano Saúde</x:v>
      </x:c>
      <x:c r="AR5" s="154" t="str">
        <x:v>Sist. Plano Saúde</x:v>
      </x:c>
      <x:c r="AS5" s="154" t="str">
        <x:v>Dif. Plano Saúde</x:v>
      </x:c>
      <x:c r="AT5" s="154" t="str">
        <x:v>Calc. Outros Fixos</x:v>
      </x:c>
      <x:c r="AU5" s="154" t="str">
        <x:v>Sist. Outros Fixos</x:v>
      </x:c>
      <x:c r="AV5" s="154" t="str">
        <x:v>Dif. Outros Fixos</x:v>
      </x:c>
      <x:c r="AW5" s="154" t="str">
        <x:v>Calc. Desconto Extra</x:v>
      </x:c>
      <x:c r="AX5" s="154" t="str">
        <x:v>Sist. Desconto Extra</x:v>
      </x:c>
      <x:c r="AY5" s="154" t="str">
        <x:v>Dif. Desconto Extra</x:v>
      </x:c>
      <x:c r="AZ5" s="154" t="str">
        <x:v>Maior Diferença (R$)</x:v>
      </x:c>
      <x:c r="BA5" s="154" t="str">
        <x:v>Causa Provável</x:v>
      </x:c>
      <x:c r="BB5" s="154" t="str">
        <x:v>Resumo do Diagnóstico</x:v>
      </x:c>
      <x:c r="BC5" s="150"/>
    </x:row>
    <x:row r="6">
      <x:c r="A6" s="122" t="n">
        <x:f>'Conferência'!A2</x:f>
        <x:v>1001</x:v>
      </x:c>
      <x:c r="B6" s="122" t="str">
        <x:f>'Conferência'!B2</x:f>
        <x:v>Camila Silva</x:v>
      </x:c>
      <x:c r="C6" s="122" t="str">
        <x:f>'Conferência'!AI2</x:f>
        <x:v>OK</x:v>
      </x:c>
      <x:c r="D6" s="159" t="n">
        <x:f>'Conferência'!N2</x:f>
        <x:v>0</x:v>
      </x:c>
      <x:c r="E6" s="160" t="n">
        <x:f>IF($A6="","",SUMIFS('Importação Contabilidade'!$D$7:$D$500,'Importação Contabilidade'!$A$7:$A$500,'Parâmetros'!$B$4,'Importação Contabilidade'!$B$7:$B$500,$A6))</x:f>
        <x:v>0</x:v>
      </x:c>
      <x:c r="F6" s="159" t="n">
        <x:f>IF(A6="","",D6-E6)</x:f>
        <x:v>0</x:v>
      </x:c>
      <x:c r="G6" s="159" t="n">
        <x:f>'Conferência'!O2</x:f>
        <x:v>0</x:v>
      </x:c>
      <x:c r="H6" s="160" t="n">
        <x:f>IF($A6="","",SUMIFS('Importação Contabilidade'!$E$7:$E$500,'Importação Contabilidade'!$A$7:$A$500,'Parâmetros'!$B$4,'Importação Contabilidade'!$B$7:$B$500,$A6))</x:f>
        <x:v>0</x:v>
      </x:c>
      <x:c r="I6" s="159" t="n">
        <x:f>IF(A6="","",G6-H6)</x:f>
        <x:v>0</x:v>
      </x:c>
      <x:c r="J6" s="159" t="n">
        <x:f>'Conferência'!P2</x:f>
        <x:v>261.8181818181818</x:v>
      </x:c>
      <x:c r="K6" s="160" t="n">
        <x:f>IF($A6="","",SUMIFS('Importação Contabilidade'!$F$7:$F$500,'Importação Contabilidade'!$A$7:$A$500,'Parâmetros'!$B$4,'Importação Contabilidade'!$B$7:$B$500,$A6))</x:f>
        <x:v>261.82</x:v>
      </x:c>
      <x:c r="L6" s="159" t="n">
        <x:f>IF(A6="","",J6-K6)</x:f>
        <x:v>-0.0018181818181801646</x:v>
      </x:c>
      <x:c r="M6" s="159" t="n">
        <x:f>'Conferência'!Q2</x:f>
        <x:v>0</x:v>
      </x:c>
      <x:c r="N6" s="160" t="n">
        <x:f>IF($A6="","",SUMIFS('Importação Contabilidade'!$G$7:$G$500,'Importação Contabilidade'!$A$7:$A$500,'Parâmetros'!$B$4,'Importação Contabilidade'!$B$7:$B$500,$A6))</x:f>
        <x:v>0</x:v>
      </x:c>
      <x:c r="O6" s="159" t="n">
        <x:f>IF(A6="","",M6-N6)</x:f>
        <x:v>0</x:v>
      </x:c>
      <x:c r="P6" s="159" t="n">
        <x:f>'Conferência'!H2</x:f>
        <x:v>4200</x:v>
      </x:c>
      <x:c r="Q6" s="160" t="n">
        <x:f>IF($A6="","",SUMIFS('Importação Contabilidade'!$H$7:$H$500,'Importação Contabilidade'!$A$7:$A$500,'Parâmetros'!$B$4,'Importação Contabilidade'!$B$7:$B$500,$A6))</x:f>
        <x:v>4200</x:v>
      </x:c>
      <x:c r="R6" s="159" t="n">
        <x:f>IF(A6="","",P6-Q6)</x:f>
        <x:v>0</x:v>
      </x:c>
      <x:c r="S6" s="159" t="n">
        <x:f>'Conferência'!I2</x:f>
        <x:v>0</x:v>
      </x:c>
      <x:c r="T6" s="160" t="n">
        <x:f>IF($A6="","",SUMIFS('Importação Contabilidade'!$I$7:$I$500,'Importação Contabilidade'!$A$7:$A$500,'Parâmetros'!$B$4,'Importação Contabilidade'!$B$7:$B$500,$A6))</x:f>
        <x:v>0</x:v>
      </x:c>
      <x:c r="U6" s="159" t="n">
        <x:f>IF(A6="","",S6-T6)</x:f>
        <x:v>0</x:v>
      </x:c>
      <x:c r="V6" s="159" t="n">
        <x:f>'Conferência'!J2</x:f>
        <x:v>0</x:v>
      </x:c>
      <x:c r="W6" s="160" t="n">
        <x:f>IF($A6="","",SUMIFS('Importação Contabilidade'!$J$7:$J$500,'Importação Contabilidade'!$A$7:$A$500,'Parâmetros'!$B$4,'Importação Contabilidade'!$B$7:$B$500,$A6))</x:f>
        <x:v>0</x:v>
      </x:c>
      <x:c r="X6" s="159" t="n">
        <x:f>IF(A6="","",V6-W6)</x:f>
        <x:v>0</x:v>
      </x:c>
      <x:c r="Y6" s="159" t="n">
        <x:f>'Conferência'!R2</x:f>
        <x:v>47.603305785123965</x:v>
      </x:c>
      <x:c r="Z6" s="160" t="n">
        <x:f>IF($A6="","",SUMIFS('Importação Contabilidade'!$K$7:$K$500,'Importação Contabilidade'!$A$7:$A$500,'Parâmetros'!$B$4,'Importação Contabilidade'!$B$7:$B$500,$A6))</x:f>
        <x:v>47.6</x:v>
      </x:c>
      <x:c r="AA6" s="159" t="n">
        <x:f>IF(A6="","",Y6-Z6)</x:f>
        <x:v>0.0033057851239632896</x:v>
      </x:c>
      <x:c r="AB6" s="159" t="n">
        <x:f>'Conferência'!S2</x:f>
        <x:v>763.6363636363636</x:v>
      </x:c>
      <x:c r="AC6" s="160" t="n">
        <x:f>IF($A6="","",SUMIFS('Importação Contabilidade'!$L$7:$L$500,'Importação Contabilidade'!$A$7:$A$500,'Parâmetros'!$B$4,'Importação Contabilidade'!$B$7:$B$500,$A6))</x:f>
        <x:v>763.64</x:v>
      </x:c>
      <x:c r="AD6" s="159" t="n">
        <x:f>IF(A6="","",AB6-AC6)</x:f>
        <x:v>-0.003636363636360329</x:v>
      </x:c>
      <x:c r="AE6" s="159" t="n">
        <x:f>'Conferência'!U2</x:f>
        <x:v>280</x:v>
      </x:c>
      <x:c r="AF6" s="160" t="n">
        <x:f>IF($A6="","",SUMIFS('Importação Contabilidade'!$M$7:$M$500,'Importação Contabilidade'!$A$7:$A$500,'Parâmetros'!$B$4,'Importação Contabilidade'!$B$7:$B$500,$A6))</x:f>
        <x:v>280</x:v>
      </x:c>
      <x:c r="AG6" s="159" t="n">
        <x:f>IF(A6="","",AE6-AF6)</x:f>
        <x:v>0</x:v>
      </x:c>
      <x:c r="AH6" s="159" t="n">
        <x:f>'Conferência'!V2</x:f>
        <x:v>908.8628000000001</x:v>
      </x:c>
      <x:c r="AI6" s="160" t="n">
        <x:f>IF($A6="","",SUMIFS('Importação Contabilidade'!$N$7:$N$500,'Importação Contabilidade'!$A$7:$A$500,'Parâmetros'!$B$4,'Importação Contabilidade'!$B$7:$B$500,$A6))</x:f>
        <x:v>908.86</x:v>
      </x:c>
      <x:c r="AJ6" s="159" t="n">
        <x:f>IF(A6="","",AH6-AI6)</x:f>
        <x:v>0.0028000000000929504</x:v>
      </x:c>
      <x:c r="AK6" s="159" t="n">
        <x:f>'Conferência'!W2</x:f>
        <x:v>0</x:v>
      </x:c>
      <x:c r="AL6" s="160" t="n">
        <x:f>IF($A6="","",SUMIFS('Importação Contabilidade'!$O$7:$O$500,'Importação Contabilidade'!$A$7:$A$500,'Parâmetros'!$B$4,'Importação Contabilidade'!$B$7:$B$500,$A6))</x:f>
        <x:v>0</x:v>
      </x:c>
      <x:c r="AM6" s="159" t="n">
        <x:f>IF(A6="","",AK6-AL6)</x:f>
        <x:v>0</x:v>
      </x:c>
      <x:c r="AN6" s="159" t="n">
        <x:f>'Conferência'!X2</x:f>
        <x:v>120</x:v>
      </x:c>
      <x:c r="AO6" s="160" t="n">
        <x:f>IF($A6="","",SUMIFS('Importação Contabilidade'!$P$7:$P$500,'Importação Contabilidade'!$A$7:$A$500,'Parâmetros'!$B$4,'Importação Contabilidade'!$B$7:$B$500,$A6))</x:f>
        <x:v>120</x:v>
      </x:c>
      <x:c r="AP6" s="159" t="n">
        <x:f>IF(A6="","",AN6-AO6)</x:f>
        <x:v>0</x:v>
      </x:c>
      <x:c r="AQ6" s="159" t="n">
        <x:f>'Conferência'!Y2</x:f>
        <x:v>180</x:v>
      </x:c>
      <x:c r="AR6" s="160" t="n">
        <x:f>IF($A6="","",SUMIFS('Importação Contabilidade'!$Q$7:$Q$500,'Importação Contabilidade'!$A$7:$A$500,'Parâmetros'!$B$4,'Importação Contabilidade'!$B$7:$B$500,$A6))</x:f>
        <x:v>180</x:v>
      </x:c>
      <x:c r="AS6" s="159" t="n">
        <x:f>IF(A6="","",AQ6-AR6)</x:f>
        <x:v>0</x:v>
      </x:c>
      <x:c r="AT6" s="159" t="n">
        <x:f>'Conferência'!Z2</x:f>
        <x:v>0</x:v>
      </x:c>
      <x:c r="AU6" s="160" t="n">
        <x:f>IF($A6="","",SUMIFS('Importação Contabilidade'!$R$7:$R$500,'Importação Contabilidade'!$A$7:$A$500,'Parâmetros'!$B$4,'Importação Contabilidade'!$B$7:$B$500,$A6))</x:f>
        <x:v>0</x:v>
      </x:c>
      <x:c r="AV6" s="159" t="n">
        <x:f>IF(A6="","",AT6-AU6)</x:f>
        <x:v>0</x:v>
      </x:c>
      <x:c r="AW6" s="159" t="n">
        <x:f>'Conferência'!L2</x:f>
        <x:v>0</x:v>
      </x:c>
      <x:c r="AX6" s="160" t="n">
        <x:f>IF($A6="","",SUMIFS('Importação Contabilidade'!$S$7:$S$500,'Importação Contabilidade'!$A$7:$A$500,'Parâmetros'!$B$4,'Importação Contabilidade'!$B$7:$B$500,$A6))</x:f>
        <x:v>0</x:v>
      </x:c>
      <x:c r="AY6" s="159" t="n">
        <x:f>IF(A6="","",AW6-AX6)</x:f>
        <x:v>0</x:v>
      </x:c>
      <x:c r="AZ6" s="159" t="n">
        <x:f>IF(A6="","",MAX(ABS(F6),ABS(I6),ABS(L6),ABS(O6),ABS(R6),ABS(U6),ABS(X6),ABS(AA6),ABS(AD6),ABS(AG6),ABS(AJ6),ABS(AM6),ABS(AP6),ABS(AS6),ABS(AV6),ABS(AY6)))</x:f>
        <x:v>0.003636363636360329</x:v>
      </x:c>
      <x:c r="BA6" s="122" t="str">
        <x:f>IF(A6="","",IF(AZ6&lt;='Parâmetros'!$B$8,"Sem divergência",IF(ABS(F6)=AZ6,"Desc. Falta",IF(ABS(I6)=AZ6,"DSR Falta",IF(ABS(L6)=AZ6,"HE 50%",IF(ABS(O6)=AZ6,"HE 100%",IF(ABS(R6)=AZ6,"Comissão",IF(ABS(U6)=AZ6,"Bônus/Grat.",IF(ABS(X6)=AZ6,"Adicionais",IF(ABS(AA6)=AZ6,"DSR HE",IF(ABS(AD6)=AZ6,"DSR Comissão",IF(ABS(AG6)=AZ6,"VT",IF(ABS(AJ6)=AZ6,"INSS",IF(ABS(AM6)=AZ6,"IRRF",IF(ABS(AP6)=AZ6,"VA/VR",IF(ABS(AS6)=AZ6,"Plano Saúde",IF(ABS(AV6)=AZ6,"Outros Fixos",IF(ABS(AY6)=AZ6,"Desconto Extra","Sem divergência detalhada"))))))))))))))))))</x:f>
        <x:v>Sem divergência</x:v>
      </x:c>
      <x:c r="BB6" s="122" t="str">
        <x:f>IF(A6="","",IF(BA6="Sem divergência","OK — componentes conferidos","REVISAR — provável origem: "&amp;BA6&amp;" | diferença: R$ "&amp;ROUND(AZ6,2)))</x:f>
        <x:v>OK — componentes conferidos</x:v>
      </x:c>
    </x:row>
    <x:row r="7">
      <x:c r="A7" s="122" t="n">
        <x:f>'Conferência'!A3</x:f>
        <x:v>1002</x:v>
      </x:c>
      <x:c r="B7" s="122" t="str">
        <x:f>'Conferência'!B3</x:f>
        <x:v>João Santos</x:v>
      </x:c>
      <x:c r="C7" s="122" t="str">
        <x:f>'Conferência'!AI3</x:f>
        <x:v>OK</x:v>
      </x:c>
      <x:c r="D7" s="159" t="n">
        <x:f>'Conferência'!N3</x:f>
        <x:v>0</x:v>
      </x:c>
      <x:c r="E7" s="160" t="n">
        <x:f>IF($A7="","",SUMIFS('Importação Contabilidade'!$D$7:$D$500,'Importação Contabilidade'!$A$7:$A$500,'Parâmetros'!$B$4,'Importação Contabilidade'!$B$7:$B$500,$A7))</x:f>
        <x:v>0</x:v>
      </x:c>
      <x:c r="F7" s="159" t="n">
        <x:f>IF(A7="","",D7-E7)</x:f>
        <x:v>0</x:v>
      </x:c>
      <x:c r="G7" s="159" t="n">
        <x:f>'Conferência'!O3</x:f>
        <x:v>0</x:v>
      </x:c>
      <x:c r="H7" s="160" t="n">
        <x:f>IF($A7="","",SUMIFS('Importação Contabilidade'!$E$7:$E$500,'Importação Contabilidade'!$A$7:$A$500,'Parâmetros'!$B$4,'Importação Contabilidade'!$B$7:$B$500,$A7))</x:f>
        <x:v>0</x:v>
      </x:c>
      <x:c r="I7" s="159" t="n">
        <x:f>IF(A7="","",G7-H7)</x:f>
        <x:v>0</x:v>
      </x:c>
      <x:c r="J7" s="159" t="n">
        <x:f>'Conferência'!P3</x:f>
        <x:v>177.27272727272725</x:v>
      </x:c>
      <x:c r="K7" s="160" t="n">
        <x:f>IF($A7="","",SUMIFS('Importação Contabilidade'!$F$7:$F$500,'Importação Contabilidade'!$A$7:$A$500,'Parâmetros'!$B$4,'Importação Contabilidade'!$B$7:$B$500,$A7))</x:f>
        <x:v>177.27</x:v>
      </x:c>
      <x:c r="L7" s="159" t="n">
        <x:f>IF(A7="","",J7-K7)</x:f>
        <x:v>0.002727272727241825</x:v>
      </x:c>
      <x:c r="M7" s="159" t="n">
        <x:f>'Conferência'!Q3</x:f>
        <x:v>0</x:v>
      </x:c>
      <x:c r="N7" s="160" t="n">
        <x:f>IF($A7="","",SUMIFS('Importação Contabilidade'!$G$7:$G$500,'Importação Contabilidade'!$A$7:$A$500,'Parâmetros'!$B$4,'Importação Contabilidade'!$B$7:$B$500,$A7))</x:f>
        <x:v>0</x:v>
      </x:c>
      <x:c r="O7" s="159" t="n">
        <x:f>IF(A7="","",M7-N7)</x:f>
        <x:v>0</x:v>
      </x:c>
      <x:c r="P7" s="159" t="n">
        <x:f>'Conferência'!H3</x:f>
        <x:v>5100</x:v>
      </x:c>
      <x:c r="Q7" s="160" t="n">
        <x:f>IF($A7="","",SUMIFS('Importação Contabilidade'!$H$7:$H$500,'Importação Contabilidade'!$A$7:$A$500,'Parâmetros'!$B$4,'Importação Contabilidade'!$B$7:$B$500,$A7))</x:f>
        <x:v>5100</x:v>
      </x:c>
      <x:c r="R7" s="159" t="n">
        <x:f>IF(A7="","",P7-Q7)</x:f>
        <x:v>0</x:v>
      </x:c>
      <x:c r="S7" s="159" t="n">
        <x:f>'Conferência'!I3</x:f>
        <x:v>800</x:v>
      </x:c>
      <x:c r="T7" s="160" t="n">
        <x:f>IF($A7="","",SUMIFS('Importação Contabilidade'!$I$7:$I$500,'Importação Contabilidade'!$A$7:$A$500,'Parâmetros'!$B$4,'Importação Contabilidade'!$B$7:$B$500,$A7))</x:f>
        <x:v>800</x:v>
      </x:c>
      <x:c r="U7" s="159" t="n">
        <x:f>IF(A7="","",S7-T7)</x:f>
        <x:v>0</x:v>
      </x:c>
      <x:c r="V7" s="159" t="n">
        <x:f>'Conferência'!J3</x:f>
        <x:v>0</x:v>
      </x:c>
      <x:c r="W7" s="160" t="n">
        <x:f>IF($A7="","",SUMIFS('Importação Contabilidade'!$J$7:$J$500,'Importação Contabilidade'!$A$7:$A$500,'Parâmetros'!$B$4,'Importação Contabilidade'!$B$7:$B$500,$A7))</x:f>
        <x:v>0</x:v>
      </x:c>
      <x:c r="X7" s="159" t="n">
        <x:f>IF(A7="","",V7-W7)</x:f>
        <x:v>0</x:v>
      </x:c>
      <x:c r="Y7" s="159" t="n">
        <x:f>'Conferência'!R3</x:f>
        <x:v>32.23140495867768</x:v>
      </x:c>
      <x:c r="Z7" s="160" t="n">
        <x:f>IF($A7="","",SUMIFS('Importação Contabilidade'!$K$7:$K$500,'Importação Contabilidade'!$A$7:$A$500,'Parâmetros'!$B$4,'Importação Contabilidade'!$B$7:$B$500,$A7))</x:f>
        <x:v>32.23</x:v>
      </x:c>
      <x:c r="AA7" s="159" t="n">
        <x:f>IF(A7="","",Y7-Z7)</x:f>
        <x:v>0.0014049586776820888</x:v>
      </x:c>
      <x:c r="AB7" s="159" t="n">
        <x:f>'Conferência'!S3</x:f>
        <x:v>927.2727272727273</x:v>
      </x:c>
      <x:c r="AC7" s="160" t="n">
        <x:f>IF($A7="","",SUMIFS('Importação Contabilidade'!$L$7:$L$500,'Importação Contabilidade'!$A$7:$A$500,'Parâmetros'!$B$4,'Importação Contabilidade'!$B$7:$B$500,$A7))</x:f>
        <x:v>927.27</x:v>
      </x:c>
      <x:c r="AD7" s="159" t="n">
        <x:f>IF(A7="","",AB7-AC7)</x:f>
        <x:v>0.002727272727270247</x:v>
      </x:c>
      <x:c r="AE7" s="159" t="n">
        <x:f>'Conferência'!U3</x:f>
        <x:v>312</x:v>
      </x:c>
      <x:c r="AF7" s="160" t="n">
        <x:f>IF($A7="","",SUMIFS('Importação Contabilidade'!$M$7:$M$500,'Importação Contabilidade'!$A$7:$A$500,'Parâmetros'!$B$4,'Importação Contabilidade'!$B$7:$B$500,$A7))</x:f>
        <x:v>312</x:v>
      </x:c>
      <x:c r="AG7" s="159" t="n">
        <x:f>IF(A7="","",AE7-AF7)</x:f>
        <x:v>0</x:v>
      </x:c>
      <x:c r="AH7" s="159" t="n">
        <x:f>'Conferência'!V3</x:f>
        <x:v>908.8628000000001</x:v>
      </x:c>
      <x:c r="AI7" s="160" t="n">
        <x:f>IF($A7="","",SUMIFS('Importação Contabilidade'!$N$7:$N$500,'Importação Contabilidade'!$A$7:$A$500,'Parâmetros'!$B$4,'Importação Contabilidade'!$B$7:$B$500,$A7))</x:f>
        <x:v>908.86</x:v>
      </x:c>
      <x:c r="AJ7" s="159" t="n">
        <x:f>IF(A7="","",AH7-AI7)</x:f>
        <x:v>0.0028000000000929504</x:v>
      </x:c>
      <x:c r="AK7" s="159" t="n">
        <x:f>'Conferência'!W3</x:f>
        <x:v>0</x:v>
      </x:c>
      <x:c r="AL7" s="160" t="n">
        <x:f>IF($A7="","",SUMIFS('Importação Contabilidade'!$O$7:$O$500,'Importação Contabilidade'!$A$7:$A$500,'Parâmetros'!$B$4,'Importação Contabilidade'!$B$7:$B$500,$A7))</x:f>
        <x:v>0</x:v>
      </x:c>
      <x:c r="AM7" s="159" t="n">
        <x:f>IF(A7="","",AK7-AL7)</x:f>
        <x:v>0</x:v>
      </x:c>
      <x:c r="AN7" s="159" t="n">
        <x:f>'Conferência'!X3</x:f>
        <x:v>120</x:v>
      </x:c>
      <x:c r="AO7" s="160" t="n">
        <x:f>IF($A7="","",SUMIFS('Importação Contabilidade'!$P$7:$P$500,'Importação Contabilidade'!$A$7:$A$500,'Parâmetros'!$B$4,'Importação Contabilidade'!$B$7:$B$500,$A7))</x:f>
        <x:v>120</x:v>
      </x:c>
      <x:c r="AP7" s="159" t="n">
        <x:f>IF(A7="","",AN7-AO7)</x:f>
        <x:v>0</x:v>
      </x:c>
      <x:c r="AQ7" s="159" t="n">
        <x:f>'Conferência'!Y3</x:f>
        <x:v>220</x:v>
      </x:c>
      <x:c r="AR7" s="160" t="n">
        <x:f>IF($A7="","",SUMIFS('Importação Contabilidade'!$Q$7:$Q$500,'Importação Contabilidade'!$A$7:$A$500,'Parâmetros'!$B$4,'Importação Contabilidade'!$B$7:$B$500,$A7))</x:f>
        <x:v>220</x:v>
      </x:c>
      <x:c r="AS7" s="159" t="n">
        <x:f>IF(A7="","",AQ7-AR7)</x:f>
        <x:v>0</x:v>
      </x:c>
      <x:c r="AT7" s="159" t="n">
        <x:f>'Conferência'!Z3</x:f>
        <x:v>0</x:v>
      </x:c>
      <x:c r="AU7" s="160" t="n">
        <x:f>IF($A7="","",SUMIFS('Importação Contabilidade'!$R$7:$R$500,'Importação Contabilidade'!$A$7:$A$500,'Parâmetros'!$B$4,'Importação Contabilidade'!$B$7:$B$500,$A7))</x:f>
        <x:v>0</x:v>
      </x:c>
      <x:c r="AV7" s="159" t="n">
        <x:f>IF(A7="","",AT7-AU7)</x:f>
        <x:v>0</x:v>
      </x:c>
      <x:c r="AW7" s="159" t="n">
        <x:f>'Conferência'!L3</x:f>
        <x:v>0</x:v>
      </x:c>
      <x:c r="AX7" s="160" t="n">
        <x:f>IF($A7="","",SUMIFS('Importação Contabilidade'!$S$7:$S$500,'Importação Contabilidade'!$A$7:$A$500,'Parâmetros'!$B$4,'Importação Contabilidade'!$B$7:$B$500,$A7))</x:f>
        <x:v>0</x:v>
      </x:c>
      <x:c r="AY7" s="159" t="n">
        <x:f>IF(A7="","",AW7-AX7)</x:f>
        <x:v>0</x:v>
      </x:c>
      <x:c r="AZ7" s="159" t="n">
        <x:f>IF(A7="","",MAX(ABS(F7),ABS(I7),ABS(L7),ABS(O7),ABS(R7),ABS(U7),ABS(X7),ABS(AA7),ABS(AD7),ABS(AG7),ABS(AJ7),ABS(AM7),ABS(AP7),ABS(AS7),ABS(AV7),ABS(AY7)))</x:f>
        <x:v>0.0028000000000929504</x:v>
      </x:c>
      <x:c r="BA7" s="122" t="str">
        <x:f>IF(A7="","",IF(AZ7&lt;='Parâmetros'!$B$8,"Sem divergência",IF(ABS(F7)=AZ7,"Desc. Falta",IF(ABS(I7)=AZ7,"DSR Falta",IF(ABS(L7)=AZ7,"HE 50%",IF(ABS(O7)=AZ7,"HE 100%",IF(ABS(R7)=AZ7,"Comissão",IF(ABS(U7)=AZ7,"Bônus/Grat.",IF(ABS(X7)=AZ7,"Adicionais",IF(ABS(AA7)=AZ7,"DSR HE",IF(ABS(AD7)=AZ7,"DSR Comissão",IF(ABS(AG7)=AZ7,"VT",IF(ABS(AJ7)=AZ7,"INSS",IF(ABS(AM7)=AZ7,"IRRF",IF(ABS(AP7)=AZ7,"VA/VR",IF(ABS(AS7)=AZ7,"Plano Saúde",IF(ABS(AV7)=AZ7,"Outros Fixos",IF(ABS(AY7)=AZ7,"Desconto Extra","Sem divergência detalhada"))))))))))))))))))</x:f>
        <x:v>Sem divergência</x:v>
      </x:c>
      <x:c r="BB7" s="122" t="str">
        <x:f>IF(A7="","",IF(BA7="Sem divergência","OK — componentes conferidos","REVISAR — provável origem: "&amp;BA7&amp;" | diferença: R$ "&amp;ROUND(AZ7,2)))</x:f>
        <x:v>OK — componentes conferidos</x:v>
      </x:c>
    </x:row>
    <x:row r="8">
      <x:c r="A8" s="122" t="n">
        <x:f>'Conferência'!A4</x:f>
        <x:v>1003</x:v>
      </x:c>
      <x:c r="B8" s="122" t="str">
        <x:f>'Conferência'!B4</x:f>
        <x:v>Maria Lima</x:v>
      </x:c>
      <x:c r="C8" s="122" t="str">
        <x:f>'Conferência'!AI4</x:f>
        <x:v>OK</x:v>
      </x:c>
      <x:c r="D8" s="159" t="n">
        <x:f>'Conferência'!N4</x:f>
        <x:v>0</x:v>
      </x:c>
      <x:c r="E8" s="160" t="n">
        <x:f>IF($A8="","",SUMIFS('Importação Contabilidade'!$D$7:$D$500,'Importação Contabilidade'!$A$7:$A$500,'Parâmetros'!$B$4,'Importação Contabilidade'!$B$7:$B$500,$A8))</x:f>
        <x:v>0</x:v>
      </x:c>
      <x:c r="F8" s="159" t="n">
        <x:f>IF(A8="","",D8-E8)</x:f>
        <x:v>0</x:v>
      </x:c>
      <x:c r="G8" s="159" t="n">
        <x:f>'Conferência'!O4</x:f>
        <x:v>0</x:v>
      </x:c>
      <x:c r="H8" s="160" t="n">
        <x:f>IF($A8="","",SUMIFS('Importação Contabilidade'!$E$7:$E$500,'Importação Contabilidade'!$A$7:$A$500,'Parâmetros'!$B$4,'Importação Contabilidade'!$B$7:$B$500,$A8))</x:f>
        <x:v>0</x:v>
      </x:c>
      <x:c r="I8" s="159" t="n">
        <x:f>IF(A8="","",G8-H8)</x:f>
        <x:v>0</x:v>
      </x:c>
      <x:c r="J8" s="159" t="n">
        <x:f>'Conferência'!P4</x:f>
        <x:v>0</x:v>
      </x:c>
      <x:c r="K8" s="160" t="n">
        <x:f>IF($A8="","",SUMIFS('Importação Contabilidade'!$F$7:$F$500,'Importação Contabilidade'!$A$7:$A$500,'Parâmetros'!$B$4,'Importação Contabilidade'!$B$7:$B$500,$A8))</x:f>
        <x:v>0</x:v>
      </x:c>
      <x:c r="L8" s="159" t="n">
        <x:f>IF(A8="","",J8-K8)</x:f>
        <x:v>0</x:v>
      </x:c>
      <x:c r="M8" s="159" t="n">
        <x:f>'Conferência'!Q4</x:f>
        <x:v>0</x:v>
      </x:c>
      <x:c r="N8" s="160" t="n">
        <x:f>IF($A8="","",SUMIFS('Importação Contabilidade'!$G$7:$G$500,'Importação Contabilidade'!$A$7:$A$500,'Parâmetros'!$B$4,'Importação Contabilidade'!$B$7:$B$500,$A8))</x:f>
        <x:v>0</x:v>
      </x:c>
      <x:c r="O8" s="159" t="n">
        <x:f>IF(A8="","",M8-N8)</x:f>
        <x:v>0</x:v>
      </x:c>
      <x:c r="P8" s="159" t="n">
        <x:f>'Conferência'!H4</x:f>
        <x:v>0</x:v>
      </x:c>
      <x:c r="Q8" s="160" t="n">
        <x:f>IF($A8="","",SUMIFS('Importação Contabilidade'!$H$7:$H$500,'Importação Contabilidade'!$A$7:$A$500,'Parâmetros'!$B$4,'Importação Contabilidade'!$B$7:$B$500,$A8))</x:f>
        <x:v>0</x:v>
      </x:c>
      <x:c r="R8" s="159" t="n">
        <x:f>IF(A8="","",P8-Q8)</x:f>
        <x:v>0</x:v>
      </x:c>
      <x:c r="S8" s="159" t="n">
        <x:f>'Conferência'!I4</x:f>
        <x:v>1500</x:v>
      </x:c>
      <x:c r="T8" s="160" t="n">
        <x:f>IF($A8="","",SUMIFS('Importação Contabilidade'!$I$7:$I$500,'Importação Contabilidade'!$A$7:$A$500,'Parâmetros'!$B$4,'Importação Contabilidade'!$B$7:$B$500,$A8))</x:f>
        <x:v>1500</x:v>
      </x:c>
      <x:c r="U8" s="159" t="n">
        <x:f>IF(A8="","",S8-T8)</x:f>
        <x:v>0</x:v>
      </x:c>
      <x:c r="V8" s="159" t="n">
        <x:f>'Conferência'!J4</x:f>
        <x:v>0</x:v>
      </x:c>
      <x:c r="W8" s="160" t="n">
        <x:f>IF($A8="","",SUMIFS('Importação Contabilidade'!$J$7:$J$500,'Importação Contabilidade'!$A$7:$A$500,'Parâmetros'!$B$4,'Importação Contabilidade'!$B$7:$B$500,$A8))</x:f>
        <x:v>0</x:v>
      </x:c>
      <x:c r="X8" s="159" t="n">
        <x:f>IF(A8="","",V8-W8)</x:f>
        <x:v>0</x:v>
      </x:c>
      <x:c r="Y8" s="159" t="n">
        <x:f>'Conferência'!R4</x:f>
        <x:v>0</x:v>
      </x:c>
      <x:c r="Z8" s="160" t="n">
        <x:f>IF($A8="","",SUMIFS('Importação Contabilidade'!$K$7:$K$500,'Importação Contabilidade'!$A$7:$A$500,'Parâmetros'!$B$4,'Importação Contabilidade'!$B$7:$B$500,$A8))</x:f>
        <x:v>0</x:v>
      </x:c>
      <x:c r="AA8" s="159" t="n">
        <x:f>IF(A8="","",Y8-Z8)</x:f>
        <x:v>0</x:v>
      </x:c>
      <x:c r="AB8" s="159" t="n">
        <x:f>'Conferência'!S4</x:f>
        <x:v>0</x:v>
      </x:c>
      <x:c r="AC8" s="160" t="n">
        <x:f>IF($A8="","",SUMIFS('Importação Contabilidade'!$L$7:$L$500,'Importação Contabilidade'!$A$7:$A$500,'Parâmetros'!$B$4,'Importação Contabilidade'!$B$7:$B$500,$A8))</x:f>
        <x:v>0</x:v>
      </x:c>
      <x:c r="AD8" s="159" t="n">
        <x:f>IF(A8="","",AB8-AC8)</x:f>
        <x:v>0</x:v>
      </x:c>
      <x:c r="AE8" s="159" t="n">
        <x:f>'Conferência'!U4</x:f>
        <x:v>0</x:v>
      </x:c>
      <x:c r="AF8" s="160" t="n">
        <x:f>IF($A8="","",SUMIFS('Importação Contabilidade'!$M$7:$M$500,'Importação Contabilidade'!$A$7:$A$500,'Parâmetros'!$B$4,'Importação Contabilidade'!$B$7:$B$500,$A8))</x:f>
        <x:v>0</x:v>
      </x:c>
      <x:c r="AG8" s="159" t="n">
        <x:f>IF(A8="","",AE8-AF8)</x:f>
        <x:v>0</x:v>
      </x:c>
      <x:c r="AH8" s="159" t="n">
        <x:f>'Conferência'!V4</x:f>
        <x:v>908.8628000000001</x:v>
      </x:c>
      <x:c r="AI8" s="160" t="n">
        <x:f>IF($A8="","",SUMIFS('Importação Contabilidade'!$N$7:$N$500,'Importação Contabilidade'!$A$7:$A$500,'Parâmetros'!$B$4,'Importação Contabilidade'!$B$7:$B$500,$A8))</x:f>
        <x:v>908.86</x:v>
      </x:c>
      <x:c r="AJ8" s="159" t="n">
        <x:f>IF(A8="","",AH8-AI8)</x:f>
        <x:v>0.0028000000000929504</x:v>
      </x:c>
      <x:c r="AK8" s="159" t="n">
        <x:f>'Conferência'!W4</x:f>
        <x:v>0</x:v>
      </x:c>
      <x:c r="AL8" s="160" t="n">
        <x:f>IF($A8="","",SUMIFS('Importação Contabilidade'!$O$7:$O$500,'Importação Contabilidade'!$A$7:$A$500,'Parâmetros'!$B$4,'Importação Contabilidade'!$B$7:$B$500,$A8))</x:f>
        <x:v>0</x:v>
      </x:c>
      <x:c r="AM8" s="159" t="n">
        <x:f>IF(A8="","",AK8-AL8)</x:f>
        <x:v>0</x:v>
      </x:c>
      <x:c r="AN8" s="159" t="n">
        <x:f>'Conferência'!X4</x:f>
        <x:v>180</x:v>
      </x:c>
      <x:c r="AO8" s="160" t="n">
        <x:f>IF($A8="","",SUMIFS('Importação Contabilidade'!$P$7:$P$500,'Importação Contabilidade'!$A$7:$A$500,'Parâmetros'!$B$4,'Importação Contabilidade'!$B$7:$B$500,$A8))</x:f>
        <x:v>180</x:v>
      </x:c>
      <x:c r="AP8" s="159" t="n">
        <x:f>IF(A8="","",AN8-AO8)</x:f>
        <x:v>0</x:v>
      </x:c>
      <x:c r="AQ8" s="159" t="n">
        <x:f>'Conferência'!Y4</x:f>
        <x:v>250</x:v>
      </x:c>
      <x:c r="AR8" s="160" t="n">
        <x:f>IF($A8="","",SUMIFS('Importação Contabilidade'!$Q$7:$Q$500,'Importação Contabilidade'!$A$7:$A$500,'Parâmetros'!$B$4,'Importação Contabilidade'!$B$7:$B$500,$A8))</x:f>
        <x:v>250</x:v>
      </x:c>
      <x:c r="AS8" s="159" t="n">
        <x:f>IF(A8="","",AQ8-AR8)</x:f>
        <x:v>0</x:v>
      </x:c>
      <x:c r="AT8" s="159" t="n">
        <x:f>'Conferência'!Z4</x:f>
        <x:v>0</x:v>
      </x:c>
      <x:c r="AU8" s="160" t="n">
        <x:f>IF($A8="","",SUMIFS('Importação Contabilidade'!$R$7:$R$500,'Importação Contabilidade'!$A$7:$A$500,'Parâmetros'!$B$4,'Importação Contabilidade'!$B$7:$B$500,$A8))</x:f>
        <x:v>0</x:v>
      </x:c>
      <x:c r="AV8" s="159" t="n">
        <x:f>IF(A8="","",AT8-AU8)</x:f>
        <x:v>0</x:v>
      </x:c>
      <x:c r="AW8" s="159" t="n">
        <x:f>'Conferência'!L4</x:f>
        <x:v>0</x:v>
      </x:c>
      <x:c r="AX8" s="160" t="n">
        <x:f>IF($A8="","",SUMIFS('Importação Contabilidade'!$S$7:$S$500,'Importação Contabilidade'!$A$7:$A$500,'Parâmetros'!$B$4,'Importação Contabilidade'!$B$7:$B$500,$A8))</x:f>
        <x:v>0</x:v>
      </x:c>
      <x:c r="AY8" s="159" t="n">
        <x:f>IF(A8="","",AW8-AX8)</x:f>
        <x:v>0</x:v>
      </x:c>
      <x:c r="AZ8" s="159" t="n">
        <x:f>IF(A8="","",MAX(ABS(F8),ABS(I8),ABS(L8),ABS(O8),ABS(R8),ABS(U8),ABS(X8),ABS(AA8),ABS(AD8),ABS(AG8),ABS(AJ8),ABS(AM8),ABS(AP8),ABS(AS8),ABS(AV8),ABS(AY8)))</x:f>
        <x:v>0.0028000000000929504</x:v>
      </x:c>
      <x:c r="BA8" s="122" t="str">
        <x:f>IF(A8="","",IF(AZ8&lt;='Parâmetros'!$B$8,"Sem divergência",IF(ABS(F8)=AZ8,"Desc. Falta",IF(ABS(I8)=AZ8,"DSR Falta",IF(ABS(L8)=AZ8,"HE 50%",IF(ABS(O8)=AZ8,"HE 100%",IF(ABS(R8)=AZ8,"Comissão",IF(ABS(U8)=AZ8,"Bônus/Grat.",IF(ABS(X8)=AZ8,"Adicionais",IF(ABS(AA8)=AZ8,"DSR HE",IF(ABS(AD8)=AZ8,"DSR Comissão",IF(ABS(AG8)=AZ8,"VT",IF(ABS(AJ8)=AZ8,"INSS",IF(ABS(AM8)=AZ8,"IRRF",IF(ABS(AP8)=AZ8,"VA/VR",IF(ABS(AS8)=AZ8,"Plano Saúde",IF(ABS(AV8)=AZ8,"Outros Fixos",IF(ABS(AY8)=AZ8,"Desconto Extra","Sem divergência detalhada"))))))))))))))))))</x:f>
        <x:v>Sem divergência</x:v>
      </x:c>
      <x:c r="BB8" s="122" t="str">
        <x:f>IF(A8="","",IF(BA8="Sem divergência","OK — componentes conferidos","REVISAR — provável origem: "&amp;BA8&amp;" | diferença: R$ "&amp;ROUND(AZ8,2)))</x:f>
        <x:v>OK — componentes conferidos</x:v>
      </x:c>
    </x:row>
    <x:row r="9">
      <x:c r="A9" s="122" t="n">
        <x:f>'Conferência'!A5</x:f>
        <x:v>1004</x:v>
      </x:c>
      <x:c r="B9" s="122" t="str">
        <x:f>'Conferência'!B5</x:f>
        <x:v>Rafael Oliveira</x:v>
      </x:c>
      <x:c r="C9" s="122" t="str">
        <x:f>'Conferência'!AI5</x:f>
        <x:v>REVISAR</x:v>
      </x:c>
      <x:c r="D9" s="159" t="n">
        <x:f>'Conferência'!N5</x:f>
        <x:v>153.33333333333334</x:v>
      </x:c>
      <x:c r="E9" s="160" t="n">
        <x:f>IF($A9="","",SUMIFS('Importação Contabilidade'!$D$7:$D$500,'Importação Contabilidade'!$A$7:$A$500,'Parâmetros'!$B$4,'Importação Contabilidade'!$B$7:$B$500,$A9))</x:f>
        <x:v>153.33</x:v>
      </x:c>
      <x:c r="F9" s="159" t="n">
        <x:f>IF(A9="","",D9-E9)</x:f>
        <x:v>0.0033333333333303017</x:v>
      </x:c>
      <x:c r="G9" s="159" t="n">
        <x:f>'Conferência'!O5</x:f>
        <x:v>153.33333333333334</x:v>
      </x:c>
      <x:c r="H9" s="160" t="n">
        <x:f>IF($A9="","",SUMIFS('Importação Contabilidade'!$E$7:$E$500,'Importação Contabilidade'!$A$7:$A$500,'Parâmetros'!$B$4,'Importação Contabilidade'!$B$7:$B$500,$A9))</x:f>
        <x:v>153.33</x:v>
      </x:c>
      <x:c r="I9" s="159" t="n">
        <x:f>IF(A9="","",G9-H9)</x:f>
        <x:v>0.0033333333333303017</x:v>
      </x:c>
      <x:c r="J9" s="159" t="n">
        <x:f>'Conferência'!P5</x:f>
        <x:v>0</x:v>
      </x:c>
      <x:c r="K9" s="160" t="n">
        <x:f>IF($A9="","",SUMIFS('Importação Contabilidade'!$F$7:$F$500,'Importação Contabilidade'!$A$7:$A$500,'Parâmetros'!$B$4,'Importação Contabilidade'!$B$7:$B$500,$A9))</x:f>
        <x:v>0</x:v>
      </x:c>
      <x:c r="L9" s="159" t="n">
        <x:f>IF(A9="","",J9-K9)</x:f>
        <x:v>0</x:v>
      </x:c>
      <x:c r="M9" s="159" t="n">
        <x:f>'Conferência'!Q5</x:f>
        <x:v>0</x:v>
      </x:c>
      <x:c r="N9" s="160" t="n">
        <x:f>IF($A9="","",SUMIFS('Importação Contabilidade'!$G$7:$G$500,'Importação Contabilidade'!$A$7:$A$500,'Parâmetros'!$B$4,'Importação Contabilidade'!$B$7:$B$500,$A9))</x:f>
        <x:v>0</x:v>
      </x:c>
      <x:c r="O9" s="159" t="n">
        <x:f>IF(A9="","",M9-N9)</x:f>
        <x:v>0</x:v>
      </x:c>
      <x:c r="P9" s="159" t="n">
        <x:f>'Conferência'!H5</x:f>
        <x:v>3600</x:v>
      </x:c>
      <x:c r="Q9" s="160" t="n">
        <x:f>IF($A9="","",SUMIFS('Importação Contabilidade'!$H$7:$H$500,'Importação Contabilidade'!$A$7:$A$500,'Parâmetros'!$B$4,'Importação Contabilidade'!$B$7:$B$500,$A9))</x:f>
        <x:v>3685</x:v>
      </x:c>
      <x:c r="R9" s="159" t="n">
        <x:f>IF(A9="","",P9-Q9)</x:f>
        <x:v>-85</x:v>
      </x:c>
      <x:c r="S9" s="159" t="n">
        <x:f>'Conferência'!I5</x:f>
        <x:v>0</x:v>
      </x:c>
      <x:c r="T9" s="160" t="n">
        <x:f>IF($A9="","",SUMIFS('Importação Contabilidade'!$I$7:$I$500,'Importação Contabilidade'!$A$7:$A$500,'Parâmetros'!$B$4,'Importação Contabilidade'!$B$7:$B$500,$A9))</x:f>
        <x:v>0</x:v>
      </x:c>
      <x:c r="U9" s="159" t="n">
        <x:f>IF(A9="","",S9-T9)</x:f>
        <x:v>0</x:v>
      </x:c>
      <x:c r="V9" s="159" t="n">
        <x:f>'Conferência'!J5</x:f>
        <x:v>0</x:v>
      </x:c>
      <x:c r="W9" s="160" t="n">
        <x:f>IF($A9="","",SUMIFS('Importação Contabilidade'!$J$7:$J$500,'Importação Contabilidade'!$A$7:$A$500,'Parâmetros'!$B$4,'Importação Contabilidade'!$B$7:$B$500,$A9))</x:f>
        <x:v>0</x:v>
      </x:c>
      <x:c r="X9" s="159" t="n">
        <x:f>IF(A9="","",V9-W9)</x:f>
        <x:v>0</x:v>
      </x:c>
      <x:c r="Y9" s="159" t="n">
        <x:f>'Conferência'!R5</x:f>
        <x:v>0</x:v>
      </x:c>
      <x:c r="Z9" s="160" t="n">
        <x:f>IF($A9="","",SUMIFS('Importação Contabilidade'!$K$7:$K$500,'Importação Contabilidade'!$A$7:$A$500,'Parâmetros'!$B$4,'Importação Contabilidade'!$B$7:$B$500,$A9))</x:f>
        <x:v>0</x:v>
      </x:c>
      <x:c r="AA9" s="159" t="n">
        <x:f>IF(A9="","",Y9-Z9)</x:f>
        <x:v>0</x:v>
      </x:c>
      <x:c r="AB9" s="159" t="n">
        <x:f>'Conferência'!S5</x:f>
        <x:v>654.5454545454545</x:v>
      </x:c>
      <x:c r="AC9" s="160" t="n">
        <x:f>IF($A9="","",SUMIFS('Importação Contabilidade'!$L$7:$L$500,'Importação Contabilidade'!$A$7:$A$500,'Parâmetros'!$B$4,'Importação Contabilidade'!$B$7:$B$500,$A9))</x:f>
        <x:v>654.55</x:v>
      </x:c>
      <x:c r="AD9" s="159" t="n">
        <x:f>IF(A9="","",AB9-AC9)</x:f>
        <x:v>-0.004545454545450411</x:v>
      </x:c>
      <x:c r="AE9" s="159" t="n">
        <x:f>'Conferência'!U5</x:f>
        <x:v>276</x:v>
      </x:c>
      <x:c r="AF9" s="160" t="n">
        <x:f>IF($A9="","",SUMIFS('Importação Contabilidade'!$M$7:$M$500,'Importação Contabilidade'!$A$7:$A$500,'Parâmetros'!$B$4,'Importação Contabilidade'!$B$7:$B$500,$A9))</x:f>
        <x:v>276</x:v>
      </x:c>
      <x:c r="AG9" s="159" t="n">
        <x:f>IF(A9="","",AE9-AF9)</x:f>
        <x:v>0</x:v>
      </x:c>
      <x:c r="AH9" s="159" t="n">
        <x:f>'Conferência'!V5</x:f>
        <x:v>908.8628000000001</x:v>
      </x:c>
      <x:c r="AI9" s="160" t="n">
        <x:f>IF($A9="","",SUMIFS('Importação Contabilidade'!$N$7:$N$500,'Importação Contabilidade'!$A$7:$A$500,'Parâmetros'!$B$4,'Importação Contabilidade'!$B$7:$B$500,$A9))</x:f>
        <x:v>908.86</x:v>
      </x:c>
      <x:c r="AJ9" s="159" t="n">
        <x:f>IF(A9="","",AH9-AI9)</x:f>
        <x:v>0.0028000000000929504</x:v>
      </x:c>
      <x:c r="AK9" s="159" t="n">
        <x:f>'Conferência'!W5</x:f>
        <x:v>0</x:v>
      </x:c>
      <x:c r="AL9" s="160" t="n">
        <x:f>IF($A9="","",SUMIFS('Importação Contabilidade'!$O$7:$O$500,'Importação Contabilidade'!$A$7:$A$500,'Parâmetros'!$B$4,'Importação Contabilidade'!$B$7:$B$500,$A9))</x:f>
        <x:v>0</x:v>
      </x:c>
      <x:c r="AM9" s="159" t="n">
        <x:f>IF(A9="","",AK9-AL9)</x:f>
        <x:v>0</x:v>
      </x:c>
      <x:c r="AN9" s="159" t="n">
        <x:f>'Conferência'!X5</x:f>
        <x:v>120</x:v>
      </x:c>
      <x:c r="AO9" s="160" t="n">
        <x:f>IF($A9="","",SUMIFS('Importação Contabilidade'!$P$7:$P$500,'Importação Contabilidade'!$A$7:$A$500,'Parâmetros'!$B$4,'Importação Contabilidade'!$B$7:$B$500,$A9))</x:f>
        <x:v>120</x:v>
      </x:c>
      <x:c r="AP9" s="159" t="n">
        <x:f>IF(A9="","",AN9-AO9)</x:f>
        <x:v>0</x:v>
      </x:c>
      <x:c r="AQ9" s="159" t="n">
        <x:f>'Conferência'!Y5</x:f>
        <x:v>180</x:v>
      </x:c>
      <x:c r="AR9" s="160" t="n">
        <x:f>IF($A9="","",SUMIFS('Importação Contabilidade'!$Q$7:$Q$500,'Importação Contabilidade'!$A$7:$A$500,'Parâmetros'!$B$4,'Importação Contabilidade'!$B$7:$B$500,$A9))</x:f>
        <x:v>180</x:v>
      </x:c>
      <x:c r="AS9" s="159" t="n">
        <x:f>IF(A9="","",AQ9-AR9)</x:f>
        <x:v>0</x:v>
      </x:c>
      <x:c r="AT9" s="159" t="n">
        <x:f>'Conferência'!Z5</x:f>
        <x:v>0</x:v>
      </x:c>
      <x:c r="AU9" s="160" t="n">
        <x:f>IF($A9="","",SUMIFS('Importação Contabilidade'!$R$7:$R$500,'Importação Contabilidade'!$A$7:$A$500,'Parâmetros'!$B$4,'Importação Contabilidade'!$B$7:$B$500,$A9))</x:f>
        <x:v>0</x:v>
      </x:c>
      <x:c r="AV9" s="159" t="n">
        <x:f>IF(A9="","",AT9-AU9)</x:f>
        <x:v>0</x:v>
      </x:c>
      <x:c r="AW9" s="159" t="n">
        <x:f>'Conferência'!L5</x:f>
        <x:v>0</x:v>
      </x:c>
      <x:c r="AX9" s="160" t="n">
        <x:f>IF($A9="","",SUMIFS('Importação Contabilidade'!$S$7:$S$500,'Importação Contabilidade'!$A$7:$A$500,'Parâmetros'!$B$4,'Importação Contabilidade'!$B$7:$B$500,$A9))</x:f>
        <x:v>0</x:v>
      </x:c>
      <x:c r="AY9" s="159" t="n">
        <x:f>IF(A9="","",AW9-AX9)</x:f>
        <x:v>0</x:v>
      </x:c>
      <x:c r="AZ9" s="159" t="n">
        <x:f>IF(A9="","",MAX(ABS(F9),ABS(I9),ABS(L9),ABS(O9),ABS(R9),ABS(U9),ABS(X9),ABS(AA9),ABS(AD9),ABS(AG9),ABS(AJ9),ABS(AM9),ABS(AP9),ABS(AS9),ABS(AV9),ABS(AY9)))</x:f>
        <x:v>85</x:v>
      </x:c>
      <x:c r="BA9" s="122" t="str">
        <x:f>IF(A9="","",IF(AZ9&lt;='Parâmetros'!$B$8,"Sem divergência",IF(ABS(F9)=AZ9,"Desc. Falta",IF(ABS(I9)=AZ9,"DSR Falta",IF(ABS(L9)=AZ9,"HE 50%",IF(ABS(O9)=AZ9,"HE 100%",IF(ABS(R9)=AZ9,"Comissão",IF(ABS(U9)=AZ9,"Bônus/Grat.",IF(ABS(X9)=AZ9,"Adicionais",IF(ABS(AA9)=AZ9,"DSR HE",IF(ABS(AD9)=AZ9,"DSR Comissão",IF(ABS(AG9)=AZ9,"VT",IF(ABS(AJ9)=AZ9,"INSS",IF(ABS(AM9)=AZ9,"IRRF",IF(ABS(AP9)=AZ9,"VA/VR",IF(ABS(AS9)=AZ9,"Plano Saúde",IF(ABS(AV9)=AZ9,"Outros Fixos",IF(ABS(AY9)=AZ9,"Desconto Extra","Sem divergência detalhada"))))))))))))))))))</x:f>
        <x:v>Comissão</x:v>
      </x:c>
      <x:c r="BB9" s="122" t="str">
        <x:f>IF(A9="","",IF(BA9="Sem divergência","OK — componentes conferidos","REVISAR — provável origem: "&amp;BA9&amp;" | diferença: R$ "&amp;ROUND(AZ9,2)))</x:f>
        <x:v>REVISAR — provável origem: Comissão | diferença: R$ 85</x:v>
      </x:c>
    </x:row>
    <x:row r="10">
      <x:c r="A10" s="122" t="n">
        <x:f>'Conferência'!A6</x:f>
        <x:v>1005</x:v>
      </x:c>
      <x:c r="B10" s="122" t="str">
        <x:f>'Conferência'!B6</x:f>
        <x:v>Fernanda Costa</x:v>
      </x:c>
      <x:c r="C10" s="122" t="str">
        <x:f>'Conferência'!AI6</x:f>
        <x:v>OK</x:v>
      </x:c>
      <x:c r="D10" s="159" t="n">
        <x:f>'Conferência'!N6</x:f>
        <x:v>0</x:v>
      </x:c>
      <x:c r="E10" s="160" t="n">
        <x:f>IF($A10="","",SUMIFS('Importação Contabilidade'!$D$7:$D$500,'Importação Contabilidade'!$A$7:$A$500,'Parâmetros'!$B$4,'Importação Contabilidade'!$B$7:$B$500,$A10))</x:f>
        <x:v>0</x:v>
      </x:c>
      <x:c r="F10" s="159" t="n">
        <x:f>IF(A10="","",D10-E10)</x:f>
        <x:v>0</x:v>
      </x:c>
      <x:c r="G10" s="159" t="n">
        <x:f>'Conferência'!O6</x:f>
        <x:v>0</x:v>
      </x:c>
      <x:c r="H10" s="160" t="n">
        <x:f>IF($A10="","",SUMIFS('Importação Contabilidade'!$E$7:$E$500,'Importação Contabilidade'!$A$7:$A$500,'Parâmetros'!$B$4,'Importação Contabilidade'!$B$7:$B$500,$A10))</x:f>
        <x:v>0</x:v>
      </x:c>
      <x:c r="I10" s="159" t="n">
        <x:f>IF(A10="","",G10-H10)</x:f>
        <x:v>0</x:v>
      </x:c>
      <x:c r="J10" s="159" t="n">
        <x:f>'Conferência'!P6</x:f>
        <x:v>294.54545454545456</x:v>
      </x:c>
      <x:c r="K10" s="160" t="n">
        <x:f>IF($A10="","",SUMIFS('Importação Contabilidade'!$F$7:$F$500,'Importação Contabilidade'!$A$7:$A$500,'Parâmetros'!$B$4,'Importação Contabilidade'!$B$7:$B$500,$A10))</x:f>
        <x:v>294.55</x:v>
      </x:c>
      <x:c r="L10" s="159" t="n">
        <x:f>IF(A10="","",J10-K10)</x:f>
        <x:v>-0.004545454545450411</x:v>
      </x:c>
      <x:c r="M10" s="159" t="n">
        <x:f>'Conferência'!Q6</x:f>
        <x:v>0</x:v>
      </x:c>
      <x:c r="N10" s="160" t="n">
        <x:f>IF($A10="","",SUMIFS('Importação Contabilidade'!$G$7:$G$500,'Importação Contabilidade'!$A$7:$A$500,'Parâmetros'!$B$4,'Importação Contabilidade'!$B$7:$B$500,$A10))</x:f>
        <x:v>0</x:v>
      </x:c>
      <x:c r="O10" s="159" t="n">
        <x:f>IF(A10="","",M10-N10)</x:f>
        <x:v>0</x:v>
      </x:c>
      <x:c r="P10" s="159" t="n">
        <x:f>'Conferência'!H6</x:f>
        <x:v>0</x:v>
      </x:c>
      <x:c r="Q10" s="160" t="n">
        <x:f>IF($A10="","",SUMIFS('Importação Contabilidade'!$H$7:$H$500,'Importação Contabilidade'!$A$7:$A$500,'Parâmetros'!$B$4,'Importação Contabilidade'!$B$7:$B$500,$A10))</x:f>
        <x:v>0</x:v>
      </x:c>
      <x:c r="R10" s="159" t="n">
        <x:f>IF(A10="","",P10-Q10)</x:f>
        <x:v>0</x:v>
      </x:c>
      <x:c r="S10" s="159" t="n">
        <x:f>'Conferência'!I6</x:f>
        <x:v>900</x:v>
      </x:c>
      <x:c r="T10" s="160" t="n">
        <x:f>IF($A10="","",SUMIFS('Importação Contabilidade'!$I$7:$I$500,'Importação Contabilidade'!$A$7:$A$500,'Parâmetros'!$B$4,'Importação Contabilidade'!$B$7:$B$500,$A10))</x:f>
        <x:v>900</x:v>
      </x:c>
      <x:c r="U10" s="159" t="n">
        <x:f>IF(A10="","",S10-T10)</x:f>
        <x:v>0</x:v>
      </x:c>
      <x:c r="V10" s="159" t="n">
        <x:f>'Conferência'!J6</x:f>
        <x:v>0</x:v>
      </x:c>
      <x:c r="W10" s="160" t="n">
        <x:f>IF($A10="","",SUMIFS('Importação Contabilidade'!$J$7:$J$500,'Importação Contabilidade'!$A$7:$A$500,'Parâmetros'!$B$4,'Importação Contabilidade'!$B$7:$B$500,$A10))</x:f>
        <x:v>0</x:v>
      </x:c>
      <x:c r="X10" s="159" t="n">
        <x:f>IF(A10="","",V10-W10)</x:f>
        <x:v>0</x:v>
      </x:c>
      <x:c r="Y10" s="159" t="n">
        <x:f>'Conferência'!R6</x:f>
        <x:v>53.553719008264466</x:v>
      </x:c>
      <x:c r="Z10" s="160" t="n">
        <x:f>IF($A10="","",SUMIFS('Importação Contabilidade'!$K$7:$K$500,'Importação Contabilidade'!$A$7:$A$500,'Parâmetros'!$B$4,'Importação Contabilidade'!$B$7:$B$500,$A10))</x:f>
        <x:v>53.55</x:v>
      </x:c>
      <x:c r="AA10" s="159" t="n">
        <x:f>IF(A10="","",Y10-Z10)</x:f>
        <x:v>0.0037190082644684708</x:v>
      </x:c>
      <x:c r="AB10" s="159" t="n">
        <x:f>'Conferência'!S6</x:f>
        <x:v>0</x:v>
      </x:c>
      <x:c r="AC10" s="160" t="n">
        <x:f>IF($A10="","",SUMIFS('Importação Contabilidade'!$L$7:$L$500,'Importação Contabilidade'!$A$7:$A$500,'Parâmetros'!$B$4,'Importação Contabilidade'!$B$7:$B$500,$A10))</x:f>
        <x:v>0</x:v>
      </x:c>
      <x:c r="AD10" s="159" t="n">
        <x:f>IF(A10="","",AB10-AC10)</x:f>
        <x:v>0</x:v>
      </x:c>
      <x:c r="AE10" s="159" t="n">
        <x:f>'Conferência'!U6</x:f>
        <x:v>0</x:v>
      </x:c>
      <x:c r="AF10" s="160" t="n">
        <x:f>IF($A10="","",SUMIFS('Importação Contabilidade'!$M$7:$M$500,'Importação Contabilidade'!$A$7:$A$500,'Parâmetros'!$B$4,'Importação Contabilidade'!$B$7:$B$500,$A10))</x:f>
        <x:v>0</x:v>
      </x:c>
      <x:c r="AG10" s="159" t="n">
        <x:f>IF(A10="","",AE10-AF10)</x:f>
        <x:v>0</x:v>
      </x:c>
      <x:c r="AH10" s="159" t="n">
        <x:f>'Conferência'!V6</x:f>
        <x:v>908.8628000000001</x:v>
      </x:c>
      <x:c r="AI10" s="160" t="n">
        <x:f>IF($A10="","",SUMIFS('Importação Contabilidade'!$N$7:$N$500,'Importação Contabilidade'!$A$7:$A$500,'Parâmetros'!$B$4,'Importação Contabilidade'!$B$7:$B$500,$A10))</x:f>
        <x:v>908.86</x:v>
      </x:c>
      <x:c r="AJ10" s="159" t="n">
        <x:f>IF(A10="","",AH10-AI10)</x:f>
        <x:v>0.0028000000000929504</x:v>
      </x:c>
      <x:c r="AK10" s="159" t="n">
        <x:f>'Conferência'!W6</x:f>
        <x:v>0</x:v>
      </x:c>
      <x:c r="AL10" s="160" t="n">
        <x:f>IF($A10="","",SUMIFS('Importação Contabilidade'!$O$7:$O$500,'Importação Contabilidade'!$A$7:$A$500,'Parâmetros'!$B$4,'Importação Contabilidade'!$B$7:$B$500,$A10))</x:f>
        <x:v>0</x:v>
      </x:c>
      <x:c r="AM10" s="159" t="n">
        <x:f>IF(A10="","",AK10-AL10)</x:f>
        <x:v>0</x:v>
      </x:c>
      <x:c r="AN10" s="159" t="n">
        <x:f>'Conferência'!X6</x:f>
        <x:v>150</x:v>
      </x:c>
      <x:c r="AO10" s="160" t="n">
        <x:f>IF($A10="","",SUMIFS('Importação Contabilidade'!$P$7:$P$500,'Importação Contabilidade'!$A$7:$A$500,'Parâmetros'!$B$4,'Importação Contabilidade'!$B$7:$B$500,$A10))</x:f>
        <x:v>150</x:v>
      </x:c>
      <x:c r="AP10" s="159" t="n">
        <x:f>IF(A10="","",AN10-AO10)</x:f>
        <x:v>0</x:v>
      </x:c>
      <x:c r="AQ10" s="159" t="n">
        <x:f>'Conferência'!Y6</x:f>
        <x:v>220</x:v>
      </x:c>
      <x:c r="AR10" s="160" t="n">
        <x:f>IF($A10="","",SUMIFS('Importação Contabilidade'!$Q$7:$Q$500,'Importação Contabilidade'!$A$7:$A$500,'Parâmetros'!$B$4,'Importação Contabilidade'!$B$7:$B$500,$A10))</x:f>
        <x:v>220</x:v>
      </x:c>
      <x:c r="AS10" s="159" t="n">
        <x:f>IF(A10="","",AQ10-AR10)</x:f>
        <x:v>0</x:v>
      </x:c>
      <x:c r="AT10" s="159" t="n">
        <x:f>'Conferência'!Z6</x:f>
        <x:v>0</x:v>
      </x:c>
      <x:c r="AU10" s="160" t="n">
        <x:f>IF($A10="","",SUMIFS('Importação Contabilidade'!$R$7:$R$500,'Importação Contabilidade'!$A$7:$A$500,'Parâmetros'!$B$4,'Importação Contabilidade'!$B$7:$B$500,$A10))</x:f>
        <x:v>0</x:v>
      </x:c>
      <x:c r="AV10" s="159" t="n">
        <x:f>IF(A10="","",AT10-AU10)</x:f>
        <x:v>0</x:v>
      </x:c>
      <x:c r="AW10" s="159" t="n">
        <x:f>'Conferência'!L6</x:f>
        <x:v>0</x:v>
      </x:c>
      <x:c r="AX10" s="160" t="n">
        <x:f>IF($A10="","",SUMIFS('Importação Contabilidade'!$S$7:$S$500,'Importação Contabilidade'!$A$7:$A$500,'Parâmetros'!$B$4,'Importação Contabilidade'!$B$7:$B$500,$A10))</x:f>
        <x:v>0</x:v>
      </x:c>
      <x:c r="AY10" s="159" t="n">
        <x:f>IF(A10="","",AW10-AX10)</x:f>
        <x:v>0</x:v>
      </x:c>
      <x:c r="AZ10" s="159" t="n">
        <x:f>IF(A10="","",MAX(ABS(F10),ABS(I10),ABS(L10),ABS(O10),ABS(R10),ABS(U10),ABS(X10),ABS(AA10),ABS(AD10),ABS(AG10),ABS(AJ10),ABS(AM10),ABS(AP10),ABS(AS10),ABS(AV10),ABS(AY10)))</x:f>
        <x:v>0.004545454545450411</x:v>
      </x:c>
      <x:c r="BA10" s="122" t="str">
        <x:f>IF(A10="","",IF(AZ10&lt;='Parâmetros'!$B$8,"Sem divergência",IF(ABS(F10)=AZ10,"Desc. Falta",IF(ABS(I10)=AZ10,"DSR Falta",IF(ABS(L10)=AZ10,"HE 50%",IF(ABS(O10)=AZ10,"HE 100%",IF(ABS(R10)=AZ10,"Comissão",IF(ABS(U10)=AZ10,"Bônus/Grat.",IF(ABS(X10)=AZ10,"Adicionais",IF(ABS(AA10)=AZ10,"DSR HE",IF(ABS(AD10)=AZ10,"DSR Comissão",IF(ABS(AG10)=AZ10,"VT",IF(ABS(AJ10)=AZ10,"INSS",IF(ABS(AM10)=AZ10,"IRRF",IF(ABS(AP10)=AZ10,"VA/VR",IF(ABS(AS10)=AZ10,"Plano Saúde",IF(ABS(AV10)=AZ10,"Outros Fixos",IF(ABS(AY10)=AZ10,"Desconto Extra","Sem divergência detalhada"))))))))))))))))))</x:f>
        <x:v>Sem divergência</x:v>
      </x:c>
      <x:c r="BB10" s="122" t="str">
        <x:f>IF(A10="","",IF(BA10="Sem divergência","OK — componentes conferidos","REVISAR — provável origem: "&amp;BA10&amp;" | diferença: R$ "&amp;ROUND(AZ10,2)))</x:f>
        <x:v>OK — componentes conferidos</x:v>
      </x:c>
    </x:row>
    <x:row r="11">
      <x:c r="A11" s="122" t="n">
        <x:f>'Conferência'!A7</x:f>
        <x:v>1006</x:v>
      </x:c>
      <x:c r="B11" s="122" t="str">
        <x:f>'Conferência'!B7</x:f>
        <x:v>Bruno Martins</x:v>
      </x:c>
      <x:c r="C11" s="122" t="str">
        <x:f>'Conferência'!AI7</x:f>
        <x:v>OK</x:v>
      </x:c>
      <x:c r="D11" s="159" t="n">
        <x:f>'Conferência'!N7</x:f>
        <x:v>0</x:v>
      </x:c>
      <x:c r="E11" s="160" t="n">
        <x:f>IF($A11="","",SUMIFS('Importação Contabilidade'!$D$7:$D$500,'Importação Contabilidade'!$A$7:$A$500,'Parâmetros'!$B$4,'Importação Contabilidade'!$B$7:$B$500,$A11))</x:f>
        <x:v>0</x:v>
      </x:c>
      <x:c r="F11" s="159" t="n">
        <x:f>IF(A11="","",D11-E11)</x:f>
        <x:v>0</x:v>
      </x:c>
      <x:c r="G11" s="159" t="n">
        <x:f>'Conferência'!O7</x:f>
        <x:v>0</x:v>
      </x:c>
      <x:c r="H11" s="160" t="n">
        <x:f>IF($A11="","",SUMIFS('Importação Contabilidade'!$E$7:$E$500,'Importação Contabilidade'!$A$7:$A$500,'Parâmetros'!$B$4,'Importação Contabilidade'!$B$7:$B$500,$A11))</x:f>
        <x:v>0</x:v>
      </x:c>
      <x:c r="I11" s="159" t="n">
        <x:f>IF(A11="","",G11-H11)</x:f>
        <x:v>0</x:v>
      </x:c>
      <x:c r="J11" s="159" t="n">
        <x:f>'Conferência'!P7</x:f>
        <x:v>120</x:v>
      </x:c>
      <x:c r="K11" s="160" t="n">
        <x:f>IF($A11="","",SUMIFS('Importação Contabilidade'!$F$7:$F$500,'Importação Contabilidade'!$A$7:$A$500,'Parâmetros'!$B$4,'Importação Contabilidade'!$B$7:$B$500,$A11))</x:f>
        <x:v>120</x:v>
      </x:c>
      <x:c r="L11" s="159" t="n">
        <x:f>IF(A11="","",J11-K11)</x:f>
        <x:v>0</x:v>
      </x:c>
      <x:c r="M11" s="159" t="n">
        <x:f>'Conferência'!Q7</x:f>
        <x:v>0</x:v>
      </x:c>
      <x:c r="N11" s="160" t="n">
        <x:f>IF($A11="","",SUMIFS('Importação Contabilidade'!$G$7:$G$500,'Importação Contabilidade'!$A$7:$A$500,'Parâmetros'!$B$4,'Importação Contabilidade'!$B$7:$B$500,$A11))</x:f>
        <x:v>0</x:v>
      </x:c>
      <x:c r="O11" s="159" t="n">
        <x:f>IF(A11="","",M11-N11)</x:f>
        <x:v>0</x:v>
      </x:c>
      <x:c r="P11" s="159" t="n">
        <x:f>'Conferência'!H7</x:f>
        <x:v>2800</x:v>
      </x:c>
      <x:c r="Q11" s="160" t="n">
        <x:f>IF($A11="","",SUMIFS('Importação Contabilidade'!$H$7:$H$500,'Importação Contabilidade'!$A$7:$A$500,'Parâmetros'!$B$4,'Importação Contabilidade'!$B$7:$B$500,$A11))</x:f>
        <x:v>2800</x:v>
      </x:c>
      <x:c r="R11" s="159" t="n">
        <x:f>IF(A11="","",P11-Q11)</x:f>
        <x:v>0</x:v>
      </x:c>
      <x:c r="S11" s="159" t="n">
        <x:f>'Conferência'!I7</x:f>
        <x:v>0</x:v>
      </x:c>
      <x:c r="T11" s="160" t="n">
        <x:f>IF($A11="","",SUMIFS('Importação Contabilidade'!$I$7:$I$500,'Importação Contabilidade'!$A$7:$A$500,'Parâmetros'!$B$4,'Importação Contabilidade'!$B$7:$B$500,$A11))</x:f>
        <x:v>0</x:v>
      </x:c>
      <x:c r="U11" s="159" t="n">
        <x:f>IF(A11="","",S11-T11)</x:f>
        <x:v>0</x:v>
      </x:c>
      <x:c r="V11" s="159" t="n">
        <x:f>'Conferência'!J7</x:f>
        <x:v>0</x:v>
      </x:c>
      <x:c r="W11" s="160" t="n">
        <x:f>IF($A11="","",SUMIFS('Importação Contabilidade'!$J$7:$J$500,'Importação Contabilidade'!$A$7:$A$500,'Parâmetros'!$B$4,'Importação Contabilidade'!$B$7:$B$500,$A11))</x:f>
        <x:v>0</x:v>
      </x:c>
      <x:c r="X11" s="159" t="n">
        <x:f>IF(A11="","",V11-W11)</x:f>
        <x:v>0</x:v>
      </x:c>
      <x:c r="Y11" s="159" t="n">
        <x:f>'Conferência'!R7</x:f>
        <x:v>21.818181818181817</x:v>
      </x:c>
      <x:c r="Z11" s="160" t="n">
        <x:f>IF($A11="","",SUMIFS('Importação Contabilidade'!$K$7:$K$500,'Importação Contabilidade'!$A$7:$A$500,'Parâmetros'!$B$4,'Importação Contabilidade'!$B$7:$B$500,$A11))</x:f>
        <x:v>21.82</x:v>
      </x:c>
      <x:c r="AA11" s="159" t="n">
        <x:f>IF(A11="","",Y11-Z11)</x:f>
        <x:v>-0.0018181818181837173</x:v>
      </x:c>
      <x:c r="AB11" s="159" t="n">
        <x:f>'Conferência'!S7</x:f>
        <x:v>509.09090909090907</x:v>
      </x:c>
      <x:c r="AC11" s="160" t="n">
        <x:f>IF($A11="","",SUMIFS('Importação Contabilidade'!$L$7:$L$500,'Importação Contabilidade'!$A$7:$A$500,'Parâmetros'!$B$4,'Importação Contabilidade'!$B$7:$B$500,$A11))</x:f>
        <x:v>509.09</x:v>
      </x:c>
      <x:c r="AD11" s="159" t="n">
        <x:f>IF(A11="","",AB11-AC11)</x:f>
        <x:v>0.0009090909090900823</x:v>
      </x:c>
      <x:c r="AE11" s="159" t="n">
        <x:f>'Conferência'!U7</x:f>
        <x:v>260</x:v>
      </x:c>
      <x:c r="AF11" s="160" t="n">
        <x:f>IF($A11="","",SUMIFS('Importação Contabilidade'!$M$7:$M$500,'Importação Contabilidade'!$A$7:$A$500,'Parâmetros'!$B$4,'Importação Contabilidade'!$B$7:$B$500,$A11))</x:f>
        <x:v>260</x:v>
      </x:c>
      <x:c r="AG11" s="159" t="n">
        <x:f>IF(A11="","",AE11-AF11)</x:f>
        <x:v>0</x:v>
      </x:c>
      <x:c r="AH11" s="159" t="n">
        <x:f>'Conferência'!V7</x:f>
        <x:v>908.8628000000001</x:v>
      </x:c>
      <x:c r="AI11" s="160" t="n">
        <x:f>IF($A11="","",SUMIFS('Importação Contabilidade'!$N$7:$N$500,'Importação Contabilidade'!$A$7:$A$500,'Parâmetros'!$B$4,'Importação Contabilidade'!$B$7:$B$500,$A11))</x:f>
        <x:v>908.86</x:v>
      </x:c>
      <x:c r="AJ11" s="159" t="n">
        <x:f>IF(A11="","",AH11-AI11)</x:f>
        <x:v>0.0028000000000929504</x:v>
      </x:c>
      <x:c r="AK11" s="159" t="n">
        <x:f>'Conferência'!W7</x:f>
        <x:v>0</x:v>
      </x:c>
      <x:c r="AL11" s="160" t="n">
        <x:f>IF($A11="","",SUMIFS('Importação Contabilidade'!$O$7:$O$500,'Importação Contabilidade'!$A$7:$A$500,'Parâmetros'!$B$4,'Importação Contabilidade'!$B$7:$B$500,$A11))</x:f>
        <x:v>0</x:v>
      </x:c>
      <x:c r="AM11" s="159" t="n">
        <x:f>IF(A11="","",AK11-AL11)</x:f>
        <x:v>0</x:v>
      </x:c>
      <x:c r="AN11" s="159" t="n">
        <x:f>'Conferência'!X7</x:f>
        <x:v>120</x:v>
      </x:c>
      <x:c r="AO11" s="160" t="n">
        <x:f>IF($A11="","",SUMIFS('Importação Contabilidade'!$P$7:$P$500,'Importação Contabilidade'!$A$7:$A$500,'Parâmetros'!$B$4,'Importação Contabilidade'!$B$7:$B$500,$A11))</x:f>
        <x:v>120</x:v>
      </x:c>
      <x:c r="AP11" s="159" t="n">
        <x:f>IF(A11="","",AN11-AO11)</x:f>
        <x:v>0</x:v>
      </x:c>
      <x:c r="AQ11" s="159" t="n">
        <x:f>'Conferência'!Y7</x:f>
        <x:v>180</x:v>
      </x:c>
      <x:c r="AR11" s="160" t="n">
        <x:f>IF($A11="","",SUMIFS('Importação Contabilidade'!$Q$7:$Q$500,'Importação Contabilidade'!$A$7:$A$500,'Parâmetros'!$B$4,'Importação Contabilidade'!$B$7:$B$500,$A11))</x:f>
        <x:v>180</x:v>
      </x:c>
      <x:c r="AS11" s="159" t="n">
        <x:f>IF(A11="","",AQ11-AR11)</x:f>
        <x:v>0</x:v>
      </x:c>
      <x:c r="AT11" s="159" t="n">
        <x:f>'Conferência'!Z7</x:f>
        <x:v>0</x:v>
      </x:c>
      <x:c r="AU11" s="160" t="n">
        <x:f>IF($A11="","",SUMIFS('Importação Contabilidade'!$R$7:$R$500,'Importação Contabilidade'!$A$7:$A$500,'Parâmetros'!$B$4,'Importação Contabilidade'!$B$7:$B$500,$A11))</x:f>
        <x:v>0</x:v>
      </x:c>
      <x:c r="AV11" s="159" t="n">
        <x:f>IF(A11="","",AT11-AU11)</x:f>
        <x:v>0</x:v>
      </x:c>
      <x:c r="AW11" s="159" t="n">
        <x:f>'Conferência'!L7</x:f>
        <x:v>0</x:v>
      </x:c>
      <x:c r="AX11" s="160" t="n">
        <x:f>IF($A11="","",SUMIFS('Importação Contabilidade'!$S$7:$S$500,'Importação Contabilidade'!$A$7:$A$500,'Parâmetros'!$B$4,'Importação Contabilidade'!$B$7:$B$500,$A11))</x:f>
        <x:v>0</x:v>
      </x:c>
      <x:c r="AY11" s="159" t="n">
        <x:f>IF(A11="","",AW11-AX11)</x:f>
        <x:v>0</x:v>
      </x:c>
      <x:c r="AZ11" s="159" t="n">
        <x:f>IF(A11="","",MAX(ABS(F11),ABS(I11),ABS(L11),ABS(O11),ABS(R11),ABS(U11),ABS(X11),ABS(AA11),ABS(AD11),ABS(AG11),ABS(AJ11),ABS(AM11),ABS(AP11),ABS(AS11),ABS(AV11),ABS(AY11)))</x:f>
        <x:v>0.0028000000000929504</x:v>
      </x:c>
      <x:c r="BA11" s="122" t="str">
        <x:f>IF(A11="","",IF(AZ11&lt;='Parâmetros'!$B$8,"Sem divergência",IF(ABS(F11)=AZ11,"Desc. Falta",IF(ABS(I11)=AZ11,"DSR Falta",IF(ABS(L11)=AZ11,"HE 50%",IF(ABS(O11)=AZ11,"HE 100%",IF(ABS(R11)=AZ11,"Comissão",IF(ABS(U11)=AZ11,"Bônus/Grat.",IF(ABS(X11)=AZ11,"Adicionais",IF(ABS(AA11)=AZ11,"DSR HE",IF(ABS(AD11)=AZ11,"DSR Comissão",IF(ABS(AG11)=AZ11,"VT",IF(ABS(AJ11)=AZ11,"INSS",IF(ABS(AM11)=AZ11,"IRRF",IF(ABS(AP11)=AZ11,"VA/VR",IF(ABS(AS11)=AZ11,"Plano Saúde",IF(ABS(AV11)=AZ11,"Outros Fixos",IF(ABS(AY11)=AZ11,"Desconto Extra","Sem divergência detalhada"))))))))))))))))))</x:f>
        <x:v>Sem divergência</x:v>
      </x:c>
      <x:c r="BB11" s="122" t="str">
        <x:f>IF(A11="","",IF(BA11="Sem divergência","OK — componentes conferidos","REVISAR — provável origem: "&amp;BA11&amp;" | diferença: R$ "&amp;ROUND(AZ11,2)))</x:f>
        <x:v>OK — componentes conferidos</x:v>
      </x:c>
    </x:row>
    <x:row r="12">
      <x:c r="A12" s="122" t="n">
        <x:f>'Conferência'!A8</x:f>
        <x:v>1007</x:v>
      </x:c>
      <x:c r="B12" s="122" t="str">
        <x:f>'Conferência'!B8</x:f>
        <x:v>Juliana Rocha</x:v>
      </x:c>
      <x:c r="C12" s="122" t="str">
        <x:f>'Conferência'!AI8</x:f>
        <x:v>REVISAR</x:v>
      </x:c>
      <x:c r="D12" s="159" t="n">
        <x:f>'Conferência'!N8</x:f>
        <x:v>0</x:v>
      </x:c>
      <x:c r="E12" s="160" t="n">
        <x:f>IF($A12="","",SUMIFS('Importação Contabilidade'!$D$7:$D$500,'Importação Contabilidade'!$A$7:$A$500,'Parâmetros'!$B$4,'Importação Contabilidade'!$B$7:$B$500,$A12))</x:f>
        <x:v>0</x:v>
      </x:c>
      <x:c r="F12" s="159" t="n">
        <x:f>IF(A12="","",D12-E12)</x:f>
        <x:v>0</x:v>
      </x:c>
      <x:c r="G12" s="159" t="n">
        <x:f>'Conferência'!O8</x:f>
        <x:v>0</x:v>
      </x:c>
      <x:c r="H12" s="160" t="n">
        <x:f>IF($A12="","",SUMIFS('Importação Contabilidade'!$E$7:$E$500,'Importação Contabilidade'!$A$7:$A$500,'Parâmetros'!$B$4,'Importação Contabilidade'!$B$7:$B$500,$A12))</x:f>
        <x:v>0</x:v>
      </x:c>
      <x:c r="I12" s="159" t="n">
        <x:f>IF(A12="","",G12-H12)</x:f>
        <x:v>0</x:v>
      </x:c>
      <x:c r="J12" s="159" t="n">
        <x:f>'Conferência'!P8</x:f>
        <x:v>104.31818181818181</x:v>
      </x:c>
      <x:c r="K12" s="160" t="n">
        <x:f>IF($A12="","",SUMIFS('Importação Contabilidade'!$F$7:$F$500,'Importação Contabilidade'!$A$7:$A$500,'Parâmetros'!$B$4,'Importação Contabilidade'!$B$7:$B$500,$A12))</x:f>
        <x:v>104.32</x:v>
      </x:c>
      <x:c r="L12" s="159" t="n">
        <x:f>IF(A12="","",J12-K12)</x:f>
        <x:v>-0.0018181818181801646</x:v>
      </x:c>
      <x:c r="M12" s="159" t="n">
        <x:f>'Conferência'!Q8</x:f>
        <x:v>0</x:v>
      </x:c>
      <x:c r="N12" s="160" t="n">
        <x:f>IF($A12="","",SUMIFS('Importação Contabilidade'!$G$7:$G$500,'Importação Contabilidade'!$A$7:$A$500,'Parâmetros'!$B$4,'Importação Contabilidade'!$B$7:$B$500,$A12))</x:f>
        <x:v>0</x:v>
      </x:c>
      <x:c r="O12" s="159" t="n">
        <x:f>IF(A12="","",M12-N12)</x:f>
        <x:v>0</x:v>
      </x:c>
      <x:c r="P12" s="159" t="n">
        <x:f>'Conferência'!H8</x:f>
        <x:v>0</x:v>
      </x:c>
      <x:c r="Q12" s="160" t="n">
        <x:f>IF($A12="","",SUMIFS('Importação Contabilidade'!$H$7:$H$500,'Importação Contabilidade'!$A$7:$A$500,'Parâmetros'!$B$4,'Importação Contabilidade'!$B$7:$B$500,$A12))</x:f>
        <x:v>0</x:v>
      </x:c>
      <x:c r="R12" s="159" t="n">
        <x:f>IF(A12="","",P12-Q12)</x:f>
        <x:v>0</x:v>
      </x:c>
      <x:c r="S12" s="159" t="n">
        <x:f>'Conferência'!I8</x:f>
        <x:v>0</x:v>
      </x:c>
      <x:c r="T12" s="160" t="n">
        <x:f>IF($A12="","",SUMIFS('Importação Contabilidade'!$I$7:$I$500,'Importação Contabilidade'!$A$7:$A$500,'Parâmetros'!$B$4,'Importação Contabilidade'!$B$7:$B$500,$A12))</x:f>
        <x:v>0</x:v>
      </x:c>
      <x:c r="U12" s="159" t="n">
        <x:f>IF(A12="","",S12-T12)</x:f>
        <x:v>0</x:v>
      </x:c>
      <x:c r="V12" s="159" t="n">
        <x:f>'Conferência'!J8</x:f>
        <x:v>350</x:v>
      </x:c>
      <x:c r="W12" s="160" t="n">
        <x:f>IF($A12="","",SUMIFS('Importação Contabilidade'!$J$7:$J$500,'Importação Contabilidade'!$A$7:$A$500,'Parâmetros'!$B$4,'Importação Contabilidade'!$B$7:$B$500,$A12))</x:f>
        <x:v>350</x:v>
      </x:c>
      <x:c r="X12" s="159" t="n">
        <x:f>IF(A12="","",V12-W12)</x:f>
        <x:v>0</x:v>
      </x:c>
      <x:c r="Y12" s="159" t="n">
        <x:f>'Conferência'!R8</x:f>
        <x:v>18.966942148760328</x:v>
      </x:c>
      <x:c r="Z12" s="160" t="n">
        <x:f>IF($A12="","",SUMIFS('Importação Contabilidade'!$K$7:$K$500,'Importação Contabilidade'!$A$7:$A$500,'Parâmetros'!$B$4,'Importação Contabilidade'!$B$7:$B$500,$A12))</x:f>
        <x:v>18.97</x:v>
      </x:c>
      <x:c r="AA12" s="159" t="n">
        <x:f>IF(A12="","",Y12-Z12)</x:f>
        <x:v>-0.003057851239670839</x:v>
      </x:c>
      <x:c r="AB12" s="159" t="n">
        <x:f>'Conferência'!S8</x:f>
        <x:v>0</x:v>
      </x:c>
      <x:c r="AC12" s="160" t="n">
        <x:f>IF($A12="","",SUMIFS('Importação Contabilidade'!$L$7:$L$500,'Importação Contabilidade'!$A$7:$A$500,'Parâmetros'!$B$4,'Importação Contabilidade'!$B$7:$B$500,$A12))</x:f>
        <x:v>0</x:v>
      </x:c>
      <x:c r="AD12" s="159" t="n">
        <x:f>IF(A12="","",AB12-AC12)</x:f>
        <x:v>0</x:v>
      </x:c>
      <x:c r="AE12" s="159" t="n">
        <x:f>'Conferência'!U8</x:f>
        <x:v>220</x:v>
      </x:c>
      <x:c r="AF12" s="160" t="n">
        <x:f>IF($A12="","",SUMIFS('Importação Contabilidade'!$M$7:$M$500,'Importação Contabilidade'!$A$7:$A$500,'Parâmetros'!$B$4,'Importação Contabilidade'!$B$7:$B$500,$A12))</x:f>
        <x:v>220</x:v>
      </x:c>
      <x:c r="AG12" s="159" t="n">
        <x:f>IF(A12="","",AE12-AF12)</x:f>
        <x:v>0</x:v>
      </x:c>
      <x:c r="AH12" s="159" t="n">
        <x:f>'Conferência'!V8</x:f>
        <x:v>599.0799173553721</x:v>
      </x:c>
      <x:c r="AI12" s="160" t="n">
        <x:f>IF($A12="","",SUMIFS('Importação Contabilidade'!$N$7:$N$500,'Importação Contabilidade'!$A$7:$A$500,'Parâmetros'!$B$4,'Importação Contabilidade'!$B$7:$B$500,$A12))</x:f>
        <x:v>664.08</x:v>
      </x:c>
      <x:c r="AJ12" s="159" t="n">
        <x:f>IF(A12="","",AH12-AI12)</x:f>
        <x:v>-65.00008264462792</x:v>
      </x:c>
      <x:c r="AK12" s="159" t="n">
        <x:f>'Conferência'!W8</x:f>
        <x:v>0</x:v>
      </x:c>
      <x:c r="AL12" s="160" t="n">
        <x:f>IF($A12="","",SUMIFS('Importação Contabilidade'!$O$7:$O$500,'Importação Contabilidade'!$A$7:$A$500,'Parâmetros'!$B$4,'Importação Contabilidade'!$B$7:$B$500,$A12))</x:f>
        <x:v>0</x:v>
      </x:c>
      <x:c r="AM12" s="159" t="n">
        <x:f>IF(A12="","",AK12-AL12)</x:f>
        <x:v>0</x:v>
      </x:c>
      <x:c r="AN12" s="159" t="n">
        <x:f>'Conferência'!X8</x:f>
        <x:v>150</x:v>
      </x:c>
      <x:c r="AO12" s="160" t="n">
        <x:f>IF($A12="","",SUMIFS('Importação Contabilidade'!$P$7:$P$500,'Importação Contabilidade'!$A$7:$A$500,'Parâmetros'!$B$4,'Importação Contabilidade'!$B$7:$B$500,$A12))</x:f>
        <x:v>150</x:v>
      </x:c>
      <x:c r="AP12" s="159" t="n">
        <x:f>IF(A12="","",AN12-AO12)</x:f>
        <x:v>0</x:v>
      </x:c>
      <x:c r="AQ12" s="159" t="n">
        <x:f>'Conferência'!Y8</x:f>
        <x:v>200</x:v>
      </x:c>
      <x:c r="AR12" s="160" t="n">
        <x:f>IF($A12="","",SUMIFS('Importação Contabilidade'!$Q$7:$Q$500,'Importação Contabilidade'!$A$7:$A$500,'Parâmetros'!$B$4,'Importação Contabilidade'!$B$7:$B$500,$A12))</x:f>
        <x:v>200</x:v>
      </x:c>
      <x:c r="AS12" s="159" t="n">
        <x:f>IF(A12="","",AQ12-AR12)</x:f>
        <x:v>0</x:v>
      </x:c>
      <x:c r="AT12" s="159" t="n">
        <x:f>'Conferência'!Z8</x:f>
        <x:v>0</x:v>
      </x:c>
      <x:c r="AU12" s="160" t="n">
        <x:f>IF($A12="","",SUMIFS('Importação Contabilidade'!$R$7:$R$500,'Importação Contabilidade'!$A$7:$A$500,'Parâmetros'!$B$4,'Importação Contabilidade'!$B$7:$B$500,$A12))</x:f>
        <x:v>0</x:v>
      </x:c>
      <x:c r="AV12" s="159" t="n">
        <x:f>IF(A12="","",AT12-AU12)</x:f>
        <x:v>0</x:v>
      </x:c>
      <x:c r="AW12" s="159" t="n">
        <x:f>'Conferência'!L8</x:f>
        <x:v>0</x:v>
      </x:c>
      <x:c r="AX12" s="160" t="n">
        <x:f>IF($A12="","",SUMIFS('Importação Contabilidade'!$S$7:$S$500,'Importação Contabilidade'!$A$7:$A$500,'Parâmetros'!$B$4,'Importação Contabilidade'!$B$7:$B$500,$A12))</x:f>
        <x:v>0</x:v>
      </x:c>
      <x:c r="AY12" s="159" t="n">
        <x:f>IF(A12="","",AW12-AX12)</x:f>
        <x:v>0</x:v>
      </x:c>
      <x:c r="AZ12" s="159" t="n">
        <x:f>IF(A12="","",MAX(ABS(F12),ABS(I12),ABS(L12),ABS(O12),ABS(R12),ABS(U12),ABS(X12),ABS(AA12),ABS(AD12),ABS(AG12),ABS(AJ12),ABS(AM12),ABS(AP12),ABS(AS12),ABS(AV12),ABS(AY12)))</x:f>
        <x:v>65.00008264462792</x:v>
      </x:c>
      <x:c r="BA12" s="122" t="str">
        <x:f>IF(A12="","",IF(AZ12&lt;='Parâmetros'!$B$8,"Sem divergência",IF(ABS(F12)=AZ12,"Desc. Falta",IF(ABS(I12)=AZ12,"DSR Falta",IF(ABS(L12)=AZ12,"HE 50%",IF(ABS(O12)=AZ12,"HE 100%",IF(ABS(R12)=AZ12,"Comissão",IF(ABS(U12)=AZ12,"Bônus/Grat.",IF(ABS(X12)=AZ12,"Adicionais",IF(ABS(AA12)=AZ12,"DSR HE",IF(ABS(AD12)=AZ12,"DSR Comissão",IF(ABS(AG12)=AZ12,"VT",IF(ABS(AJ12)=AZ12,"INSS",IF(ABS(AM12)=AZ12,"IRRF",IF(ABS(AP12)=AZ12,"VA/VR",IF(ABS(AS12)=AZ12,"Plano Saúde",IF(ABS(AV12)=AZ12,"Outros Fixos",IF(ABS(AY12)=AZ12,"Desconto Extra","Sem divergência detalhada"))))))))))))))))))</x:f>
        <x:v>INSS</x:v>
      </x:c>
      <x:c r="BB12" s="122" t="str">
        <x:f>IF(A12="","",IF(BA12="Sem divergência","OK — componentes conferidos","REVISAR — provável origem: "&amp;BA12&amp;" | diferença: R$ "&amp;ROUND(AZ12,2)))</x:f>
        <x:v>REVISAR — provável origem: INSS | diferença: R$ 65</x:v>
      </x:c>
    </x:row>
    <x:row r="13">
      <x:c r="A13" s="122" t="n">
        <x:f>'Conferência'!A9</x:f>
        <x:v>1008</x:v>
      </x:c>
      <x:c r="B13" s="122" t="str">
        <x:f>'Conferência'!B9</x:f>
        <x:v>Lucas Almeida</x:v>
      </x:c>
      <x:c r="C13" s="122" t="str">
        <x:f>'Conferência'!AI9</x:f>
        <x:v>OK</x:v>
      </x:c>
      <x:c r="D13" s="159" t="n">
        <x:f>'Conferência'!N9</x:f>
        <x:v>0</x:v>
      </x:c>
      <x:c r="E13" s="160" t="n">
        <x:f>IF($A13="","",SUMIFS('Importação Contabilidade'!$D$7:$D$500,'Importação Contabilidade'!$A$7:$A$500,'Parâmetros'!$B$4,'Importação Contabilidade'!$B$7:$B$500,$A13))</x:f>
        <x:v>0</x:v>
      </x:c>
      <x:c r="F13" s="159" t="n">
        <x:f>IF(A13="","",D13-E13)</x:f>
        <x:v>0</x:v>
      </x:c>
      <x:c r="G13" s="159" t="n">
        <x:f>'Conferência'!O9</x:f>
        <x:v>0</x:v>
      </x:c>
      <x:c r="H13" s="160" t="n">
        <x:f>IF($A13="","",SUMIFS('Importação Contabilidade'!$E$7:$E$500,'Importação Contabilidade'!$A$7:$A$500,'Parâmetros'!$B$4,'Importação Contabilidade'!$B$7:$B$500,$A13))</x:f>
        <x:v>0</x:v>
      </x:c>
      <x:c r="I13" s="159" t="n">
        <x:f>IF(A13="","",G13-H13)</x:f>
        <x:v>0</x:v>
      </x:c>
      <x:c r="J13" s="159" t="n">
        <x:f>'Conferência'!P9</x:f>
        <x:v>0</x:v>
      </x:c>
      <x:c r="K13" s="160" t="n">
        <x:f>IF($A13="","",SUMIFS('Importação Contabilidade'!$F$7:$F$500,'Importação Contabilidade'!$A$7:$A$500,'Parâmetros'!$B$4,'Importação Contabilidade'!$B$7:$B$500,$A13))</x:f>
        <x:v>0</x:v>
      </x:c>
      <x:c r="L13" s="159" t="n">
        <x:f>IF(A13="","",J13-K13)</x:f>
        <x:v>0</x:v>
      </x:c>
      <x:c r="M13" s="159" t="n">
        <x:f>'Conferência'!Q9</x:f>
        <x:v>0</x:v>
      </x:c>
      <x:c r="N13" s="160" t="n">
        <x:f>IF($A13="","",SUMIFS('Importação Contabilidade'!$G$7:$G$500,'Importação Contabilidade'!$A$7:$A$500,'Parâmetros'!$B$4,'Importação Contabilidade'!$B$7:$B$500,$A13))</x:f>
        <x:v>0</x:v>
      </x:c>
      <x:c r="O13" s="159" t="n">
        <x:f>IF(A13="","",M13-N13)</x:f>
        <x:v>0</x:v>
      </x:c>
      <x:c r="P13" s="159" t="n">
        <x:f>'Conferência'!H9</x:f>
        <x:v>3100</x:v>
      </x:c>
      <x:c r="Q13" s="160" t="n">
        <x:f>IF($A13="","",SUMIFS('Importação Contabilidade'!$H$7:$H$500,'Importação Contabilidade'!$A$7:$A$500,'Parâmetros'!$B$4,'Importação Contabilidade'!$B$7:$B$500,$A13))</x:f>
        <x:v>3100</x:v>
      </x:c>
      <x:c r="R13" s="159" t="n">
        <x:f>IF(A13="","",P13-Q13)</x:f>
        <x:v>0</x:v>
      </x:c>
      <x:c r="S13" s="159" t="n">
        <x:f>'Conferência'!I9</x:f>
        <x:v>0</x:v>
      </x:c>
      <x:c r="T13" s="160" t="n">
        <x:f>IF($A13="","",SUMIFS('Importação Contabilidade'!$I$7:$I$500,'Importação Contabilidade'!$A$7:$A$500,'Parâmetros'!$B$4,'Importação Contabilidade'!$B$7:$B$500,$A13))</x:f>
        <x:v>0</x:v>
      </x:c>
      <x:c r="U13" s="159" t="n">
        <x:f>IF(A13="","",S13-T13)</x:f>
        <x:v>0</x:v>
      </x:c>
      <x:c r="V13" s="159" t="n">
        <x:f>'Conferência'!J9</x:f>
        <x:v>0</x:v>
      </x:c>
      <x:c r="W13" s="160" t="n">
        <x:f>IF($A13="","",SUMIFS('Importação Contabilidade'!$J$7:$J$500,'Importação Contabilidade'!$A$7:$A$500,'Parâmetros'!$B$4,'Importação Contabilidade'!$B$7:$B$500,$A13))</x:f>
        <x:v>0</x:v>
      </x:c>
      <x:c r="X13" s="159" t="n">
        <x:f>IF(A13="","",V13-W13)</x:f>
        <x:v>0</x:v>
      </x:c>
      <x:c r="Y13" s="159" t="n">
        <x:f>'Conferência'!R9</x:f>
        <x:v>0</x:v>
      </x:c>
      <x:c r="Z13" s="160" t="n">
        <x:f>IF($A13="","",SUMIFS('Importação Contabilidade'!$K$7:$K$500,'Importação Contabilidade'!$A$7:$A$500,'Parâmetros'!$B$4,'Importação Contabilidade'!$B$7:$B$500,$A13))</x:f>
        <x:v>0</x:v>
      </x:c>
      <x:c r="AA13" s="159" t="n">
        <x:f>IF(A13="","",Y13-Z13)</x:f>
        <x:v>0</x:v>
      </x:c>
      <x:c r="AB13" s="159" t="n">
        <x:f>'Conferência'!S9</x:f>
        <x:v>563.6363636363636</x:v>
      </x:c>
      <x:c r="AC13" s="160" t="n">
        <x:f>IF($A13="","",SUMIFS('Importação Contabilidade'!$L$7:$L$500,'Importação Contabilidade'!$A$7:$A$500,'Parâmetros'!$B$4,'Importação Contabilidade'!$B$7:$B$500,$A13))</x:f>
        <x:v>563.64</x:v>
      </x:c>
      <x:c r="AD13" s="159" t="n">
        <x:f>IF(A13="","",AB13-AC13)</x:f>
        <x:v>-0.003636363636360329</x:v>
      </x:c>
      <x:c r="AE13" s="159" t="n">
        <x:f>'Conferência'!U9</x:f>
        <x:v>258</x:v>
      </x:c>
      <x:c r="AF13" s="160" t="n">
        <x:f>IF($A13="","",SUMIFS('Importação Contabilidade'!$M$7:$M$500,'Importação Contabilidade'!$A$7:$A$500,'Parâmetros'!$B$4,'Importação Contabilidade'!$B$7:$B$500,$A13))</x:f>
        <x:v>258</x:v>
      </x:c>
      <x:c r="AG13" s="159" t="n">
        <x:f>IF(A13="","",AE13-AF13)</x:f>
        <x:v>0</x:v>
      </x:c>
      <x:c r="AH13" s="159" t="n">
        <x:f>'Conferência'!V9</x:f>
        <x:v>908.8628000000001</x:v>
      </x:c>
      <x:c r="AI13" s="160" t="n">
        <x:f>IF($A13="","",SUMIFS('Importação Contabilidade'!$N$7:$N$500,'Importação Contabilidade'!$A$7:$A$500,'Parâmetros'!$B$4,'Importação Contabilidade'!$B$7:$B$500,$A13))</x:f>
        <x:v>908.86</x:v>
      </x:c>
      <x:c r="AJ13" s="159" t="n">
        <x:f>IF(A13="","",AH13-AI13)</x:f>
        <x:v>0.0028000000000929504</x:v>
      </x:c>
      <x:c r="AK13" s="159" t="n">
        <x:f>'Conferência'!W9</x:f>
        <x:v>0</x:v>
      </x:c>
      <x:c r="AL13" s="160" t="n">
        <x:f>IF($A13="","",SUMIFS('Importação Contabilidade'!$O$7:$O$500,'Importação Contabilidade'!$A$7:$A$500,'Parâmetros'!$B$4,'Importação Contabilidade'!$B$7:$B$500,$A13))</x:f>
        <x:v>0</x:v>
      </x:c>
      <x:c r="AM13" s="159" t="n">
        <x:f>IF(A13="","",AK13-AL13)</x:f>
        <x:v>0</x:v>
      </x:c>
      <x:c r="AN13" s="159" t="n">
        <x:f>'Conferência'!X9</x:f>
        <x:v>120</x:v>
      </x:c>
      <x:c r="AO13" s="160" t="n">
        <x:f>IF($A13="","",SUMIFS('Importação Contabilidade'!$P$7:$P$500,'Importação Contabilidade'!$A$7:$A$500,'Parâmetros'!$B$4,'Importação Contabilidade'!$B$7:$B$500,$A13))</x:f>
        <x:v>120</x:v>
      </x:c>
      <x:c r="AP13" s="159" t="n">
        <x:f>IF(A13="","",AN13-AO13)</x:f>
        <x:v>0</x:v>
      </x:c>
      <x:c r="AQ13" s="159" t="n">
        <x:f>'Conferência'!Y9</x:f>
        <x:v>180</x:v>
      </x:c>
      <x:c r="AR13" s="160" t="n">
        <x:f>IF($A13="","",SUMIFS('Importação Contabilidade'!$Q$7:$Q$500,'Importação Contabilidade'!$A$7:$A$500,'Parâmetros'!$B$4,'Importação Contabilidade'!$B$7:$B$500,$A13))</x:f>
        <x:v>180</x:v>
      </x:c>
      <x:c r="AS13" s="159" t="n">
        <x:f>IF(A13="","",AQ13-AR13)</x:f>
        <x:v>0</x:v>
      </x:c>
      <x:c r="AT13" s="159" t="n">
        <x:f>'Conferência'!Z9</x:f>
        <x:v>0</x:v>
      </x:c>
      <x:c r="AU13" s="160" t="n">
        <x:f>IF($A13="","",SUMIFS('Importação Contabilidade'!$R$7:$R$500,'Importação Contabilidade'!$A$7:$A$500,'Parâmetros'!$B$4,'Importação Contabilidade'!$B$7:$B$500,$A13))</x:f>
        <x:v>0</x:v>
      </x:c>
      <x:c r="AV13" s="159" t="n">
        <x:f>IF(A13="","",AT13-AU13)</x:f>
        <x:v>0</x:v>
      </x:c>
      <x:c r="AW13" s="159" t="n">
        <x:f>'Conferência'!L9</x:f>
        <x:v>0</x:v>
      </x:c>
      <x:c r="AX13" s="160" t="n">
        <x:f>IF($A13="","",SUMIFS('Importação Contabilidade'!$S$7:$S$500,'Importação Contabilidade'!$A$7:$A$500,'Parâmetros'!$B$4,'Importação Contabilidade'!$B$7:$B$500,$A13))</x:f>
        <x:v>0</x:v>
      </x:c>
      <x:c r="AY13" s="159" t="n">
        <x:f>IF(A13="","",AW13-AX13)</x:f>
        <x:v>0</x:v>
      </x:c>
      <x:c r="AZ13" s="159" t="n">
        <x:f>IF(A13="","",MAX(ABS(F13),ABS(I13),ABS(L13),ABS(O13),ABS(R13),ABS(U13),ABS(X13),ABS(AA13),ABS(AD13),ABS(AG13),ABS(AJ13),ABS(AM13),ABS(AP13),ABS(AS13),ABS(AV13),ABS(AY13)))</x:f>
        <x:v>0.003636363636360329</x:v>
      </x:c>
      <x:c r="BA13" s="122" t="str">
        <x:f>IF(A13="","",IF(AZ13&lt;='Parâmetros'!$B$8,"Sem divergência",IF(ABS(F13)=AZ13,"Desc. Falta",IF(ABS(I13)=AZ13,"DSR Falta",IF(ABS(L13)=AZ13,"HE 50%",IF(ABS(O13)=AZ13,"HE 100%",IF(ABS(R13)=AZ13,"Comissão",IF(ABS(U13)=AZ13,"Bônus/Grat.",IF(ABS(X13)=AZ13,"Adicionais",IF(ABS(AA13)=AZ13,"DSR HE",IF(ABS(AD13)=AZ13,"DSR Comissão",IF(ABS(AG13)=AZ13,"VT",IF(ABS(AJ13)=AZ13,"INSS",IF(ABS(AM13)=AZ13,"IRRF",IF(ABS(AP13)=AZ13,"VA/VR",IF(ABS(AS13)=AZ13,"Plano Saúde",IF(ABS(AV13)=AZ13,"Outros Fixos",IF(ABS(AY13)=AZ13,"Desconto Extra","Sem divergência detalhada"))))))))))))))))))</x:f>
        <x:v>Sem divergência</x:v>
      </x:c>
      <x:c r="BB13" s="122" t="str">
        <x:f>IF(A13="","",IF(BA13="Sem divergência","OK — componentes conferidos","REVISAR — provável origem: "&amp;BA13&amp;" | diferença: R$ "&amp;ROUND(AZ13,2)))</x:f>
        <x:v>OK — componentes conferidos</x:v>
      </x:c>
    </x:row>
    <x:row r="14">
      <x:c r="A14" s="122" t="n">
        <x:f>'Conferência'!A10</x:f>
        <x:v>1009</x:v>
      </x:c>
      <x:c r="B14" s="122" t="str">
        <x:f>'Conferência'!B10</x:f>
        <x:v>Patricia Gomes</x:v>
      </x:c>
      <x:c r="C14" s="122" t="str">
        <x:f>'Conferência'!AI10</x:f>
        <x:v>OK</x:v>
      </x:c>
      <x:c r="D14" s="159" t="n">
        <x:f>'Conferência'!N10</x:f>
        <x:v>0</x:v>
      </x:c>
      <x:c r="E14" s="160" t="n">
        <x:f>IF($A14="","",SUMIFS('Importação Contabilidade'!$D$7:$D$500,'Importação Contabilidade'!$A$7:$A$500,'Parâmetros'!$B$4,'Importação Contabilidade'!$B$7:$B$500,$A14))</x:f>
        <x:v>0</x:v>
      </x:c>
      <x:c r="F14" s="159" t="n">
        <x:f>IF(A14="","",D14-E14)</x:f>
        <x:v>0</x:v>
      </x:c>
      <x:c r="G14" s="159" t="n">
        <x:f>'Conferência'!O10</x:f>
        <x:v>0</x:v>
      </x:c>
      <x:c r="H14" s="160" t="n">
        <x:f>IF($A14="","",SUMIFS('Importação Contabilidade'!$E$7:$E$500,'Importação Contabilidade'!$A$7:$A$500,'Parâmetros'!$B$4,'Importação Contabilidade'!$B$7:$B$500,$A14))</x:f>
        <x:v>0</x:v>
      </x:c>
      <x:c r="I14" s="159" t="n">
        <x:f>IF(A14="","",G14-H14)</x:f>
        <x:v>0</x:v>
      </x:c>
      <x:c r="J14" s="159" t="n">
        <x:f>'Conferência'!P10</x:f>
        <x:v>267.27272727272725</x:v>
      </x:c>
      <x:c r="K14" s="160" t="n">
        <x:f>IF($A14="","",SUMIFS('Importação Contabilidade'!$F$7:$F$500,'Importação Contabilidade'!$A$7:$A$500,'Parâmetros'!$B$4,'Importação Contabilidade'!$B$7:$B$500,$A14))</x:f>
        <x:v>267.27</x:v>
      </x:c>
      <x:c r="L14" s="159" t="n">
        <x:f>IF(A14="","",J14-K14)</x:f>
        <x:v>0.002727272727270247</x:v>
      </x:c>
      <x:c r="M14" s="159" t="n">
        <x:f>'Conferência'!Q10</x:f>
        <x:v>0</x:v>
      </x:c>
      <x:c r="N14" s="160" t="n">
        <x:f>IF($A14="","",SUMIFS('Importação Contabilidade'!$G$7:$G$500,'Importação Contabilidade'!$A$7:$A$500,'Parâmetros'!$B$4,'Importação Contabilidade'!$B$7:$B$500,$A14))</x:f>
        <x:v>0</x:v>
      </x:c>
      <x:c r="O14" s="159" t="n">
        <x:f>IF(A14="","",M14-N14)</x:f>
        <x:v>0</x:v>
      </x:c>
      <x:c r="P14" s="159" t="n">
        <x:f>'Conferência'!H10</x:f>
        <x:v>0</x:v>
      </x:c>
      <x:c r="Q14" s="160" t="n">
        <x:f>IF($A14="","",SUMIFS('Importação Contabilidade'!$H$7:$H$500,'Importação Contabilidade'!$A$7:$A$500,'Parâmetros'!$B$4,'Importação Contabilidade'!$B$7:$B$500,$A14))</x:f>
        <x:v>0</x:v>
      </x:c>
      <x:c r="R14" s="159" t="n">
        <x:f>IF(A14="","",P14-Q14)</x:f>
        <x:v>0</x:v>
      </x:c>
      <x:c r="S14" s="159" t="n">
        <x:f>'Conferência'!I10</x:f>
        <x:v>500</x:v>
      </x:c>
      <x:c r="T14" s="160" t="n">
        <x:f>IF($A14="","",SUMIFS('Importação Contabilidade'!$I$7:$I$500,'Importação Contabilidade'!$A$7:$A$500,'Parâmetros'!$B$4,'Importação Contabilidade'!$B$7:$B$500,$A14))</x:f>
        <x:v>500</x:v>
      </x:c>
      <x:c r="U14" s="159" t="n">
        <x:f>IF(A14="","",S14-T14)</x:f>
        <x:v>0</x:v>
      </x:c>
      <x:c r="V14" s="159" t="n">
        <x:f>'Conferência'!J10</x:f>
        <x:v>0</x:v>
      </x:c>
      <x:c r="W14" s="160" t="n">
        <x:f>IF($A14="","",SUMIFS('Importação Contabilidade'!$J$7:$J$500,'Importação Contabilidade'!$A$7:$A$500,'Parâmetros'!$B$4,'Importação Contabilidade'!$B$7:$B$500,$A14))</x:f>
        <x:v>0</x:v>
      </x:c>
      <x:c r="X14" s="159" t="n">
        <x:f>IF(A14="","",V14-W14)</x:f>
        <x:v>0</x:v>
      </x:c>
      <x:c r="Y14" s="159" t="n">
        <x:f>'Conferência'!R10</x:f>
        <x:v>48.595041322314046</x:v>
      </x:c>
      <x:c r="Z14" s="160" t="n">
        <x:f>IF($A14="","",SUMIFS('Importação Contabilidade'!$K$7:$K$500,'Importação Contabilidade'!$A$7:$A$500,'Parâmetros'!$B$4,'Importação Contabilidade'!$B$7:$B$500,$A14))</x:f>
        <x:v>48.6</x:v>
      </x:c>
      <x:c r="AA14" s="159" t="n">
        <x:f>IF(A14="","",Y14-Z14)</x:f>
        <x:v>-0.0049586776859555926</x:v>
      </x:c>
      <x:c r="AB14" s="159" t="n">
        <x:f>'Conferência'!S10</x:f>
        <x:v>0</x:v>
      </x:c>
      <x:c r="AC14" s="160" t="n">
        <x:f>IF($A14="","",SUMIFS('Importação Contabilidade'!$L$7:$L$500,'Importação Contabilidade'!$A$7:$A$500,'Parâmetros'!$B$4,'Importação Contabilidade'!$B$7:$B$500,$A14))</x:f>
        <x:v>0</x:v>
      </x:c>
      <x:c r="AD14" s="159" t="n">
        <x:f>IF(A14="","",AB14-AC14)</x:f>
        <x:v>0</x:v>
      </x:c>
      <x:c r="AE14" s="159" t="n">
        <x:f>'Conferência'!U10</x:f>
        <x:v>200</x:v>
      </x:c>
      <x:c r="AF14" s="160" t="n">
        <x:f>IF($A14="","",SUMIFS('Importação Contabilidade'!$M$7:$M$500,'Importação Contabilidade'!$A$7:$A$500,'Parâmetros'!$B$4,'Importação Contabilidade'!$B$7:$B$500,$A14))</x:f>
        <x:v>200</x:v>
      </x:c>
      <x:c r="AG14" s="159" t="n">
        <x:f>IF(A14="","",AE14-AF14)</x:f>
        <x:v>0</x:v>
      </x:c>
      <x:c r="AH14" s="159" t="n">
        <x:f>'Conferência'!V10</x:f>
        <x:v>717.0414876033058</x:v>
      </x:c>
      <x:c r="AI14" s="160" t="n">
        <x:f>IF($A14="","",SUMIFS('Importação Contabilidade'!$N$7:$N$500,'Importação Contabilidade'!$A$7:$A$500,'Parâmetros'!$B$4,'Importação Contabilidade'!$B$7:$B$500,$A14))</x:f>
        <x:v>717.04</x:v>
      </x:c>
      <x:c r="AJ14" s="159" t="n">
        <x:f>IF(A14="","",AH14-AI14)</x:f>
        <x:v>0.0014876033058044413</x:v>
      </x:c>
      <x:c r="AK14" s="159" t="n">
        <x:f>'Conferência'!W10</x:f>
        <x:v>0</x:v>
      </x:c>
      <x:c r="AL14" s="160" t="n">
        <x:f>IF($A14="","",SUMIFS('Importação Contabilidade'!$O$7:$O$500,'Importação Contabilidade'!$A$7:$A$500,'Parâmetros'!$B$4,'Importação Contabilidade'!$B$7:$B$500,$A14))</x:f>
        <x:v>0</x:v>
      </x:c>
      <x:c r="AM14" s="159" t="n">
        <x:f>IF(A14="","",AK14-AL14)</x:f>
        <x:v>0</x:v>
      </x:c>
      <x:c r="AN14" s="159" t="n">
        <x:f>'Conferência'!X10</x:f>
        <x:v>150</x:v>
      </x:c>
      <x:c r="AO14" s="160" t="n">
        <x:f>IF($A14="","",SUMIFS('Importação Contabilidade'!$P$7:$P$500,'Importação Contabilidade'!$A$7:$A$500,'Parâmetros'!$B$4,'Importação Contabilidade'!$B$7:$B$500,$A14))</x:f>
        <x:v>150</x:v>
      </x:c>
      <x:c r="AP14" s="159" t="n">
        <x:f>IF(A14="","",AN14-AO14)</x:f>
        <x:v>0</x:v>
      </x:c>
      <x:c r="AQ14" s="159" t="n">
        <x:f>'Conferência'!Y10</x:f>
        <x:v>220</x:v>
      </x:c>
      <x:c r="AR14" s="160" t="n">
        <x:f>IF($A14="","",SUMIFS('Importação Contabilidade'!$Q$7:$Q$500,'Importação Contabilidade'!$A$7:$A$500,'Parâmetros'!$B$4,'Importação Contabilidade'!$B$7:$B$500,$A14))</x:f>
        <x:v>220</x:v>
      </x:c>
      <x:c r="AS14" s="159" t="n">
        <x:f>IF(A14="","",AQ14-AR14)</x:f>
        <x:v>0</x:v>
      </x:c>
      <x:c r="AT14" s="159" t="n">
        <x:f>'Conferência'!Z10</x:f>
        <x:v>0</x:v>
      </x:c>
      <x:c r="AU14" s="160" t="n">
        <x:f>IF($A14="","",SUMIFS('Importação Contabilidade'!$R$7:$R$500,'Importação Contabilidade'!$A$7:$A$500,'Parâmetros'!$B$4,'Importação Contabilidade'!$B$7:$B$500,$A14))</x:f>
        <x:v>0</x:v>
      </x:c>
      <x:c r="AV14" s="159" t="n">
        <x:f>IF(A14="","",AT14-AU14)</x:f>
        <x:v>0</x:v>
      </x:c>
      <x:c r="AW14" s="159" t="n">
        <x:f>'Conferência'!L10</x:f>
        <x:v>0</x:v>
      </x:c>
      <x:c r="AX14" s="160" t="n">
        <x:f>IF($A14="","",SUMIFS('Importação Contabilidade'!$S$7:$S$500,'Importação Contabilidade'!$A$7:$A$500,'Parâmetros'!$B$4,'Importação Contabilidade'!$B$7:$B$500,$A14))</x:f>
        <x:v>0</x:v>
      </x:c>
      <x:c r="AY14" s="159" t="n">
        <x:f>IF(A14="","",AW14-AX14)</x:f>
        <x:v>0</x:v>
      </x:c>
      <x:c r="AZ14" s="159" t="n">
        <x:f>IF(A14="","",MAX(ABS(F14),ABS(I14),ABS(L14),ABS(O14),ABS(R14),ABS(U14),ABS(X14),ABS(AA14),ABS(AD14),ABS(AG14),ABS(AJ14),ABS(AM14),ABS(AP14),ABS(AS14),ABS(AV14),ABS(AY14)))</x:f>
        <x:v>0.0049586776859555926</x:v>
      </x:c>
      <x:c r="BA14" s="122" t="str">
        <x:f>IF(A14="","",IF(AZ14&lt;='Parâmetros'!$B$8,"Sem divergência",IF(ABS(F14)=AZ14,"Desc. Falta",IF(ABS(I14)=AZ14,"DSR Falta",IF(ABS(L14)=AZ14,"HE 50%",IF(ABS(O14)=AZ14,"HE 100%",IF(ABS(R14)=AZ14,"Comissão",IF(ABS(U14)=AZ14,"Bônus/Grat.",IF(ABS(X14)=AZ14,"Adicionais",IF(ABS(AA14)=AZ14,"DSR HE",IF(ABS(AD14)=AZ14,"DSR Comissão",IF(ABS(AG14)=AZ14,"VT",IF(ABS(AJ14)=AZ14,"INSS",IF(ABS(AM14)=AZ14,"IRRF",IF(ABS(AP14)=AZ14,"VA/VR",IF(ABS(AS14)=AZ14,"Plano Saúde",IF(ABS(AV14)=AZ14,"Outros Fixos",IF(ABS(AY14)=AZ14,"Desconto Extra","Sem divergência detalhada"))))))))))))))))))</x:f>
        <x:v>Sem divergência</x:v>
      </x:c>
      <x:c r="BB14" s="122" t="str">
        <x:f>IF(A14="","",IF(BA14="Sem divergência","OK — componentes conferidos","REVISAR — provável origem: "&amp;BA14&amp;" | diferença: R$ "&amp;ROUND(AZ14,2)))</x:f>
        <x:v>OK — componentes conferidos</x:v>
      </x:c>
    </x:row>
    <x:row r="15">
      <x:c r="A15" s="122" t="n">
        <x:f>'Conferência'!A11</x:f>
        <x:v>1010</x:v>
      </x:c>
      <x:c r="B15" s="122" t="str">
        <x:f>'Conferência'!B11</x:f>
        <x:v>Diego Ferreira</x:v>
      </x:c>
      <x:c r="C15" s="122" t="str">
        <x:f>'Conferência'!AI11</x:f>
        <x:v>REVISAR</x:v>
      </x:c>
      <x:c r="D15" s="159" t="n">
        <x:f>'Conferência'!N11</x:f>
        <x:v>280</x:v>
      </x:c>
      <x:c r="E15" s="160" t="n">
        <x:f>IF($A15="","",SUMIFS('Importação Contabilidade'!$D$7:$D$500,'Importação Contabilidade'!$A$7:$A$500,'Parâmetros'!$B$4,'Importação Contabilidade'!$B$7:$B$500,$A15))</x:f>
        <x:v>280</x:v>
      </x:c>
      <x:c r="F15" s="159" t="n">
        <x:f>IF(A15="","",D15-E15)</x:f>
        <x:v>0</x:v>
      </x:c>
      <x:c r="G15" s="159" t="n">
        <x:f>'Conferência'!O11</x:f>
        <x:v>140</x:v>
      </x:c>
      <x:c r="H15" s="160" t="n">
        <x:f>IF($A15="","",SUMIFS('Importação Contabilidade'!$E$7:$E$500,'Importação Contabilidade'!$A$7:$A$500,'Parâmetros'!$B$4,'Importação Contabilidade'!$B$7:$B$500,$A15))</x:f>
        <x:v>140</x:v>
      </x:c>
      <x:c r="I15" s="159" t="n">
        <x:f>IF(A15="","",G15-H15)</x:f>
        <x:v>0</x:v>
      </x:c>
      <x:c r="J15" s="159" t="n">
        <x:f>'Conferência'!P11</x:f>
        <x:v>0</x:v>
      </x:c>
      <x:c r="K15" s="160" t="n">
        <x:f>IF($A15="","",SUMIFS('Importação Contabilidade'!$F$7:$F$500,'Importação Contabilidade'!$A$7:$A$500,'Parâmetros'!$B$4,'Importação Contabilidade'!$B$7:$B$500,$A15))</x:f>
        <x:v>0</x:v>
      </x:c>
      <x:c r="L15" s="159" t="n">
        <x:f>IF(A15="","",J15-K15)</x:f>
        <x:v>0</x:v>
      </x:c>
      <x:c r="M15" s="159" t="n">
        <x:f>'Conferência'!Q11</x:f>
        <x:v>0</x:v>
      </x:c>
      <x:c r="N15" s="160" t="n">
        <x:f>IF($A15="","",SUMIFS('Importação Contabilidade'!$G$7:$G$500,'Importação Contabilidade'!$A$7:$A$500,'Parâmetros'!$B$4,'Importação Contabilidade'!$B$7:$B$500,$A15))</x:f>
        <x:v>0</x:v>
      </x:c>
      <x:c r="O15" s="159" t="n">
        <x:f>IF(A15="","",M15-N15)</x:f>
        <x:v>0</x:v>
      </x:c>
      <x:c r="P15" s="159" t="n">
        <x:f>'Conferência'!H11</x:f>
        <x:v>2500</x:v>
      </x:c>
      <x:c r="Q15" s="160" t="n">
        <x:f>IF($A15="","",SUMIFS('Importação Contabilidade'!$H$7:$H$500,'Importação Contabilidade'!$A$7:$A$500,'Parâmetros'!$B$4,'Importação Contabilidade'!$B$7:$B$500,$A15))</x:f>
        <x:v>2380</x:v>
      </x:c>
      <x:c r="R15" s="159" t="n">
        <x:f>IF(A15="","",P15-Q15)</x:f>
        <x:v>120</x:v>
      </x:c>
      <x:c r="S15" s="159" t="n">
        <x:f>'Conferência'!I11</x:f>
        <x:v>0</x:v>
      </x:c>
      <x:c r="T15" s="160" t="n">
        <x:f>IF($A15="","",SUMIFS('Importação Contabilidade'!$I$7:$I$500,'Importação Contabilidade'!$A$7:$A$500,'Parâmetros'!$B$4,'Importação Contabilidade'!$B$7:$B$500,$A15))</x:f>
        <x:v>0</x:v>
      </x:c>
      <x:c r="U15" s="159" t="n">
        <x:f>IF(A15="","",S15-T15)</x:f>
        <x:v>0</x:v>
      </x:c>
      <x:c r="V15" s="159" t="n">
        <x:f>'Conferência'!J11</x:f>
        <x:v>0</x:v>
      </x:c>
      <x:c r="W15" s="160" t="n">
        <x:f>IF($A15="","",SUMIFS('Importação Contabilidade'!$J$7:$J$500,'Importação Contabilidade'!$A$7:$A$500,'Parâmetros'!$B$4,'Importação Contabilidade'!$B$7:$B$500,$A15))</x:f>
        <x:v>0</x:v>
      </x:c>
      <x:c r="X15" s="159" t="n">
        <x:f>IF(A15="","",V15-W15)</x:f>
        <x:v>0</x:v>
      </x:c>
      <x:c r="Y15" s="159" t="n">
        <x:f>'Conferência'!R11</x:f>
        <x:v>0</x:v>
      </x:c>
      <x:c r="Z15" s="160" t="n">
        <x:f>IF($A15="","",SUMIFS('Importação Contabilidade'!$K$7:$K$500,'Importação Contabilidade'!$A$7:$A$500,'Parâmetros'!$B$4,'Importação Contabilidade'!$B$7:$B$500,$A15))</x:f>
        <x:v>0</x:v>
      </x:c>
      <x:c r="AA15" s="159" t="n">
        <x:f>IF(A15="","",Y15-Z15)</x:f>
        <x:v>0</x:v>
      </x:c>
      <x:c r="AB15" s="159" t="n">
        <x:f>'Conferência'!S11</x:f>
        <x:v>454.54545454545456</x:v>
      </x:c>
      <x:c r="AC15" s="160" t="n">
        <x:f>IF($A15="","",SUMIFS('Importação Contabilidade'!$L$7:$L$500,'Importação Contabilidade'!$A$7:$A$500,'Parâmetros'!$B$4,'Importação Contabilidade'!$B$7:$B$500,$A15))</x:f>
        <x:v>454.55</x:v>
      </x:c>
      <x:c r="AD15" s="159" t="n">
        <x:f>IF(A15="","",AB15-AC15)</x:f>
        <x:v>-0.004545454545450411</x:v>
      </x:c>
      <x:c r="AE15" s="159" t="n">
        <x:f>'Conferência'!U11</x:f>
        <x:v>252</x:v>
      </x:c>
      <x:c r="AF15" s="160" t="n">
        <x:f>IF($A15="","",SUMIFS('Importação Contabilidade'!$M$7:$M$500,'Importação Contabilidade'!$A$7:$A$500,'Parâmetros'!$B$4,'Importação Contabilidade'!$B$7:$B$500,$A15))</x:f>
        <x:v>252</x:v>
      </x:c>
      <x:c r="AG15" s="159" t="n">
        <x:f>IF(A15="","",AE15-AF15)</x:f>
        <x:v>0</x:v>
      </x:c>
      <x:c r="AH15" s="159" t="n">
        <x:f>'Conferência'!V11</x:f>
        <x:v>761.6563636363637</x:v>
      </x:c>
      <x:c r="AI15" s="160" t="n">
        <x:f>IF($A15="","",SUMIFS('Importação Contabilidade'!$N$7:$N$500,'Importação Contabilidade'!$A$7:$A$500,'Parâmetros'!$B$4,'Importação Contabilidade'!$B$7:$B$500,$A15))</x:f>
        <x:v>761.66</x:v>
      </x:c>
      <x:c r="AJ15" s="159" t="n">
        <x:f>IF(A15="","",AH15-AI15)</x:f>
        <x:v>-0.0036363636362466423</x:v>
      </x:c>
      <x:c r="AK15" s="159" t="n">
        <x:f>'Conferência'!W11</x:f>
        <x:v>0</x:v>
      </x:c>
      <x:c r="AL15" s="160" t="n">
        <x:f>IF($A15="","",SUMIFS('Importação Contabilidade'!$O$7:$O$500,'Importação Contabilidade'!$A$7:$A$500,'Parâmetros'!$B$4,'Importação Contabilidade'!$B$7:$B$500,$A15))</x:f>
        <x:v>0</x:v>
      </x:c>
      <x:c r="AM15" s="159" t="n">
        <x:f>IF(A15="","",AK15-AL15)</x:f>
        <x:v>0</x:v>
      </x:c>
      <x:c r="AN15" s="159" t="n">
        <x:f>'Conferência'!X11</x:f>
        <x:v>120</x:v>
      </x:c>
      <x:c r="AO15" s="160" t="n">
        <x:f>IF($A15="","",SUMIFS('Importação Contabilidade'!$P$7:$P$500,'Importação Contabilidade'!$A$7:$A$500,'Parâmetros'!$B$4,'Importação Contabilidade'!$B$7:$B$500,$A15))</x:f>
        <x:v>120</x:v>
      </x:c>
      <x:c r="AP15" s="159" t="n">
        <x:f>IF(A15="","",AN15-AO15)</x:f>
        <x:v>0</x:v>
      </x:c>
      <x:c r="AQ15" s="159" t="n">
        <x:f>'Conferência'!Y11</x:f>
        <x:v>180</x:v>
      </x:c>
      <x:c r="AR15" s="160" t="n">
        <x:f>IF($A15="","",SUMIFS('Importação Contabilidade'!$Q$7:$Q$500,'Importação Contabilidade'!$A$7:$A$500,'Parâmetros'!$B$4,'Importação Contabilidade'!$B$7:$B$500,$A15))</x:f>
        <x:v>180</x:v>
      </x:c>
      <x:c r="AS15" s="159" t="n">
        <x:f>IF(A15="","",AQ15-AR15)</x:f>
        <x:v>0</x:v>
      </x:c>
      <x:c r="AT15" s="159" t="n">
        <x:f>'Conferência'!Z11</x:f>
        <x:v>0</x:v>
      </x:c>
      <x:c r="AU15" s="160" t="n">
        <x:f>IF($A15="","",SUMIFS('Importação Contabilidade'!$R$7:$R$500,'Importação Contabilidade'!$A$7:$A$500,'Parâmetros'!$B$4,'Importação Contabilidade'!$B$7:$B$500,$A15))</x:f>
        <x:v>0</x:v>
      </x:c>
      <x:c r="AV15" s="159" t="n">
        <x:f>IF(A15="","",AT15-AU15)</x:f>
        <x:v>0</x:v>
      </x:c>
      <x:c r="AW15" s="159" t="n">
        <x:f>'Conferência'!L11</x:f>
        <x:v>0</x:v>
      </x:c>
      <x:c r="AX15" s="160" t="n">
        <x:f>IF($A15="","",SUMIFS('Importação Contabilidade'!$S$7:$S$500,'Importação Contabilidade'!$A$7:$A$500,'Parâmetros'!$B$4,'Importação Contabilidade'!$B$7:$B$500,$A15))</x:f>
        <x:v>0</x:v>
      </x:c>
      <x:c r="AY15" s="159" t="n">
        <x:f>IF(A15="","",AW15-AX15)</x:f>
        <x:v>0</x:v>
      </x:c>
      <x:c r="AZ15" s="159" t="n">
        <x:f>IF(A15="","",MAX(ABS(F15),ABS(I15),ABS(L15),ABS(O15),ABS(R15),ABS(U15),ABS(X15),ABS(AA15),ABS(AD15),ABS(AG15),ABS(AJ15),ABS(AM15),ABS(AP15),ABS(AS15),ABS(AV15),ABS(AY15)))</x:f>
        <x:v>120</x:v>
      </x:c>
      <x:c r="BA15" s="122" t="str">
        <x:f>IF(A15="","",IF(AZ15&lt;='Parâmetros'!$B$8,"Sem divergência",IF(ABS(F15)=AZ15,"Desc. Falta",IF(ABS(I15)=AZ15,"DSR Falta",IF(ABS(L15)=AZ15,"HE 50%",IF(ABS(O15)=AZ15,"HE 100%",IF(ABS(R15)=AZ15,"Comissão",IF(ABS(U15)=AZ15,"Bônus/Grat.",IF(ABS(X15)=AZ15,"Adicionais",IF(ABS(AA15)=AZ15,"DSR HE",IF(ABS(AD15)=AZ15,"DSR Comissão",IF(ABS(AG15)=AZ15,"VT",IF(ABS(AJ15)=AZ15,"INSS",IF(ABS(AM15)=AZ15,"IRRF",IF(ABS(AP15)=AZ15,"VA/VR",IF(ABS(AS15)=AZ15,"Plano Saúde",IF(ABS(AV15)=AZ15,"Outros Fixos",IF(ABS(AY15)=AZ15,"Desconto Extra","Sem divergência detalhada"))))))))))))))))))</x:f>
        <x:v>Comissão</x:v>
      </x:c>
      <x:c r="BB15" s="122" t="str">
        <x:f>IF(A15="","",IF(BA15="Sem divergência","OK — componentes conferidos","REVISAR — provável origem: "&amp;BA15&amp;" | diferença: R$ "&amp;ROUND(AZ15,2)))</x:f>
        <x:v>REVISAR — provável origem: Comissão | diferença: R$ 120</x:v>
      </x:c>
    </x:row>
    <x:row r="16">
      <x:c r="A16" s="122" t="n">
        <x:f>'Conferência'!A12</x:f>
        <x:v>1011</x:v>
      </x:c>
      <x:c r="B16" s="122" t="str">
        <x:f>'Conferência'!B12</x:f>
        <x:v>Renata Barros</x:v>
      </x:c>
      <x:c r="C16" s="122" t="str">
        <x:f>'Conferência'!AI12</x:f>
        <x:v>OK</x:v>
      </x:c>
      <x:c r="D16" s="159" t="n">
        <x:f>'Conferência'!N12</x:f>
        <x:v>0</x:v>
      </x:c>
      <x:c r="E16" s="160" t="n">
        <x:f>IF($A16="","",SUMIFS('Importação Contabilidade'!$D$7:$D$500,'Importação Contabilidade'!$A$7:$A$500,'Parâmetros'!$B$4,'Importação Contabilidade'!$B$7:$B$500,$A16))</x:f>
        <x:v>0</x:v>
      </x:c>
      <x:c r="F16" s="159" t="n">
        <x:f>IF(A16="","",D16-E16)</x:f>
        <x:v>0</x:v>
      </x:c>
      <x:c r="G16" s="159" t="n">
        <x:f>'Conferência'!O12</x:f>
        <x:v>0</x:v>
      </x:c>
      <x:c r="H16" s="160" t="n">
        <x:f>IF($A16="","",SUMIFS('Importação Contabilidade'!$E$7:$E$500,'Importação Contabilidade'!$A$7:$A$500,'Parâmetros'!$B$4,'Importação Contabilidade'!$B$7:$B$500,$A16))</x:f>
        <x:v>0</x:v>
      </x:c>
      <x:c r="I16" s="159" t="n">
        <x:f>IF(A16="","",G16-H16)</x:f>
        <x:v>0</x:v>
      </x:c>
      <x:c r="J16" s="159" t="n">
        <x:f>'Conferência'!P12</x:f>
        <x:v>160.9090909090909</x:v>
      </x:c>
      <x:c r="K16" s="160" t="n">
        <x:f>IF($A16="","",SUMIFS('Importação Contabilidade'!$F$7:$F$500,'Importação Contabilidade'!$A$7:$A$500,'Parâmetros'!$B$4,'Importação Contabilidade'!$B$7:$B$500,$A16))</x:f>
        <x:v>160.91</x:v>
      </x:c>
      <x:c r="L16" s="159" t="n">
        <x:f>IF(A16="","",J16-K16)</x:f>
        <x:v>-0.0009090909090900823</x:v>
      </x:c>
      <x:c r="M16" s="159" t="n">
        <x:f>'Conferência'!Q12</x:f>
        <x:v>0</x:v>
      </x:c>
      <x:c r="N16" s="160" t="n">
        <x:f>IF($A16="","",SUMIFS('Importação Contabilidade'!$G$7:$G$500,'Importação Contabilidade'!$A$7:$A$500,'Parâmetros'!$B$4,'Importação Contabilidade'!$B$7:$B$500,$A16))</x:f>
        <x:v>0</x:v>
      </x:c>
      <x:c r="O16" s="159" t="n">
        <x:f>IF(A16="","",M16-N16)</x:f>
        <x:v>0</x:v>
      </x:c>
      <x:c r="P16" s="159" t="n">
        <x:f>'Conferência'!H12</x:f>
        <x:v>0</x:v>
      </x:c>
      <x:c r="Q16" s="160" t="n">
        <x:f>IF($A16="","",SUMIFS('Importação Contabilidade'!$H$7:$H$500,'Importação Contabilidade'!$A$7:$A$500,'Parâmetros'!$B$4,'Importação Contabilidade'!$B$7:$B$500,$A16))</x:f>
        <x:v>0</x:v>
      </x:c>
      <x:c r="R16" s="159" t="n">
        <x:f>IF(A16="","",P16-Q16)</x:f>
        <x:v>0</x:v>
      </x:c>
      <x:c r="S16" s="159" t="n">
        <x:f>'Conferência'!I12</x:f>
        <x:v>0</x:v>
      </x:c>
      <x:c r="T16" s="160" t="n">
        <x:f>IF($A16="","",SUMIFS('Importação Contabilidade'!$I$7:$I$500,'Importação Contabilidade'!$A$7:$A$500,'Parâmetros'!$B$4,'Importação Contabilidade'!$B$7:$B$500,$A16))</x:f>
        <x:v>0</x:v>
      </x:c>
      <x:c r="U16" s="159" t="n">
        <x:f>IF(A16="","",S16-T16)</x:f>
        <x:v>0</x:v>
      </x:c>
      <x:c r="V16" s="159" t="n">
        <x:f>'Conferência'!J12</x:f>
        <x:v>300</x:v>
      </x:c>
      <x:c r="W16" s="160" t="n">
        <x:f>IF($A16="","",SUMIFS('Importação Contabilidade'!$J$7:$J$500,'Importação Contabilidade'!$A$7:$A$500,'Parâmetros'!$B$4,'Importação Contabilidade'!$B$7:$B$500,$A16))</x:f>
        <x:v>300</x:v>
      </x:c>
      <x:c r="X16" s="159" t="n">
        <x:f>IF(A16="","",V16-W16)</x:f>
        <x:v>0</x:v>
      </x:c>
      <x:c r="Y16" s="159" t="n">
        <x:f>'Conferência'!R12</x:f>
        <x:v>29.25619834710744</x:v>
      </x:c>
      <x:c r="Z16" s="160" t="n">
        <x:f>IF($A16="","",SUMIFS('Importação Contabilidade'!$K$7:$K$500,'Importação Contabilidade'!$A$7:$A$500,'Parâmetros'!$B$4,'Importação Contabilidade'!$B$7:$B$500,$A16))</x:f>
        <x:v>29.26</x:v>
      </x:c>
      <x:c r="AA16" s="159" t="n">
        <x:f>IF(A16="","",Y16-Z16)</x:f>
        <x:v>-0.0038016528925624016</x:v>
      </x:c>
      <x:c r="AB16" s="159" t="n">
        <x:f>'Conferência'!S12</x:f>
        <x:v>0</x:v>
      </x:c>
      <x:c r="AC16" s="160" t="n">
        <x:f>IF($A16="","",SUMIFS('Importação Contabilidade'!$L$7:$L$500,'Importação Contabilidade'!$A$7:$A$500,'Parâmetros'!$B$4,'Importação Contabilidade'!$B$7:$B$500,$A16))</x:f>
        <x:v>0</x:v>
      </x:c>
      <x:c r="AD16" s="159" t="n">
        <x:f>IF(A16="","",AB16-AC16)</x:f>
        <x:v>0</x:v>
      </x:c>
      <x:c r="AE16" s="159" t="n">
        <x:f>'Conferência'!U12</x:f>
        <x:v>180</x:v>
      </x:c>
      <x:c r="AF16" s="160" t="n">
        <x:f>IF($A16="","",SUMIFS('Importação Contabilidade'!$M$7:$M$500,'Importação Contabilidade'!$A$7:$A$500,'Parâmetros'!$B$4,'Importação Contabilidade'!$B$7:$B$500,$A16))</x:f>
        <x:v>180</x:v>
      </x:c>
      <x:c r="AG16" s="159" t="n">
        <x:f>IF(A16="","",AE16-AF16)</x:f>
        <x:v>0</x:v>
      </x:c>
      <x:c r="AH16" s="159" t="n">
        <x:f>'Conferência'!V12</x:f>
        <x:v>713.443140495868</x:v>
      </x:c>
      <x:c r="AI16" s="160" t="n">
        <x:f>IF($A16="","",SUMIFS('Importação Contabilidade'!$N$7:$N$500,'Importação Contabilidade'!$A$7:$A$500,'Parâmetros'!$B$4,'Importação Contabilidade'!$B$7:$B$500,$A16))</x:f>
        <x:v>713.44</x:v>
      </x:c>
      <x:c r="AJ16" s="159" t="n">
        <x:f>IF(A16="","",AH16-AI16)</x:f>
        <x:v>0.003140495867910431</x:v>
      </x:c>
      <x:c r="AK16" s="159" t="n">
        <x:f>'Conferência'!W12</x:f>
        <x:v>0</x:v>
      </x:c>
      <x:c r="AL16" s="160" t="n">
        <x:f>IF($A16="","",SUMIFS('Importação Contabilidade'!$O$7:$O$500,'Importação Contabilidade'!$A$7:$A$500,'Parâmetros'!$B$4,'Importação Contabilidade'!$B$7:$B$500,$A16))</x:f>
        <x:v>0</x:v>
      </x:c>
      <x:c r="AM16" s="159" t="n">
        <x:f>IF(A16="","",AK16-AL16)</x:f>
        <x:v>0</x:v>
      </x:c>
      <x:c r="AN16" s="159" t="n">
        <x:f>'Conferência'!X12</x:f>
        <x:v>150</x:v>
      </x:c>
      <x:c r="AO16" s="160" t="n">
        <x:f>IF($A16="","",SUMIFS('Importação Contabilidade'!$P$7:$P$500,'Importação Contabilidade'!$A$7:$A$500,'Parâmetros'!$B$4,'Importação Contabilidade'!$B$7:$B$500,$A16))</x:f>
        <x:v>150</x:v>
      </x:c>
      <x:c r="AP16" s="159" t="n">
        <x:f>IF(A16="","",AN16-AO16)</x:f>
        <x:v>0</x:v>
      </x:c>
      <x:c r="AQ16" s="159" t="n">
        <x:f>'Conferência'!Y12</x:f>
        <x:v>230</x:v>
      </x:c>
      <x:c r="AR16" s="160" t="n">
        <x:f>IF($A16="","",SUMIFS('Importação Contabilidade'!$Q$7:$Q$500,'Importação Contabilidade'!$A$7:$A$500,'Parâmetros'!$B$4,'Importação Contabilidade'!$B$7:$B$500,$A16))</x:f>
        <x:v>230</x:v>
      </x:c>
      <x:c r="AS16" s="159" t="n">
        <x:f>IF(A16="","",AQ16-AR16)</x:f>
        <x:v>0</x:v>
      </x:c>
      <x:c r="AT16" s="159" t="n">
        <x:f>'Conferência'!Z12</x:f>
        <x:v>0</x:v>
      </x:c>
      <x:c r="AU16" s="160" t="n">
        <x:f>IF($A16="","",SUMIFS('Importação Contabilidade'!$R$7:$R$500,'Importação Contabilidade'!$A$7:$A$500,'Parâmetros'!$B$4,'Importação Contabilidade'!$B$7:$B$500,$A16))</x:f>
        <x:v>0</x:v>
      </x:c>
      <x:c r="AV16" s="159" t="n">
        <x:f>IF(A16="","",AT16-AU16)</x:f>
        <x:v>0</x:v>
      </x:c>
      <x:c r="AW16" s="159" t="n">
        <x:f>'Conferência'!L12</x:f>
        <x:v>0</x:v>
      </x:c>
      <x:c r="AX16" s="160" t="n">
        <x:f>IF($A16="","",SUMIFS('Importação Contabilidade'!$S$7:$S$500,'Importação Contabilidade'!$A$7:$A$500,'Parâmetros'!$B$4,'Importação Contabilidade'!$B$7:$B$500,$A16))</x:f>
        <x:v>0</x:v>
      </x:c>
      <x:c r="AY16" s="159" t="n">
        <x:f>IF(A16="","",AW16-AX16)</x:f>
        <x:v>0</x:v>
      </x:c>
      <x:c r="AZ16" s="159" t="n">
        <x:f>IF(A16="","",MAX(ABS(F16),ABS(I16),ABS(L16),ABS(O16),ABS(R16),ABS(U16),ABS(X16),ABS(AA16),ABS(AD16),ABS(AG16),ABS(AJ16),ABS(AM16),ABS(AP16),ABS(AS16),ABS(AV16),ABS(AY16)))</x:f>
        <x:v>0.0038016528925624016</x:v>
      </x:c>
      <x:c r="BA16" s="122" t="str">
        <x:f>IF(A16="","",IF(AZ16&lt;='Parâmetros'!$B$8,"Sem divergência",IF(ABS(F16)=AZ16,"Desc. Falta",IF(ABS(I16)=AZ16,"DSR Falta",IF(ABS(L16)=AZ16,"HE 50%",IF(ABS(O16)=AZ16,"HE 100%",IF(ABS(R16)=AZ16,"Comissão",IF(ABS(U16)=AZ16,"Bônus/Grat.",IF(ABS(X16)=AZ16,"Adicionais",IF(ABS(AA16)=AZ16,"DSR HE",IF(ABS(AD16)=AZ16,"DSR Comissão",IF(ABS(AG16)=AZ16,"VT",IF(ABS(AJ16)=AZ16,"INSS",IF(ABS(AM16)=AZ16,"IRRF",IF(ABS(AP16)=AZ16,"VA/VR",IF(ABS(AS16)=AZ16,"Plano Saúde",IF(ABS(AV16)=AZ16,"Outros Fixos",IF(ABS(AY16)=AZ16,"Desconto Extra","Sem divergência detalhada"))))))))))))))))))</x:f>
        <x:v>Sem divergência</x:v>
      </x:c>
      <x:c r="BB16" s="122" t="str">
        <x:f>IF(A16="","",IF(BA16="Sem divergência","OK — componentes conferidos","REVISAR — provável origem: "&amp;BA16&amp;" | diferença: R$ "&amp;ROUND(AZ16,2)))</x:f>
        <x:v>OK — componentes conferidos</x:v>
      </x:c>
    </x:row>
    <x:row r="17">
      <x:c r="A17" s="122" t="n">
        <x:f>'Conferência'!A13</x:f>
        <x:v>1012</x:v>
      </x:c>
      <x:c r="B17" s="122" t="str">
        <x:f>'Conferência'!B13</x:f>
        <x:v>Gustavo Nunes</x:v>
      </x:c>
      <x:c r="C17" s="122" t="str">
        <x:f>'Conferência'!AI13</x:f>
        <x:v>OK</x:v>
      </x:c>
      <x:c r="D17" s="159" t="n">
        <x:f>'Conferência'!N13</x:f>
        <x:v>0</x:v>
      </x:c>
      <x:c r="E17" s="160" t="n">
        <x:f>IF($A17="","",SUMIFS('Importação Contabilidade'!$D$7:$D$500,'Importação Contabilidade'!$A$7:$A$500,'Parâmetros'!$B$4,'Importação Contabilidade'!$B$7:$B$500,$A17))</x:f>
        <x:v>0</x:v>
      </x:c>
      <x:c r="F17" s="159" t="n">
        <x:f>IF(A17="","",D17-E17)</x:f>
        <x:v>0</x:v>
      </x:c>
      <x:c r="G17" s="159" t="n">
        <x:f>'Conferência'!O13</x:f>
        <x:v>0</x:v>
      </x:c>
      <x:c r="H17" s="160" t="n">
        <x:f>IF($A17="","",SUMIFS('Importação Contabilidade'!$E$7:$E$500,'Importação Contabilidade'!$A$7:$A$500,'Parâmetros'!$B$4,'Importação Contabilidade'!$B$7:$B$500,$A17))</x:f>
        <x:v>0</x:v>
      </x:c>
      <x:c r="I17" s="159" t="n">
        <x:f>IF(A17="","",G17-H17)</x:f>
        <x:v>0</x:v>
      </x:c>
      <x:c r="J17" s="159" t="n">
        <x:f>'Conferência'!P13</x:f>
        <x:v>231.81818181818184</x:v>
      </x:c>
      <x:c r="K17" s="160" t="n">
        <x:f>IF($A17="","",SUMIFS('Importação Contabilidade'!$F$7:$F$500,'Importação Contabilidade'!$A$7:$A$500,'Parâmetros'!$B$4,'Importação Contabilidade'!$B$7:$B$500,$A17))</x:f>
        <x:v>231.82</x:v>
      </x:c>
      <x:c r="L17" s="159" t="n">
        <x:f>IF(A17="","",J17-K17)</x:f>
        <x:v>-0.0018181818181517428</x:v>
      </x:c>
      <x:c r="M17" s="159" t="n">
        <x:f>'Conferência'!Q13</x:f>
        <x:v>0</x:v>
      </x:c>
      <x:c r="N17" s="160" t="n">
        <x:f>IF($A17="","",SUMIFS('Importação Contabilidade'!$G$7:$G$500,'Importação Contabilidade'!$A$7:$A$500,'Parâmetros'!$B$4,'Importação Contabilidade'!$B$7:$B$500,$A17))</x:f>
        <x:v>0</x:v>
      </x:c>
      <x:c r="O17" s="159" t="n">
        <x:f>IF(A17="","",M17-N17)</x:f>
        <x:v>0</x:v>
      </x:c>
      <x:c r="P17" s="159" t="n">
        <x:f>'Conferência'!H13</x:f>
        <x:v>0</x:v>
      </x:c>
      <x:c r="Q17" s="160" t="n">
        <x:f>IF($A17="","",SUMIFS('Importação Contabilidade'!$H$7:$H$500,'Importação Contabilidade'!$A$7:$A$500,'Parâmetros'!$B$4,'Importação Contabilidade'!$B$7:$B$500,$A17))</x:f>
        <x:v>0</x:v>
      </x:c>
      <x:c r="R17" s="159" t="n">
        <x:f>IF(A17="","",P17-Q17)</x:f>
        <x:v>0</x:v>
      </x:c>
      <x:c r="S17" s="159" t="n">
        <x:f>'Conferência'!I13</x:f>
        <x:v>0</x:v>
      </x:c>
      <x:c r="T17" s="160" t="n">
        <x:f>IF($A17="","",SUMIFS('Importação Contabilidade'!$I$7:$I$500,'Importação Contabilidade'!$A$7:$A$500,'Parâmetros'!$B$4,'Importação Contabilidade'!$B$7:$B$500,$A17))</x:f>
        <x:v>0</x:v>
      </x:c>
      <x:c r="U17" s="159" t="n">
        <x:f>IF(A17="","",S17-T17)</x:f>
        <x:v>0</x:v>
      </x:c>
      <x:c r="V17" s="159" t="n">
        <x:f>'Conferência'!J13</x:f>
        <x:v>0</x:v>
      </x:c>
      <x:c r="W17" s="160" t="n">
        <x:f>IF($A17="","",SUMIFS('Importação Contabilidade'!$J$7:$J$500,'Importação Contabilidade'!$A$7:$A$500,'Parâmetros'!$B$4,'Importação Contabilidade'!$B$7:$B$500,$A17))</x:f>
        <x:v>0</x:v>
      </x:c>
      <x:c r="X17" s="159" t="n">
        <x:f>IF(A17="","",V17-W17)</x:f>
        <x:v>0</x:v>
      </x:c>
      <x:c r="Y17" s="159" t="n">
        <x:f>'Conferência'!R13</x:f>
        <x:v>42.14876033057852</x:v>
      </x:c>
      <x:c r="Z17" s="160" t="n">
        <x:f>IF($A17="","",SUMIFS('Importação Contabilidade'!$K$7:$K$500,'Importação Contabilidade'!$A$7:$A$500,'Parâmetros'!$B$4,'Importação Contabilidade'!$B$7:$B$500,$A17))</x:f>
        <x:v>42.15</x:v>
      </x:c>
      <x:c r="AA17" s="159" t="n">
        <x:f>IF(A17="","",Y17-Z17)</x:f>
        <x:v>-0.0012396694214800164</x:v>
      </x:c>
      <x:c r="AB17" s="159" t="n">
        <x:f>'Conferência'!S13</x:f>
        <x:v>0</x:v>
      </x:c>
      <x:c r="AC17" s="160" t="n">
        <x:f>IF($A17="","",SUMIFS('Importação Contabilidade'!$L$7:$L$500,'Importação Contabilidade'!$A$7:$A$500,'Parâmetros'!$B$4,'Importação Contabilidade'!$B$7:$B$500,$A17))</x:f>
        <x:v>0</x:v>
      </x:c>
      <x:c r="AD17" s="159" t="n">
        <x:f>IF(A17="","",AB17-AC17)</x:f>
        <x:v>0</x:v>
      </x:c>
      <x:c r="AE17" s="159" t="n">
        <x:f>'Conferência'!U13</x:f>
        <x:v>204</x:v>
      </x:c>
      <x:c r="AF17" s="160" t="n">
        <x:f>IF($A17="","",SUMIFS('Importação Contabilidade'!$M$7:$M$500,'Importação Contabilidade'!$A$7:$A$500,'Parâmetros'!$B$4,'Importação Contabilidade'!$B$7:$B$500,$A17))</x:f>
        <x:v>204</x:v>
      </x:c>
      <x:c r="AG17" s="159" t="n">
        <x:f>IF(A17="","",AE17-AF17)</x:f>
        <x:v>0</x:v>
      </x:c>
      <x:c r="AH17" s="159" t="n">
        <x:f>'Conferência'!V13</x:f>
        <x:v>361.2960330578513</x:v>
      </x:c>
      <x:c r="AI17" s="160" t="n">
        <x:f>IF($A17="","",SUMIFS('Importação Contabilidade'!$N$7:$N$500,'Importação Contabilidade'!$A$7:$A$500,'Parâmetros'!$B$4,'Importação Contabilidade'!$B$7:$B$500,$A17))</x:f>
        <x:v>361.3</x:v>
      </x:c>
      <x:c r="AJ17" s="159" t="n">
        <x:f>IF(A17="","",AH17-AI17)</x:f>
        <x:v>-0.003966942148736052</x:v>
      </x:c>
      <x:c r="AK17" s="159" t="n">
        <x:f>'Conferência'!W13</x:f>
        <x:v>0</x:v>
      </x:c>
      <x:c r="AL17" s="160" t="n">
        <x:f>IF($A17="","",SUMIFS('Importação Contabilidade'!$O$7:$O$500,'Importação Contabilidade'!$A$7:$A$500,'Parâmetros'!$B$4,'Importação Contabilidade'!$B$7:$B$500,$A17))</x:f>
        <x:v>0</x:v>
      </x:c>
      <x:c r="AM17" s="159" t="n">
        <x:f>IF(A17="","",AK17-AL17)</x:f>
        <x:v>0</x:v>
      </x:c>
      <x:c r="AN17" s="159" t="n">
        <x:f>'Conferência'!X13</x:f>
        <x:v>100</x:v>
      </x:c>
      <x:c r="AO17" s="160" t="n">
        <x:f>IF($A17="","",SUMIFS('Importação Contabilidade'!$P$7:$P$500,'Importação Contabilidade'!$A$7:$A$500,'Parâmetros'!$B$4,'Importação Contabilidade'!$B$7:$B$500,$A17))</x:f>
        <x:v>100</x:v>
      </x:c>
      <x:c r="AP17" s="159" t="n">
        <x:f>IF(A17="","",AN17-AO17)</x:f>
        <x:v>0</x:v>
      </x:c>
      <x:c r="AQ17" s="159" t="n">
        <x:f>'Conferência'!Y13</x:f>
        <x:v>150</x:v>
      </x:c>
      <x:c r="AR17" s="160" t="n">
        <x:f>IF($A17="","",SUMIFS('Importação Contabilidade'!$Q$7:$Q$500,'Importação Contabilidade'!$A$7:$A$500,'Parâmetros'!$B$4,'Importação Contabilidade'!$B$7:$B$500,$A17))</x:f>
        <x:v>150</x:v>
      </x:c>
      <x:c r="AS17" s="159" t="n">
        <x:f>IF(A17="","",AQ17-AR17)</x:f>
        <x:v>0</x:v>
      </x:c>
      <x:c r="AT17" s="159" t="n">
        <x:f>'Conferência'!Z13</x:f>
        <x:v>0</x:v>
      </x:c>
      <x:c r="AU17" s="160" t="n">
        <x:f>IF($A17="","",SUMIFS('Importação Contabilidade'!$R$7:$R$500,'Importação Contabilidade'!$A$7:$A$500,'Parâmetros'!$B$4,'Importação Contabilidade'!$B$7:$B$500,$A17))</x:f>
        <x:v>0</x:v>
      </x:c>
      <x:c r="AV17" s="159" t="n">
        <x:f>IF(A17="","",AT17-AU17)</x:f>
        <x:v>0</x:v>
      </x:c>
      <x:c r="AW17" s="159" t="n">
        <x:f>'Conferência'!L13</x:f>
        <x:v>0</x:v>
      </x:c>
      <x:c r="AX17" s="160" t="n">
        <x:f>IF($A17="","",SUMIFS('Importação Contabilidade'!$S$7:$S$500,'Importação Contabilidade'!$A$7:$A$500,'Parâmetros'!$B$4,'Importação Contabilidade'!$B$7:$B$500,$A17))</x:f>
        <x:v>0</x:v>
      </x:c>
      <x:c r="AY17" s="159" t="n">
        <x:f>IF(A17="","",AW17-AX17)</x:f>
        <x:v>0</x:v>
      </x:c>
      <x:c r="AZ17" s="159" t="n">
        <x:f>IF(A17="","",MAX(ABS(F17),ABS(I17),ABS(L17),ABS(O17),ABS(R17),ABS(U17),ABS(X17),ABS(AA17),ABS(AD17),ABS(AG17),ABS(AJ17),ABS(AM17),ABS(AP17),ABS(AS17),ABS(AV17),ABS(AY17)))</x:f>
        <x:v>0.003966942148736052</x:v>
      </x:c>
      <x:c r="BA17" s="122" t="str">
        <x:f>IF(A17="","",IF(AZ17&lt;='Parâmetros'!$B$8,"Sem divergência",IF(ABS(F17)=AZ17,"Desc. Falta",IF(ABS(I17)=AZ17,"DSR Falta",IF(ABS(L17)=AZ17,"HE 50%",IF(ABS(O17)=AZ17,"HE 100%",IF(ABS(R17)=AZ17,"Comissão",IF(ABS(U17)=AZ17,"Bônus/Grat.",IF(ABS(X17)=AZ17,"Adicionais",IF(ABS(AA17)=AZ17,"DSR HE",IF(ABS(AD17)=AZ17,"DSR Comissão",IF(ABS(AG17)=AZ17,"VT",IF(ABS(AJ17)=AZ17,"INSS",IF(ABS(AM17)=AZ17,"IRRF",IF(ABS(AP17)=AZ17,"VA/VR",IF(ABS(AS17)=AZ17,"Plano Saúde",IF(ABS(AV17)=AZ17,"Outros Fixos",IF(ABS(AY17)=AZ17,"Desconto Extra","Sem divergência detalhada"))))))))))))))))))</x:f>
        <x:v>Sem divergência</x:v>
      </x:c>
      <x:c r="BB17" s="122" t="str">
        <x:f>IF(A17="","",IF(BA17="Sem divergência","OK — componentes conferidos","REVISAR — provável origem: "&amp;BA17&amp;" | diferença: R$ "&amp;ROUND(AZ17,2)))</x:f>
        <x:v>OK — componentes conferidos</x:v>
      </x:c>
    </x:row>
    <x:row r="18">
      <x:c r="A18" s="122" t="n">
        <x:f>'Conferência'!A14</x:f>
        <x:v>1013</x:v>
      </x:c>
      <x:c r="B18" s="122" t="str">
        <x:f>'Conferência'!B14</x:f>
        <x:v>Aline Ribeiro</x:v>
      </x:c>
      <x:c r="C18" s="122" t="str">
        <x:f>'Conferência'!AI14</x:f>
        <x:v>OK</x:v>
      </x:c>
      <x:c r="D18" s="159" t="n">
        <x:f>'Conferência'!N14</x:f>
        <x:v>0</x:v>
      </x:c>
      <x:c r="E18" s="160" t="n">
        <x:f>IF($A18="","",SUMIFS('Importação Contabilidade'!$D$7:$D$500,'Importação Contabilidade'!$A$7:$A$500,'Parâmetros'!$B$4,'Importação Contabilidade'!$B$7:$B$500,$A18))</x:f>
        <x:v>0</x:v>
      </x:c>
      <x:c r="F18" s="159" t="n">
        <x:f>IF(A18="","",D18-E18)</x:f>
        <x:v>0</x:v>
      </x:c>
      <x:c r="G18" s="159" t="n">
        <x:f>'Conferência'!O14</x:f>
        <x:v>0</x:v>
      </x:c>
      <x:c r="H18" s="160" t="n">
        <x:f>IF($A18="","",SUMIFS('Importação Contabilidade'!$E$7:$E$500,'Importação Contabilidade'!$A$7:$A$500,'Parâmetros'!$B$4,'Importação Contabilidade'!$B$7:$B$500,$A18))</x:f>
        <x:v>0</x:v>
      </x:c>
      <x:c r="I18" s="159" t="n">
        <x:f>IF(A18="","",G18-H18)</x:f>
        <x:v>0</x:v>
      </x:c>
      <x:c r="J18" s="159" t="n">
        <x:f>'Conferência'!P14</x:f>
        <x:v>184.0909090909091</x:v>
      </x:c>
      <x:c r="K18" s="160" t="n">
        <x:f>IF($A18="","",SUMIFS('Importação Contabilidade'!$F$7:$F$500,'Importação Contabilidade'!$A$7:$A$500,'Parâmetros'!$B$4,'Importação Contabilidade'!$B$7:$B$500,$A18))</x:f>
        <x:v>184.09</x:v>
      </x:c>
      <x:c r="L18" s="159" t="n">
        <x:f>IF(A18="","",J18-K18)</x:f>
        <x:v>0.0009090909090900823</x:v>
      </x:c>
      <x:c r="M18" s="159" t="n">
        <x:f>'Conferência'!Q14</x:f>
        <x:v>0</x:v>
      </x:c>
      <x:c r="N18" s="160" t="n">
        <x:f>IF($A18="","",SUMIFS('Importação Contabilidade'!$G$7:$G$500,'Importação Contabilidade'!$A$7:$A$500,'Parâmetros'!$B$4,'Importação Contabilidade'!$B$7:$B$500,$A18))</x:f>
        <x:v>0</x:v>
      </x:c>
      <x:c r="O18" s="159" t="n">
        <x:f>IF(A18="","",M18-N18)</x:f>
        <x:v>0</x:v>
      </x:c>
      <x:c r="P18" s="159" t="n">
        <x:f>'Conferência'!H14</x:f>
        <x:v>0</x:v>
      </x:c>
      <x:c r="Q18" s="160" t="n">
        <x:f>IF($A18="","",SUMIFS('Importação Contabilidade'!$H$7:$H$500,'Importação Contabilidade'!$A$7:$A$500,'Parâmetros'!$B$4,'Importação Contabilidade'!$B$7:$B$500,$A18))</x:f>
        <x:v>0</x:v>
      </x:c>
      <x:c r="R18" s="159" t="n">
        <x:f>IF(A18="","",P18-Q18)</x:f>
        <x:v>0</x:v>
      </x:c>
      <x:c r="S18" s="159" t="n">
        <x:f>'Conferência'!I14</x:f>
        <x:v>0</x:v>
      </x:c>
      <x:c r="T18" s="160" t="n">
        <x:f>IF($A18="","",SUMIFS('Importação Contabilidade'!$I$7:$I$500,'Importação Contabilidade'!$A$7:$A$500,'Parâmetros'!$B$4,'Importação Contabilidade'!$B$7:$B$500,$A18))</x:f>
        <x:v>0</x:v>
      </x:c>
      <x:c r="U18" s="159" t="n">
        <x:f>IF(A18="","",S18-T18)</x:f>
        <x:v>0</x:v>
      </x:c>
      <x:c r="V18" s="159" t="n">
        <x:f>'Conferência'!J14</x:f>
        <x:v>250</x:v>
      </x:c>
      <x:c r="W18" s="160" t="n">
        <x:f>IF($A18="","",SUMIFS('Importação Contabilidade'!$J$7:$J$500,'Importação Contabilidade'!$A$7:$A$500,'Parâmetros'!$B$4,'Importação Contabilidade'!$B$7:$B$500,$A18))</x:f>
        <x:v>250</x:v>
      </x:c>
      <x:c r="X18" s="159" t="n">
        <x:f>IF(A18="","",V18-W18)</x:f>
        <x:v>0</x:v>
      </x:c>
      <x:c r="Y18" s="159" t="n">
        <x:f>'Conferência'!R14</x:f>
        <x:v>33.47107438016529</x:v>
      </x:c>
      <x:c r="Z18" s="160" t="n">
        <x:f>IF($A18="","",SUMIFS('Importação Contabilidade'!$K$7:$K$500,'Importação Contabilidade'!$A$7:$A$500,'Parâmetros'!$B$4,'Importação Contabilidade'!$B$7:$B$500,$A18))</x:f>
        <x:v>33.47</x:v>
      </x:c>
      <x:c r="AA18" s="159" t="n">
        <x:f>IF(A18="","",Y18-Z18)</x:f>
        <x:v>0.0010743801652921547</x:v>
      </x:c>
      <x:c r="AB18" s="159" t="n">
        <x:f>'Conferência'!S14</x:f>
        <x:v>0</x:v>
      </x:c>
      <x:c r="AC18" s="160" t="n">
        <x:f>IF($A18="","",SUMIFS('Importação Contabilidade'!$L$7:$L$500,'Importação Contabilidade'!$A$7:$A$500,'Parâmetros'!$B$4,'Importação Contabilidade'!$B$7:$B$500,$A18))</x:f>
        <x:v>0</x:v>
      </x:c>
      <x:c r="AD18" s="159" t="n">
        <x:f>IF(A18="","",AB18-AC18)</x:f>
        <x:v>0</x:v>
      </x:c>
      <x:c r="AE18" s="159" t="n">
        <x:f>'Conferência'!U14</x:f>
        <x:v>180</x:v>
      </x:c>
      <x:c r="AF18" s="160" t="n">
        <x:f>IF($A18="","",SUMIFS('Importação Contabilidade'!$M$7:$M$500,'Importação Contabilidade'!$A$7:$A$500,'Parâmetros'!$B$4,'Importação Contabilidade'!$B$7:$B$500,$A18))</x:f>
        <x:v>180</x:v>
      </x:c>
      <x:c r="AG18" s="159" t="n">
        <x:f>IF(A18="","",AE18-AF18)</x:f>
        <x:v>0</x:v>
      </x:c>
      <x:c r="AH18" s="159" t="n">
        <x:f>'Conferência'!V14</x:f>
        <x:v>640.2786776859505</x:v>
      </x:c>
      <x:c r="AI18" s="160" t="n">
        <x:f>IF($A18="","",SUMIFS('Importação Contabilidade'!$N$7:$N$500,'Importação Contabilidade'!$A$7:$A$500,'Parâmetros'!$B$4,'Importação Contabilidade'!$B$7:$B$500,$A18))</x:f>
        <x:v>640.28</x:v>
      </x:c>
      <x:c r="AJ18" s="159" t="n">
        <x:f>IF(A18="","",AH18-AI18)</x:f>
        <x:v>-0.0013223140495028929</x:v>
      </x:c>
      <x:c r="AK18" s="159" t="n">
        <x:f>'Conferência'!W14</x:f>
        <x:v>0</x:v>
      </x:c>
      <x:c r="AL18" s="160" t="n">
        <x:f>IF($A18="","",SUMIFS('Importação Contabilidade'!$O$7:$O$500,'Importação Contabilidade'!$A$7:$A$500,'Parâmetros'!$B$4,'Importação Contabilidade'!$B$7:$B$500,$A18))</x:f>
        <x:v>0</x:v>
      </x:c>
      <x:c r="AM18" s="159" t="n">
        <x:f>IF(A18="","",AK18-AL18)</x:f>
        <x:v>0</x:v>
      </x:c>
      <x:c r="AN18" s="159" t="n">
        <x:f>'Conferência'!X14</x:f>
        <x:v>120</x:v>
      </x:c>
      <x:c r="AO18" s="160" t="n">
        <x:f>IF($A18="","",SUMIFS('Importação Contabilidade'!$P$7:$P$500,'Importação Contabilidade'!$A$7:$A$500,'Parâmetros'!$B$4,'Importação Contabilidade'!$B$7:$B$500,$A18))</x:f>
        <x:v>120</x:v>
      </x:c>
      <x:c r="AP18" s="159" t="n">
        <x:f>IF(A18="","",AN18-AO18)</x:f>
        <x:v>0</x:v>
      </x:c>
      <x:c r="AQ18" s="159" t="n">
        <x:f>'Conferência'!Y14</x:f>
        <x:v>200</x:v>
      </x:c>
      <x:c r="AR18" s="160" t="n">
        <x:f>IF($A18="","",SUMIFS('Importação Contabilidade'!$Q$7:$Q$500,'Importação Contabilidade'!$A$7:$A$500,'Parâmetros'!$B$4,'Importação Contabilidade'!$B$7:$B$500,$A18))</x:f>
        <x:v>200</x:v>
      </x:c>
      <x:c r="AS18" s="159" t="n">
        <x:f>IF(A18="","",AQ18-AR18)</x:f>
        <x:v>0</x:v>
      </x:c>
      <x:c r="AT18" s="159" t="n">
        <x:f>'Conferência'!Z14</x:f>
        <x:v>0</x:v>
      </x:c>
      <x:c r="AU18" s="160" t="n">
        <x:f>IF($A18="","",SUMIFS('Importação Contabilidade'!$R$7:$R$500,'Importação Contabilidade'!$A$7:$A$500,'Parâmetros'!$B$4,'Importação Contabilidade'!$B$7:$B$500,$A18))</x:f>
        <x:v>0</x:v>
      </x:c>
      <x:c r="AV18" s="159" t="n">
        <x:f>IF(A18="","",AT18-AU18)</x:f>
        <x:v>0</x:v>
      </x:c>
      <x:c r="AW18" s="159" t="n">
        <x:f>'Conferência'!L14</x:f>
        <x:v>0</x:v>
      </x:c>
      <x:c r="AX18" s="160" t="n">
        <x:f>IF($A18="","",SUMIFS('Importação Contabilidade'!$S$7:$S$500,'Importação Contabilidade'!$A$7:$A$500,'Parâmetros'!$B$4,'Importação Contabilidade'!$B$7:$B$500,$A18))</x:f>
        <x:v>0</x:v>
      </x:c>
      <x:c r="AY18" s="159" t="n">
        <x:f>IF(A18="","",AW18-AX18)</x:f>
        <x:v>0</x:v>
      </x:c>
      <x:c r="AZ18" s="159" t="n">
        <x:f>IF(A18="","",MAX(ABS(F18),ABS(I18),ABS(L18),ABS(O18),ABS(R18),ABS(U18),ABS(X18),ABS(AA18),ABS(AD18),ABS(AG18),ABS(AJ18),ABS(AM18),ABS(AP18),ABS(AS18),ABS(AV18),ABS(AY18)))</x:f>
        <x:v>0.0013223140495028929</x:v>
      </x:c>
      <x:c r="BA18" s="122" t="str">
        <x:f>IF(A18="","",IF(AZ18&lt;='Parâmetros'!$B$8,"Sem divergência",IF(ABS(F18)=AZ18,"Desc. Falta",IF(ABS(I18)=AZ18,"DSR Falta",IF(ABS(L18)=AZ18,"HE 50%",IF(ABS(O18)=AZ18,"HE 100%",IF(ABS(R18)=AZ18,"Comissão",IF(ABS(U18)=AZ18,"Bônus/Grat.",IF(ABS(X18)=AZ18,"Adicionais",IF(ABS(AA18)=AZ18,"DSR HE",IF(ABS(AD18)=AZ18,"DSR Comissão",IF(ABS(AG18)=AZ18,"VT",IF(ABS(AJ18)=AZ18,"INSS",IF(ABS(AM18)=AZ18,"IRRF",IF(ABS(AP18)=AZ18,"VA/VR",IF(ABS(AS18)=AZ18,"Plano Saúde",IF(ABS(AV18)=AZ18,"Outros Fixos",IF(ABS(AY18)=AZ18,"Desconto Extra","Sem divergência detalhada"))))))))))))))))))</x:f>
        <x:v>Sem divergência</x:v>
      </x:c>
      <x:c r="BB18" s="122" t="str">
        <x:f>IF(A18="","",IF(BA18="Sem divergência","OK — componentes conferidos","REVISAR — provável origem: "&amp;BA18&amp;" | diferença: R$ "&amp;ROUND(AZ18,2)))</x:f>
        <x:v>OK — componentes conferidos</x:v>
      </x:c>
    </x:row>
    <x:row r="19">
      <x:c r="A19" s="122" t="n">
        <x:f>'Conferência'!A15</x:f>
        <x:v>1014</x:v>
      </x:c>
      <x:c r="B19" s="122" t="str">
        <x:f>'Conferência'!B15</x:f>
        <x:v>Marcos Vieira</x:v>
      </x:c>
      <x:c r="C19" s="122" t="str">
        <x:f>'Conferência'!AI15</x:f>
        <x:v>REVISAR</x:v>
      </x:c>
      <x:c r="D19" s="159" t="n">
        <x:f>'Conferência'!N15</x:f>
        <x:v>0</x:v>
      </x:c>
      <x:c r="E19" s="160" t="n">
        <x:f>IF($A19="","",SUMIFS('Importação Contabilidade'!$D$7:$D$500,'Importação Contabilidade'!$A$7:$A$500,'Parâmetros'!$B$4,'Importação Contabilidade'!$B$7:$B$500,$A19))</x:f>
        <x:v>0</x:v>
      </x:c>
      <x:c r="F19" s="159" t="n">
        <x:f>IF(A19="","",D19-E19)</x:f>
        <x:v>0</x:v>
      </x:c>
      <x:c r="G19" s="159" t="n">
        <x:f>'Conferência'!O15</x:f>
        <x:v>0</x:v>
      </x:c>
      <x:c r="H19" s="160" t="n">
        <x:f>IF($A19="","",SUMIFS('Importação Contabilidade'!$E$7:$E$500,'Importação Contabilidade'!$A$7:$A$500,'Parâmetros'!$B$4,'Importação Contabilidade'!$B$7:$B$500,$A19))</x:f>
        <x:v>0</x:v>
      </x:c>
      <x:c r="I19" s="159" t="n">
        <x:f>IF(A19="","",G19-H19)</x:f>
        <x:v>0</x:v>
      </x:c>
      <x:c r="J19" s="159" t="n">
        <x:f>'Conferência'!P15</x:f>
        <x:v>0</x:v>
      </x:c>
      <x:c r="K19" s="160" t="n">
        <x:f>IF($A19="","",SUMIFS('Importação Contabilidade'!$F$7:$F$500,'Importação Contabilidade'!$A$7:$A$500,'Parâmetros'!$B$4,'Importação Contabilidade'!$B$7:$B$500,$A19))</x:f>
        <x:v>0</x:v>
      </x:c>
      <x:c r="L19" s="159" t="n">
        <x:f>IF(A19="","",J19-K19)</x:f>
        <x:v>0</x:v>
      </x:c>
      <x:c r="M19" s="159" t="n">
        <x:f>'Conferência'!Q15</x:f>
        <x:v>149.0909090909091</x:v>
      </x:c>
      <x:c r="N19" s="160" t="n">
        <x:f>IF($A19="","",SUMIFS('Importação Contabilidade'!$G$7:$G$500,'Importação Contabilidade'!$A$7:$A$500,'Parâmetros'!$B$4,'Importação Contabilidade'!$B$7:$B$500,$A19))</x:f>
        <x:v>149.09</x:v>
      </x:c>
      <x:c r="O19" s="159" t="n">
        <x:f>IF(A19="","",M19-N19)</x:f>
        <x:v>0.0009090909090900823</x:v>
      </x:c>
      <x:c r="P19" s="159" t="n">
        <x:f>'Conferência'!H15</x:f>
        <x:v>2300</x:v>
      </x:c>
      <x:c r="Q19" s="160" t="n">
        <x:f>IF($A19="","",SUMIFS('Importação Contabilidade'!$H$7:$H$500,'Importação Contabilidade'!$A$7:$A$500,'Parâmetros'!$B$4,'Importação Contabilidade'!$B$7:$B$500,$A19))</x:f>
        <x:v>2300</x:v>
      </x:c>
      <x:c r="R19" s="159" t="n">
        <x:f>IF(A19="","",P19-Q19)</x:f>
        <x:v>0</x:v>
      </x:c>
      <x:c r="S19" s="159" t="n">
        <x:f>'Conferência'!I15</x:f>
        <x:v>0</x:v>
      </x:c>
      <x:c r="T19" s="160" t="n">
        <x:f>IF($A19="","",SUMIFS('Importação Contabilidade'!$I$7:$I$500,'Importação Contabilidade'!$A$7:$A$500,'Parâmetros'!$B$4,'Importação Contabilidade'!$B$7:$B$500,$A19))</x:f>
        <x:v>0</x:v>
      </x:c>
      <x:c r="U19" s="159" t="n">
        <x:f>IF(A19="","",S19-T19)</x:f>
        <x:v>0</x:v>
      </x:c>
      <x:c r="V19" s="159" t="n">
        <x:f>'Conferência'!J15</x:f>
        <x:v>0</x:v>
      </x:c>
      <x:c r="W19" s="160" t="n">
        <x:f>IF($A19="","",SUMIFS('Importação Contabilidade'!$J$7:$J$500,'Importação Contabilidade'!$A$7:$A$500,'Parâmetros'!$B$4,'Importação Contabilidade'!$B$7:$B$500,$A19))</x:f>
        <x:v>0</x:v>
      </x:c>
      <x:c r="X19" s="159" t="n">
        <x:f>IF(A19="","",V19-W19)</x:f>
        <x:v>0</x:v>
      </x:c>
      <x:c r="Y19" s="159" t="n">
        <x:f>'Conferência'!R15</x:f>
        <x:v>27.107438016528928</x:v>
      </x:c>
      <x:c r="Z19" s="160" t="n">
        <x:f>IF($A19="","",SUMIFS('Importação Contabilidade'!$K$7:$K$500,'Importação Contabilidade'!$A$7:$A$500,'Parâmetros'!$B$4,'Importação Contabilidade'!$B$7:$B$500,$A19))</x:f>
        <x:v>27.11</x:v>
      </x:c>
      <x:c r="AA19" s="159" t="n">
        <x:f>IF(A19="","",Y19-Z19)</x:f>
        <x:v>-0.002561983471071727</x:v>
      </x:c>
      <x:c r="AB19" s="159" t="n">
        <x:f>'Conferência'!S15</x:f>
        <x:v>418.1818181818182</x:v>
      </x:c>
      <x:c r="AC19" s="160" t="n">
        <x:f>IF($A19="","",SUMIFS('Importação Contabilidade'!$L$7:$L$500,'Importação Contabilidade'!$A$7:$A$500,'Parâmetros'!$B$4,'Importação Contabilidade'!$B$7:$B$500,$A19))</x:f>
        <x:v>418.18</x:v>
      </x:c>
      <x:c r="AD19" s="159" t="n">
        <x:f>IF(A19="","",AB19-AC19)</x:f>
        <x:v>0.0018181818181801646</x:v>
      </x:c>
      <x:c r="AE19" s="159" t="n">
        <x:f>'Conferência'!U15</x:f>
        <x:v>246</x:v>
      </x:c>
      <x:c r="AF19" s="160" t="n">
        <x:f>IF($A19="","",SUMIFS('Importação Contabilidade'!$M$7:$M$500,'Importação Contabilidade'!$A$7:$A$500,'Parâmetros'!$B$4,'Importação Contabilidade'!$B$7:$B$500,$A19))</x:f>
        <x:v>246</x:v>
      </x:c>
      <x:c r="AG19" s="159" t="n">
        <x:f>IF(A19="","",AE19-AF19)</x:f>
        <x:v>0</x:v>
      </x:c>
      <x:c r="AH19" s="159" t="n">
        <x:f>'Conferência'!V15</x:f>
        <x:v>798.0332231404959</x:v>
      </x:c>
      <x:c r="AI19" s="160" t="n">
        <x:f>IF($A19="","",SUMIFS('Importação Contabilidade'!$N$7:$N$500,'Importação Contabilidade'!$A$7:$A$500,'Parâmetros'!$B$4,'Importação Contabilidade'!$B$7:$B$500,$A19))</x:f>
        <x:v>723.03</x:v>
      </x:c>
      <x:c r="AJ19" s="159" t="n">
        <x:f>IF(A19="","",AH19-AI19)</x:f>
        <x:v>75.00322314049595</x:v>
      </x:c>
      <x:c r="AK19" s="159" t="n">
        <x:f>'Conferência'!W15</x:f>
        <x:v>0</x:v>
      </x:c>
      <x:c r="AL19" s="160" t="n">
        <x:f>IF($A19="","",SUMIFS('Importação Contabilidade'!$O$7:$O$500,'Importação Contabilidade'!$A$7:$A$500,'Parâmetros'!$B$4,'Importação Contabilidade'!$B$7:$B$500,$A19))</x:f>
        <x:v>0</x:v>
      </x:c>
      <x:c r="AM19" s="159" t="n">
        <x:f>IF(A19="","",AK19-AL19)</x:f>
        <x:v>0</x:v>
      </x:c>
      <x:c r="AN19" s="159" t="n">
        <x:f>'Conferência'!X15</x:f>
        <x:v>120</x:v>
      </x:c>
      <x:c r="AO19" s="160" t="n">
        <x:f>IF($A19="","",SUMIFS('Importação Contabilidade'!$P$7:$P$500,'Importação Contabilidade'!$A$7:$A$500,'Parâmetros'!$B$4,'Importação Contabilidade'!$B$7:$B$500,$A19))</x:f>
        <x:v>120</x:v>
      </x:c>
      <x:c r="AP19" s="159" t="n">
        <x:f>IF(A19="","",AN19-AO19)</x:f>
        <x:v>0</x:v>
      </x:c>
      <x:c r="AQ19" s="159" t="n">
        <x:f>'Conferência'!Y15</x:f>
        <x:v>180</x:v>
      </x:c>
      <x:c r="AR19" s="160" t="n">
        <x:f>IF($A19="","",SUMIFS('Importação Contabilidade'!$Q$7:$Q$500,'Importação Contabilidade'!$A$7:$A$500,'Parâmetros'!$B$4,'Importação Contabilidade'!$B$7:$B$500,$A19))</x:f>
        <x:v>180</x:v>
      </x:c>
      <x:c r="AS19" s="159" t="n">
        <x:f>IF(A19="","",AQ19-AR19)</x:f>
        <x:v>0</x:v>
      </x:c>
      <x:c r="AT19" s="159" t="n">
        <x:f>'Conferência'!Z15</x:f>
        <x:v>0</x:v>
      </x:c>
      <x:c r="AU19" s="160" t="n">
        <x:f>IF($A19="","",SUMIFS('Importação Contabilidade'!$R$7:$R$500,'Importação Contabilidade'!$A$7:$A$500,'Parâmetros'!$B$4,'Importação Contabilidade'!$B$7:$B$500,$A19))</x:f>
        <x:v>0</x:v>
      </x:c>
      <x:c r="AV19" s="159" t="n">
        <x:f>IF(A19="","",AT19-AU19)</x:f>
        <x:v>0</x:v>
      </x:c>
      <x:c r="AW19" s="159" t="n">
        <x:f>'Conferência'!L15</x:f>
        <x:v>0</x:v>
      </x:c>
      <x:c r="AX19" s="160" t="n">
        <x:f>IF($A19="","",SUMIFS('Importação Contabilidade'!$S$7:$S$500,'Importação Contabilidade'!$A$7:$A$500,'Parâmetros'!$B$4,'Importação Contabilidade'!$B$7:$B$500,$A19))</x:f>
        <x:v>0</x:v>
      </x:c>
      <x:c r="AY19" s="159" t="n">
        <x:f>IF(A19="","",AW19-AX19)</x:f>
        <x:v>0</x:v>
      </x:c>
      <x:c r="AZ19" s="159" t="n">
        <x:f>IF(A19="","",MAX(ABS(F19),ABS(I19),ABS(L19),ABS(O19),ABS(R19),ABS(U19),ABS(X19),ABS(AA19),ABS(AD19),ABS(AG19),ABS(AJ19),ABS(AM19),ABS(AP19),ABS(AS19),ABS(AV19),ABS(AY19)))</x:f>
        <x:v>75.00322314049595</x:v>
      </x:c>
      <x:c r="BA19" s="122" t="str">
        <x:f>IF(A19="","",IF(AZ19&lt;='Parâmetros'!$B$8,"Sem divergência",IF(ABS(F19)=AZ19,"Desc. Falta",IF(ABS(I19)=AZ19,"DSR Falta",IF(ABS(L19)=AZ19,"HE 50%",IF(ABS(O19)=AZ19,"HE 100%",IF(ABS(R19)=AZ19,"Comissão",IF(ABS(U19)=AZ19,"Bônus/Grat.",IF(ABS(X19)=AZ19,"Adicionais",IF(ABS(AA19)=AZ19,"DSR HE",IF(ABS(AD19)=AZ19,"DSR Comissão",IF(ABS(AG19)=AZ19,"VT",IF(ABS(AJ19)=AZ19,"INSS",IF(ABS(AM19)=AZ19,"IRRF",IF(ABS(AP19)=AZ19,"VA/VR",IF(ABS(AS19)=AZ19,"Plano Saúde",IF(ABS(AV19)=AZ19,"Outros Fixos",IF(ABS(AY19)=AZ19,"Desconto Extra","Sem divergência detalhada"))))))))))))))))))</x:f>
        <x:v>INSS</x:v>
      </x:c>
      <x:c r="BB19" s="122" t="str">
        <x:f>IF(A19="","",IF(BA19="Sem divergência","OK — componentes conferidos","REVISAR — provável origem: "&amp;BA19&amp;" | diferença: R$ "&amp;ROUND(AZ19,2)))</x:f>
        <x:v>REVISAR — provável origem: INSS | diferença: R$ 75</x:v>
      </x:c>
    </x:row>
    <x:row r="20">
      <x:c r="A20" s="122" t="n">
        <x:f>'Conferência'!A16</x:f>
        <x:v>1015</x:v>
      </x:c>
      <x:c r="B20" s="122" t="str">
        <x:f>'Conferência'!B16</x:f>
        <x:v>Beatriz Souza</x:v>
      </x:c>
      <x:c r="C20" s="122" t="str">
        <x:f>'Conferência'!AI16</x:f>
        <x:v>OK</x:v>
      </x:c>
      <x:c r="D20" s="159" t="n">
        <x:f>'Conferência'!N16</x:f>
        <x:v>0</x:v>
      </x:c>
      <x:c r="E20" s="160" t="n">
        <x:f>IF($A20="","",SUMIFS('Importação Contabilidade'!$D$7:$D$500,'Importação Contabilidade'!$A$7:$A$500,'Parâmetros'!$B$4,'Importação Contabilidade'!$B$7:$B$500,$A20))</x:f>
        <x:v>0</x:v>
      </x:c>
      <x:c r="F20" s="159" t="n">
        <x:f>IF(A20="","",D20-E20)</x:f>
        <x:v>0</x:v>
      </x:c>
      <x:c r="G20" s="159" t="n">
        <x:f>'Conferência'!O16</x:f>
        <x:v>0</x:v>
      </x:c>
      <x:c r="H20" s="160" t="n">
        <x:f>IF($A20="","",SUMIFS('Importação Contabilidade'!$E$7:$E$500,'Importação Contabilidade'!$A$7:$A$500,'Parâmetros'!$B$4,'Importação Contabilidade'!$B$7:$B$500,$A20))</x:f>
        <x:v>0</x:v>
      </x:c>
      <x:c r="I20" s="159" t="n">
        <x:f>IF(A20="","",G20-H20)</x:f>
        <x:v>0</x:v>
      </x:c>
      <x:c r="J20" s="159" t="n">
        <x:f>'Conferência'!P16</x:f>
        <x:v>122.72727272727272</x:v>
      </x:c>
      <x:c r="K20" s="160" t="n">
        <x:f>IF($A20="","",SUMIFS('Importação Contabilidade'!$F$7:$F$500,'Importação Contabilidade'!$A$7:$A$500,'Parâmetros'!$B$4,'Importação Contabilidade'!$B$7:$B$500,$A20))</x:f>
        <x:v>122.73</x:v>
      </x:c>
      <x:c r="L20" s="159" t="n">
        <x:f>IF(A20="","",J20-K20)</x:f>
        <x:v>-0.0027272727272844577</x:v>
      </x:c>
      <x:c r="M20" s="159" t="n">
        <x:f>'Conferência'!Q16</x:f>
        <x:v>0</x:v>
      </x:c>
      <x:c r="N20" s="160" t="n">
        <x:f>IF($A20="","",SUMIFS('Importação Contabilidade'!$G$7:$G$500,'Importação Contabilidade'!$A$7:$A$500,'Parâmetros'!$B$4,'Importação Contabilidade'!$B$7:$B$500,$A20))</x:f>
        <x:v>0</x:v>
      </x:c>
      <x:c r="O20" s="159" t="n">
        <x:f>IF(A20="","",M20-N20)</x:f>
        <x:v>0</x:v>
      </x:c>
      <x:c r="P20" s="159" t="n">
        <x:f>'Conferência'!H16</x:f>
        <x:v>0</x:v>
      </x:c>
      <x:c r="Q20" s="160" t="n">
        <x:f>IF($A20="","",SUMIFS('Importação Contabilidade'!$H$7:$H$500,'Importação Contabilidade'!$A$7:$A$500,'Parâmetros'!$B$4,'Importação Contabilidade'!$B$7:$B$500,$A20))</x:f>
        <x:v>0</x:v>
      </x:c>
      <x:c r="R20" s="159" t="n">
        <x:f>IF(A20="","",P20-Q20)</x:f>
        <x:v>0</x:v>
      </x:c>
      <x:c r="S20" s="159" t="n">
        <x:f>'Conferência'!I16</x:f>
        <x:v>0</x:v>
      </x:c>
      <x:c r="T20" s="160" t="n">
        <x:f>IF($A20="","",SUMIFS('Importação Contabilidade'!$I$7:$I$500,'Importação Contabilidade'!$A$7:$A$500,'Parâmetros'!$B$4,'Importação Contabilidade'!$B$7:$B$500,$A20))</x:f>
        <x:v>0</x:v>
      </x:c>
      <x:c r="U20" s="159" t="n">
        <x:f>IF(A20="","",S20-T20)</x:f>
        <x:v>0</x:v>
      </x:c>
      <x:c r="V20" s="159" t="n">
        <x:f>'Conferência'!J16</x:f>
        <x:v>0</x:v>
      </x:c>
      <x:c r="W20" s="160" t="n">
        <x:f>IF($A20="","",SUMIFS('Importação Contabilidade'!$J$7:$J$500,'Importação Contabilidade'!$A$7:$A$500,'Parâmetros'!$B$4,'Importação Contabilidade'!$B$7:$B$500,$A20))</x:f>
        <x:v>0</x:v>
      </x:c>
      <x:c r="X20" s="159" t="n">
        <x:f>IF(A20="","",V20-W20)</x:f>
        <x:v>0</x:v>
      </x:c>
      <x:c r="Y20" s="159" t="n">
        <x:f>'Conferência'!R16</x:f>
        <x:v>22.314049586776857</x:v>
      </x:c>
      <x:c r="Z20" s="160" t="n">
        <x:f>IF($A20="","",SUMIFS('Importação Contabilidade'!$K$7:$K$500,'Importação Contabilidade'!$A$7:$A$500,'Parâmetros'!$B$4,'Importação Contabilidade'!$B$7:$B$500,$A20))</x:f>
        <x:v>22.31</x:v>
      </x:c>
      <x:c r="AA20" s="159" t="n">
        <x:f>IF(A20="","",Y20-Z20)</x:f>
        <x:v>0.004049586776858405</x:v>
      </x:c>
      <x:c r="AB20" s="159" t="n">
        <x:f>'Conferência'!S16</x:f>
        <x:v>0</x:v>
      </x:c>
      <x:c r="AC20" s="160" t="n">
        <x:f>IF($A20="","",SUMIFS('Importação Contabilidade'!$L$7:$L$500,'Importação Contabilidade'!$A$7:$A$500,'Parâmetros'!$B$4,'Importação Contabilidade'!$B$7:$B$500,$A20))</x:f>
        <x:v>0</x:v>
      </x:c>
      <x:c r="AD20" s="159" t="n">
        <x:f>IF(A20="","",AB20-AC20)</x:f>
        <x:v>0</x:v>
      </x:c>
      <x:c r="AE20" s="159" t="n">
        <x:f>'Conferência'!U16</x:f>
        <x:v>220</x:v>
      </x:c>
      <x:c r="AF20" s="160" t="n">
        <x:f>IF($A20="","",SUMIFS('Importação Contabilidade'!$M$7:$M$500,'Importação Contabilidade'!$A$7:$A$500,'Parâmetros'!$B$4,'Importação Contabilidade'!$B$7:$B$500,$A20))</x:f>
        <x:v>220</x:v>
      </x:c>
      <x:c r="AG20" s="159" t="n">
        <x:f>IF(A20="","",AE20-AF20)</x:f>
        <x:v>0</x:v>
      </x:c>
      <x:c r="AH20" s="159" t="n">
        <x:f>'Conferência'!V16</x:f>
        <x:v>469.125785123967</x:v>
      </x:c>
      <x:c r="AI20" s="160" t="n">
        <x:f>IF($A20="","",SUMIFS('Importação Contabilidade'!$N$7:$N$500,'Importação Contabilidade'!$A$7:$A$500,'Parâmetros'!$B$4,'Importação Contabilidade'!$B$7:$B$500,$A20))</x:f>
        <x:v>469.13</x:v>
      </x:c>
      <x:c r="AJ20" s="159" t="n">
        <x:f>IF(A20="","",AH20-AI20)</x:f>
        <x:v>-0.004214876033017845</x:v>
      </x:c>
      <x:c r="AK20" s="159" t="n">
        <x:f>'Conferência'!W16</x:f>
        <x:v>0</x:v>
      </x:c>
      <x:c r="AL20" s="160" t="n">
        <x:f>IF($A20="","",SUMIFS('Importação Contabilidade'!$O$7:$O$500,'Importação Contabilidade'!$A$7:$A$500,'Parâmetros'!$B$4,'Importação Contabilidade'!$B$7:$B$500,$A20))</x:f>
        <x:v>0</x:v>
      </x:c>
      <x:c r="AM20" s="159" t="n">
        <x:f>IF(A20="","",AK20-AL20)</x:f>
        <x:v>0</x:v>
      </x:c>
      <x:c r="AN20" s="159" t="n">
        <x:f>'Conferência'!X16</x:f>
        <x:v>120</x:v>
      </x:c>
      <x:c r="AO20" s="160" t="n">
        <x:f>IF($A20="","",SUMIFS('Importação Contabilidade'!$P$7:$P$500,'Importação Contabilidade'!$A$7:$A$500,'Parâmetros'!$B$4,'Importação Contabilidade'!$B$7:$B$500,$A20))</x:f>
        <x:v>120</x:v>
      </x:c>
      <x:c r="AP20" s="159" t="n">
        <x:f>IF(A20="","",AN20-AO20)</x:f>
        <x:v>0</x:v>
      </x:c>
      <x:c r="AQ20" s="159" t="n">
        <x:f>'Conferência'!Y16</x:f>
        <x:v>180</x:v>
      </x:c>
      <x:c r="AR20" s="160" t="n">
        <x:f>IF($A20="","",SUMIFS('Importação Contabilidade'!$Q$7:$Q$500,'Importação Contabilidade'!$A$7:$A$500,'Parâmetros'!$B$4,'Importação Contabilidade'!$B$7:$B$500,$A20))</x:f>
        <x:v>180</x:v>
      </x:c>
      <x:c r="AS20" s="159" t="n">
        <x:f>IF(A20="","",AQ20-AR20)</x:f>
        <x:v>0</x:v>
      </x:c>
      <x:c r="AT20" s="159" t="n">
        <x:f>'Conferência'!Z16</x:f>
        <x:v>0</x:v>
      </x:c>
      <x:c r="AU20" s="160" t="n">
        <x:f>IF($A20="","",SUMIFS('Importação Contabilidade'!$R$7:$R$500,'Importação Contabilidade'!$A$7:$A$500,'Parâmetros'!$B$4,'Importação Contabilidade'!$B$7:$B$500,$A20))</x:f>
        <x:v>0</x:v>
      </x:c>
      <x:c r="AV20" s="159" t="n">
        <x:f>IF(A20="","",AT20-AU20)</x:f>
        <x:v>0</x:v>
      </x:c>
      <x:c r="AW20" s="159" t="n">
        <x:f>'Conferência'!L16</x:f>
        <x:v>0</x:v>
      </x:c>
      <x:c r="AX20" s="160" t="n">
        <x:f>IF($A20="","",SUMIFS('Importação Contabilidade'!$S$7:$S$500,'Importação Contabilidade'!$A$7:$A$500,'Parâmetros'!$B$4,'Importação Contabilidade'!$B$7:$B$500,$A20))</x:f>
        <x:v>0</x:v>
      </x:c>
      <x:c r="AY20" s="159" t="n">
        <x:f>IF(A20="","",AW20-AX20)</x:f>
        <x:v>0</x:v>
      </x:c>
      <x:c r="AZ20" s="159" t="n">
        <x:f>IF(A20="","",MAX(ABS(F20),ABS(I20),ABS(L20),ABS(O20),ABS(R20),ABS(U20),ABS(X20),ABS(AA20),ABS(AD20),ABS(AG20),ABS(AJ20),ABS(AM20),ABS(AP20),ABS(AS20),ABS(AV20),ABS(AY20)))</x:f>
        <x:v>0.004214876033017845</x:v>
      </x:c>
      <x:c r="BA20" s="122" t="str">
        <x:f>IF(A20="","",IF(AZ20&lt;='Parâmetros'!$B$8,"Sem divergência",IF(ABS(F20)=AZ20,"Desc. Falta",IF(ABS(I20)=AZ20,"DSR Falta",IF(ABS(L20)=AZ20,"HE 50%",IF(ABS(O20)=AZ20,"HE 100%",IF(ABS(R20)=AZ20,"Comissão",IF(ABS(U20)=AZ20,"Bônus/Grat.",IF(ABS(X20)=AZ20,"Adicionais",IF(ABS(AA20)=AZ20,"DSR HE",IF(ABS(AD20)=AZ20,"DSR Comissão",IF(ABS(AG20)=AZ20,"VT",IF(ABS(AJ20)=AZ20,"INSS",IF(ABS(AM20)=AZ20,"IRRF",IF(ABS(AP20)=AZ20,"VA/VR",IF(ABS(AS20)=AZ20,"Plano Saúde",IF(ABS(AV20)=AZ20,"Outros Fixos",IF(ABS(AY20)=AZ20,"Desconto Extra","Sem divergência detalhada"))))))))))))))))))</x:f>
        <x:v>Sem divergência</x:v>
      </x:c>
      <x:c r="BB20" s="122" t="str">
        <x:f>IF(A20="","",IF(BA20="Sem divergência","OK — componentes conferidos","REVISAR — provável origem: "&amp;BA20&amp;" | diferença: R$ "&amp;ROUND(AZ20,2)))</x:f>
        <x:v>OK — componentes conferidos</x:v>
      </x:c>
    </x:row>
    <x:row r="21">
      <x:c r="A21" s="122" t="n">
        <x:f>'Conferência'!A17</x:f>
        <x:v>1016</x:v>
      </x:c>
      <x:c r="B21" s="122" t="str">
        <x:f>'Conferência'!B17</x:f>
        <x:v>Eduardo Melo</x:v>
      </x:c>
      <x:c r="C21" s="122" t="str">
        <x:f>'Conferência'!AI17</x:f>
        <x:v>OK</x:v>
      </x:c>
      <x:c r="D21" s="159" t="n">
        <x:f>'Conferência'!N17</x:f>
        <x:v>0</x:v>
      </x:c>
      <x:c r="E21" s="160" t="n">
        <x:f>IF($A21="","",SUMIFS('Importação Contabilidade'!$D$7:$D$500,'Importação Contabilidade'!$A$7:$A$500,'Parâmetros'!$B$4,'Importação Contabilidade'!$B$7:$B$500,$A21))</x:f>
        <x:v>0</x:v>
      </x:c>
      <x:c r="F21" s="159" t="n">
        <x:f>IF(A21="","",D21-E21)</x:f>
        <x:v>0</x:v>
      </x:c>
      <x:c r="G21" s="159" t="n">
        <x:f>'Conferência'!O17</x:f>
        <x:v>0</x:v>
      </x:c>
      <x:c r="H21" s="160" t="n">
        <x:f>IF($A21="","",SUMIFS('Importação Contabilidade'!$E$7:$E$500,'Importação Contabilidade'!$A$7:$A$500,'Parâmetros'!$B$4,'Importação Contabilidade'!$B$7:$B$500,$A21))</x:f>
        <x:v>0</x:v>
      </x:c>
      <x:c r="I21" s="159" t="n">
        <x:f>IF(A21="","",G21-H21)</x:f>
        <x:v>0</x:v>
      </x:c>
      <x:c r="J21" s="159" t="n">
        <x:f>'Conferência'!P17</x:f>
        <x:v>507.27272727272725</x:v>
      </x:c>
      <x:c r="K21" s="160" t="n">
        <x:f>IF($A21="","",SUMIFS('Importação Contabilidade'!$F$7:$F$500,'Importação Contabilidade'!$A$7:$A$500,'Parâmetros'!$B$4,'Importação Contabilidade'!$B$7:$B$500,$A21))</x:f>
        <x:v>507.27</x:v>
      </x:c>
      <x:c r="L21" s="159" t="n">
        <x:f>IF(A21="","",J21-K21)</x:f>
        <x:v>0.002727272727270247</x:v>
      </x:c>
      <x:c r="M21" s="159" t="n">
        <x:f>'Conferência'!Q17</x:f>
        <x:v>0</x:v>
      </x:c>
      <x:c r="N21" s="160" t="n">
        <x:f>IF($A21="","",SUMIFS('Importação Contabilidade'!$G$7:$G$500,'Importação Contabilidade'!$A$7:$A$500,'Parâmetros'!$B$4,'Importação Contabilidade'!$B$7:$B$500,$A21))</x:f>
        <x:v>0</x:v>
      </x:c>
      <x:c r="O21" s="159" t="n">
        <x:f>IF(A21="","",M21-N21)</x:f>
        <x:v>0</x:v>
      </x:c>
      <x:c r="P21" s="159" t="n">
        <x:f>'Conferência'!H17</x:f>
        <x:v>0</x:v>
      </x:c>
      <x:c r="Q21" s="160" t="n">
        <x:f>IF($A21="","",SUMIFS('Importação Contabilidade'!$H$7:$H$500,'Importação Contabilidade'!$A$7:$A$500,'Parâmetros'!$B$4,'Importação Contabilidade'!$B$7:$B$500,$A21))</x:f>
        <x:v>0</x:v>
      </x:c>
      <x:c r="R21" s="159" t="n">
        <x:f>IF(A21="","",P21-Q21)</x:f>
        <x:v>0</x:v>
      </x:c>
      <x:c r="S21" s="159" t="n">
        <x:f>'Conferência'!I17</x:f>
        <x:v>600</x:v>
      </x:c>
      <x:c r="T21" s="160" t="n">
        <x:f>IF($A21="","",SUMIFS('Importação Contabilidade'!$I$7:$I$500,'Importação Contabilidade'!$A$7:$A$500,'Parâmetros'!$B$4,'Importação Contabilidade'!$B$7:$B$500,$A21))</x:f>
        <x:v>600</x:v>
      </x:c>
      <x:c r="U21" s="159" t="n">
        <x:f>IF(A21="","",S21-T21)</x:f>
        <x:v>0</x:v>
      </x:c>
      <x:c r="V21" s="159" t="n">
        <x:f>'Conferência'!J17</x:f>
        <x:v>0</x:v>
      </x:c>
      <x:c r="W21" s="160" t="n">
        <x:f>IF($A21="","",SUMIFS('Importação Contabilidade'!$J$7:$J$500,'Importação Contabilidade'!$A$7:$A$500,'Parâmetros'!$B$4,'Importação Contabilidade'!$B$7:$B$500,$A21))</x:f>
        <x:v>0</x:v>
      </x:c>
      <x:c r="X21" s="159" t="n">
        <x:f>IF(A21="","",V21-W21)</x:f>
        <x:v>0</x:v>
      </x:c>
      <x:c r="Y21" s="159" t="n">
        <x:f>'Conferência'!R17</x:f>
        <x:v>92.23140495867769</x:v>
      </x:c>
      <x:c r="Z21" s="160" t="n">
        <x:f>IF($A21="","",SUMIFS('Importação Contabilidade'!$K$7:$K$500,'Importação Contabilidade'!$A$7:$A$500,'Parâmetros'!$B$4,'Importação Contabilidade'!$B$7:$B$500,$A21))</x:f>
        <x:v>92.23</x:v>
      </x:c>
      <x:c r="AA21" s="159" t="n">
        <x:f>IF(A21="","",Y21-Z21)</x:f>
        <x:v>0.0014049586776820888</x:v>
      </x:c>
      <x:c r="AB21" s="159" t="n">
        <x:f>'Conferência'!S17</x:f>
        <x:v>0</x:v>
      </x:c>
      <x:c r="AC21" s="160" t="n">
        <x:f>IF($A21="","",SUMIFS('Importação Contabilidade'!$L$7:$L$500,'Importação Contabilidade'!$A$7:$A$500,'Parâmetros'!$B$4,'Importação Contabilidade'!$B$7:$B$500,$A21))</x:f>
        <x:v>0</x:v>
      </x:c>
      <x:c r="AD21" s="159" t="n">
        <x:f>IF(A21="","",AB21-AC21)</x:f>
        <x:v>0</x:v>
      </x:c>
      <x:c r="AE21" s="159" t="n">
        <x:f>'Conferência'!U17</x:f>
        <x:v>300</x:v>
      </x:c>
      <x:c r="AF21" s="160" t="n">
        <x:f>IF($A21="","",SUMIFS('Importação Contabilidade'!$M$7:$M$500,'Importação Contabilidade'!$A$7:$A$500,'Parâmetros'!$B$4,'Importação Contabilidade'!$B$7:$B$500,$A21))</x:f>
        <x:v>300</x:v>
      </x:c>
      <x:c r="AG21" s="159" t="n">
        <x:f>IF(A21="","",AE21-AF21)</x:f>
        <x:v>0</x:v>
      </x:c>
      <x:c r="AH21" s="159" t="n">
        <x:f>'Conferência'!V17</x:f>
        <x:v>854.7505785123967</x:v>
      </x:c>
      <x:c r="AI21" s="160" t="n">
        <x:f>IF($A21="","",SUMIFS('Importação Contabilidade'!$N$7:$N$500,'Importação Contabilidade'!$A$7:$A$500,'Parâmetros'!$B$4,'Importação Contabilidade'!$B$7:$B$500,$A21))</x:f>
        <x:v>854.75</x:v>
      </x:c>
      <x:c r="AJ21" s="159" t="n">
        <x:f>IF(A21="","",AH21-AI21)</x:f>
        <x:v>0.0005785123967143591</x:v>
      </x:c>
      <x:c r="AK21" s="159" t="n">
        <x:f>'Conferência'!W17</x:f>
        <x:v>0</x:v>
      </x:c>
      <x:c r="AL21" s="160" t="n">
        <x:f>IF($A21="","",SUMIFS('Importação Contabilidade'!$O$7:$O$500,'Importação Contabilidade'!$A$7:$A$500,'Parâmetros'!$B$4,'Importação Contabilidade'!$B$7:$B$500,$A21))</x:f>
        <x:v>0</x:v>
      </x:c>
      <x:c r="AM21" s="159" t="n">
        <x:f>IF(A21="","",AK21-AL21)</x:f>
        <x:v>0</x:v>
      </x:c>
      <x:c r="AN21" s="159" t="n">
        <x:f>'Conferência'!X17</x:f>
        <x:v>150</x:v>
      </x:c>
      <x:c r="AO21" s="160" t="n">
        <x:f>IF($A21="","",SUMIFS('Importação Contabilidade'!$P$7:$P$500,'Importação Contabilidade'!$A$7:$A$500,'Parâmetros'!$B$4,'Importação Contabilidade'!$B$7:$B$500,$A21))</x:f>
        <x:v>150</x:v>
      </x:c>
      <x:c r="AP21" s="159" t="n">
        <x:f>IF(A21="","",AN21-AO21)</x:f>
        <x:v>0</x:v>
      </x:c>
      <x:c r="AQ21" s="159" t="n">
        <x:f>'Conferência'!Y17</x:f>
        <x:v>220</x:v>
      </x:c>
      <x:c r="AR21" s="160" t="n">
        <x:f>IF($A21="","",SUMIFS('Importação Contabilidade'!$Q$7:$Q$500,'Importação Contabilidade'!$A$7:$A$500,'Parâmetros'!$B$4,'Importação Contabilidade'!$B$7:$B$500,$A21))</x:f>
        <x:v>220</x:v>
      </x:c>
      <x:c r="AS21" s="159" t="n">
        <x:f>IF(A21="","",AQ21-AR21)</x:f>
        <x:v>0</x:v>
      </x:c>
      <x:c r="AT21" s="159" t="n">
        <x:f>'Conferência'!Z17</x:f>
        <x:v>0</x:v>
      </x:c>
      <x:c r="AU21" s="160" t="n">
        <x:f>IF($A21="","",SUMIFS('Importação Contabilidade'!$R$7:$R$500,'Importação Contabilidade'!$A$7:$A$500,'Parâmetros'!$B$4,'Importação Contabilidade'!$B$7:$B$500,$A21))</x:f>
        <x:v>0</x:v>
      </x:c>
      <x:c r="AV21" s="159" t="n">
        <x:f>IF(A21="","",AT21-AU21)</x:f>
        <x:v>0</x:v>
      </x:c>
      <x:c r="AW21" s="159" t="n">
        <x:f>'Conferência'!L17</x:f>
        <x:v>0</x:v>
      </x:c>
      <x:c r="AX21" s="160" t="n">
        <x:f>IF($A21="","",SUMIFS('Importação Contabilidade'!$S$7:$S$500,'Importação Contabilidade'!$A$7:$A$500,'Parâmetros'!$B$4,'Importação Contabilidade'!$B$7:$B$500,$A21))</x:f>
        <x:v>0</x:v>
      </x:c>
      <x:c r="AY21" s="159" t="n">
        <x:f>IF(A21="","",AW21-AX21)</x:f>
        <x:v>0</x:v>
      </x:c>
      <x:c r="AZ21" s="159" t="n">
        <x:f>IF(A21="","",MAX(ABS(F21),ABS(I21),ABS(L21),ABS(O21),ABS(R21),ABS(U21),ABS(X21),ABS(AA21),ABS(AD21),ABS(AG21),ABS(AJ21),ABS(AM21),ABS(AP21),ABS(AS21),ABS(AV21),ABS(AY21)))</x:f>
        <x:v>0.002727272727270247</x:v>
      </x:c>
      <x:c r="BA21" s="122" t="str">
        <x:f>IF(A21="","",IF(AZ21&lt;='Parâmetros'!$B$8,"Sem divergência",IF(ABS(F21)=AZ21,"Desc. Falta",IF(ABS(I21)=AZ21,"DSR Falta",IF(ABS(L21)=AZ21,"HE 50%",IF(ABS(O21)=AZ21,"HE 100%",IF(ABS(R21)=AZ21,"Comissão",IF(ABS(U21)=AZ21,"Bônus/Grat.",IF(ABS(X21)=AZ21,"Adicionais",IF(ABS(AA21)=AZ21,"DSR HE",IF(ABS(AD21)=AZ21,"DSR Comissão",IF(ABS(AG21)=AZ21,"VT",IF(ABS(AJ21)=AZ21,"INSS",IF(ABS(AM21)=AZ21,"IRRF",IF(ABS(AP21)=AZ21,"VA/VR",IF(ABS(AS21)=AZ21,"Plano Saúde",IF(ABS(AV21)=AZ21,"Outros Fixos",IF(ABS(AY21)=AZ21,"Desconto Extra","Sem divergência detalhada"))))))))))))))))))</x:f>
        <x:v>Sem divergência</x:v>
      </x:c>
      <x:c r="BB21" s="122" t="str">
        <x:f>IF(A21="","",IF(BA21="Sem divergência","OK — componentes conferidos","REVISAR — provável origem: "&amp;BA21&amp;" | diferença: R$ "&amp;ROUND(AZ21,2)))</x:f>
        <x:v>OK — componentes conferidos</x:v>
      </x:c>
    </x:row>
    <x:row r="22">
      <x:c r="A22" s="122" t="n">
        <x:f>'Conferência'!A18</x:f>
        <x:v>1017</x:v>
      </x:c>
      <x:c r="B22" s="122" t="str">
        <x:f>'Conferência'!B18</x:f>
        <x:v>Larissa Campos</x:v>
      </x:c>
      <x:c r="C22" s="122" t="str">
        <x:f>'Conferência'!AI18</x:f>
        <x:v>REVISAR</x:v>
      </x:c>
      <x:c r="D22" s="159" t="n">
        <x:f>'Conferência'!N18</x:f>
        <x:v>0</x:v>
      </x:c>
      <x:c r="E22" s="160" t="n">
        <x:f>IF($A22="","",SUMIFS('Importação Contabilidade'!$D$7:$D$500,'Importação Contabilidade'!$A$7:$A$500,'Parâmetros'!$B$4,'Importação Contabilidade'!$B$7:$B$500,$A22))</x:f>
        <x:v>0</x:v>
      </x:c>
      <x:c r="F22" s="159" t="n">
        <x:f>IF(A22="","",D22-E22)</x:f>
        <x:v>0</x:v>
      </x:c>
      <x:c r="G22" s="159" t="n">
        <x:f>'Conferência'!O18</x:f>
        <x:v>0</x:v>
      </x:c>
      <x:c r="H22" s="160" t="n">
        <x:f>IF($A22="","",SUMIFS('Importação Contabilidade'!$E$7:$E$500,'Importação Contabilidade'!$A$7:$A$500,'Parâmetros'!$B$4,'Importação Contabilidade'!$B$7:$B$500,$A22))</x:f>
        <x:v>0</x:v>
      </x:c>
      <x:c r="I22" s="159" t="n">
        <x:f>IF(A22="","",G22-H22)</x:f>
        <x:v>0</x:v>
      </x:c>
      <x:c r="J22" s="159" t="n">
        <x:f>'Conferência'!P18</x:f>
        <x:v>0</x:v>
      </x:c>
      <x:c r="K22" s="160" t="n">
        <x:f>IF($A22="","",SUMIFS('Importação Contabilidade'!$F$7:$F$500,'Importação Contabilidade'!$A$7:$A$500,'Parâmetros'!$B$4,'Importação Contabilidade'!$B$7:$B$500,$A22))</x:f>
        <x:v>0</x:v>
      </x:c>
      <x:c r="L22" s="159" t="n">
        <x:f>IF(A22="","",J22-K22)</x:f>
        <x:v>0</x:v>
      </x:c>
      <x:c r="M22" s="159" t="n">
        <x:f>'Conferência'!Q18</x:f>
        <x:v>0</x:v>
      </x:c>
      <x:c r="N22" s="160" t="n">
        <x:f>IF($A22="","",SUMIFS('Importação Contabilidade'!$G$7:$G$500,'Importação Contabilidade'!$A$7:$A$500,'Parâmetros'!$B$4,'Importação Contabilidade'!$B$7:$B$500,$A22))</x:f>
        <x:v>0</x:v>
      </x:c>
      <x:c r="O22" s="159" t="n">
        <x:f>IF(A22="","",M22-N22)</x:f>
        <x:v>0</x:v>
      </x:c>
      <x:c r="P22" s="159" t="n">
        <x:f>'Conferência'!H18</x:f>
        <x:v>0</x:v>
      </x:c>
      <x:c r="Q22" s="160" t="n">
        <x:f>IF($A22="","",SUMIFS('Importação Contabilidade'!$H$7:$H$500,'Importação Contabilidade'!$A$7:$A$500,'Parâmetros'!$B$4,'Importação Contabilidade'!$B$7:$B$500,$A22))</x:f>
        <x:v>0</x:v>
      </x:c>
      <x:c r="R22" s="159" t="n">
        <x:f>IF(A22="","",P22-Q22)</x:f>
        <x:v>0</x:v>
      </x:c>
      <x:c r="S22" s="159" t="n">
        <x:f>'Conferência'!I18</x:f>
        <x:v>0</x:v>
      </x:c>
      <x:c r="T22" s="160" t="n">
        <x:f>IF($A22="","",SUMIFS('Importação Contabilidade'!$I$7:$I$500,'Importação Contabilidade'!$A$7:$A$500,'Parâmetros'!$B$4,'Importação Contabilidade'!$B$7:$B$500,$A22))</x:f>
        <x:v>0</x:v>
      </x:c>
      <x:c r="U22" s="159" t="n">
        <x:f>IF(A22="","",S22-T22)</x:f>
        <x:v>0</x:v>
      </x:c>
      <x:c r="V22" s="159" t="n">
        <x:f>'Conferência'!J18</x:f>
        <x:v>0</x:v>
      </x:c>
      <x:c r="W22" s="160" t="n">
        <x:f>IF($A22="","",SUMIFS('Importação Contabilidade'!$J$7:$J$500,'Importação Contabilidade'!$A$7:$A$500,'Parâmetros'!$B$4,'Importação Contabilidade'!$B$7:$B$500,$A22))</x:f>
        <x:v>0</x:v>
      </x:c>
      <x:c r="X22" s="159" t="n">
        <x:f>IF(A22="","",V22-W22)</x:f>
        <x:v>0</x:v>
      </x:c>
      <x:c r="Y22" s="159" t="n">
        <x:f>'Conferência'!R18</x:f>
        <x:v>0</x:v>
      </x:c>
      <x:c r="Z22" s="160" t="n">
        <x:f>IF($A22="","",SUMIFS('Importação Contabilidade'!$K$7:$K$500,'Importação Contabilidade'!$A$7:$A$500,'Parâmetros'!$B$4,'Importação Contabilidade'!$B$7:$B$500,$A22))</x:f>
        <x:v>0</x:v>
      </x:c>
      <x:c r="AA22" s="159" t="n">
        <x:f>IF(A22="","",Y22-Z22)</x:f>
        <x:v>0</x:v>
      </x:c>
      <x:c r="AB22" s="159" t="n">
        <x:f>'Conferência'!S18</x:f>
        <x:v>0</x:v>
      </x:c>
      <x:c r="AC22" s="160" t="n">
        <x:f>IF($A22="","",SUMIFS('Importação Contabilidade'!$L$7:$L$500,'Importação Contabilidade'!$A$7:$A$500,'Parâmetros'!$B$4,'Importação Contabilidade'!$B$7:$B$500,$A22))</x:f>
        <x:v>0</x:v>
      </x:c>
      <x:c r="AD22" s="159" t="n">
        <x:f>IF(A22="","",AB22-AC22)</x:f>
        <x:v>0</x:v>
      </x:c>
      <x:c r="AE22" s="159" t="n">
        <x:f>'Conferência'!U18</x:f>
        <x:v>240</x:v>
      </x:c>
      <x:c r="AF22" s="160" t="n">
        <x:f>IF($A22="","",SUMIFS('Importação Contabilidade'!$M$7:$M$500,'Importação Contabilidade'!$A$7:$A$500,'Parâmetros'!$B$4,'Importação Contabilidade'!$B$7:$B$500,$A22))</x:f>
        <x:v>240</x:v>
      </x:c>
      <x:c r="AG22" s="159" t="n">
        <x:f>IF(A22="","",AE22-AF22)</x:f>
        <x:v>0</x:v>
      </x:c>
      <x:c r="AH22" s="159" t="n">
        <x:f>'Conferência'!V18</x:f>
        <x:v>378.82</x:v>
      </x:c>
      <x:c r="AI22" s="160" t="n">
        <x:f>IF($A22="","",SUMIFS('Importação Contabilidade'!$N$7:$N$500,'Importação Contabilidade'!$A$7:$A$500,'Parâmetros'!$B$4,'Importação Contabilidade'!$B$7:$B$500,$A22))</x:f>
        <x:v>378.82</x:v>
      </x:c>
      <x:c r="AJ22" s="159" t="n">
        <x:f>IF(A22="","",AH22-AI22)</x:f>
        <x:v>0</x:v>
      </x:c>
      <x:c r="AK22" s="159" t="n">
        <x:f>'Conferência'!W18</x:f>
        <x:v>0</x:v>
      </x:c>
      <x:c r="AL22" s="160" t="n">
        <x:f>IF($A22="","",SUMIFS('Importação Contabilidade'!$O$7:$O$500,'Importação Contabilidade'!$A$7:$A$500,'Parâmetros'!$B$4,'Importação Contabilidade'!$B$7:$B$500,$A22))</x:f>
        <x:v>0</x:v>
      </x:c>
      <x:c r="AM22" s="159" t="n">
        <x:f>IF(A22="","",AK22-AL22)</x:f>
        <x:v>0</x:v>
      </x:c>
      <x:c r="AN22" s="159" t="n">
        <x:f>'Conferência'!X18</x:f>
        <x:v>120</x:v>
      </x:c>
      <x:c r="AO22" s="160" t="n">
        <x:f>IF($A22="","",SUMIFS('Importação Contabilidade'!$P$7:$P$500,'Importação Contabilidade'!$A$7:$A$500,'Parâmetros'!$B$4,'Importação Contabilidade'!$B$7:$B$500,$A22))</x:f>
        <x:v>120</x:v>
      </x:c>
      <x:c r="AP22" s="159" t="n">
        <x:f>IF(A22="","",AN22-AO22)</x:f>
        <x:v>0</x:v>
      </x:c>
      <x:c r="AQ22" s="159" t="n">
        <x:f>'Conferência'!Y18</x:f>
        <x:v>180</x:v>
      </x:c>
      <x:c r="AR22" s="160" t="n">
        <x:f>IF($A22="","",SUMIFS('Importação Contabilidade'!$Q$7:$Q$500,'Importação Contabilidade'!$A$7:$A$500,'Parâmetros'!$B$4,'Importação Contabilidade'!$B$7:$B$500,$A22))</x:f>
        <x:v>360</x:v>
      </x:c>
      <x:c r="AS22" s="159" t="n">
        <x:f>IF(A22="","",AQ22-AR22)</x:f>
        <x:v>-180</x:v>
      </x:c>
      <x:c r="AT22" s="159" t="n">
        <x:f>'Conferência'!Z18</x:f>
        <x:v>0</x:v>
      </x:c>
      <x:c r="AU22" s="160" t="n">
        <x:f>IF($A22="","",SUMIFS('Importação Contabilidade'!$R$7:$R$500,'Importação Contabilidade'!$A$7:$A$500,'Parâmetros'!$B$4,'Importação Contabilidade'!$B$7:$B$500,$A22))</x:f>
        <x:v>0</x:v>
      </x:c>
      <x:c r="AV22" s="159" t="n">
        <x:f>IF(A22="","",AT22-AU22)</x:f>
        <x:v>0</x:v>
      </x:c>
      <x:c r="AW22" s="159" t="n">
        <x:f>'Conferência'!L18</x:f>
        <x:v>0</x:v>
      </x:c>
      <x:c r="AX22" s="160" t="n">
        <x:f>IF($A22="","",SUMIFS('Importação Contabilidade'!$S$7:$S$500,'Importação Contabilidade'!$A$7:$A$500,'Parâmetros'!$B$4,'Importação Contabilidade'!$B$7:$B$500,$A22))</x:f>
        <x:v>0</x:v>
      </x:c>
      <x:c r="AY22" s="159" t="n">
        <x:f>IF(A22="","",AW22-AX22)</x:f>
        <x:v>0</x:v>
      </x:c>
      <x:c r="AZ22" s="159" t="n">
        <x:f>IF(A22="","",MAX(ABS(F22),ABS(I22),ABS(L22),ABS(O22),ABS(R22),ABS(U22),ABS(X22),ABS(AA22),ABS(AD22),ABS(AG22),ABS(AJ22),ABS(AM22),ABS(AP22),ABS(AS22),ABS(AV22),ABS(AY22)))</x:f>
        <x:v>180</x:v>
      </x:c>
      <x:c r="BA22" s="122" t="str">
        <x:f>IF(A22="","",IF(AZ22&lt;='Parâmetros'!$B$8,"Sem divergência",IF(ABS(F22)=AZ22,"Desc. Falta",IF(ABS(I22)=AZ22,"DSR Falta",IF(ABS(L22)=AZ22,"HE 50%",IF(ABS(O22)=AZ22,"HE 100%",IF(ABS(R22)=AZ22,"Comissão",IF(ABS(U22)=AZ22,"Bônus/Grat.",IF(ABS(X22)=AZ22,"Adicionais",IF(ABS(AA22)=AZ22,"DSR HE",IF(ABS(AD22)=AZ22,"DSR Comissão",IF(ABS(AG22)=AZ22,"VT",IF(ABS(AJ22)=AZ22,"INSS",IF(ABS(AM22)=AZ22,"IRRF",IF(ABS(AP22)=AZ22,"VA/VR",IF(ABS(AS22)=AZ22,"Plano Saúde",IF(ABS(AV22)=AZ22,"Outros Fixos",IF(ABS(AY22)=AZ22,"Desconto Extra","Sem divergência detalhada"))))))))))))))))))</x:f>
        <x:v>Plano Saúde</x:v>
      </x:c>
      <x:c r="BB22" s="122" t="str">
        <x:f>IF(A22="","",IF(BA22="Sem divergência","OK — componentes conferidos","REVISAR — provável origem: "&amp;BA22&amp;" | diferença: R$ "&amp;ROUND(AZ22,2)))</x:f>
        <x:v>REVISAR — provável origem: Plano Saúde | diferença: R$ 180</x:v>
      </x:c>
    </x:row>
    <x:row r="23">
      <x:c r="A23" s="122" t="n">
        <x:f>'Conferência'!A19</x:f>
        <x:v>1018</x:v>
      </x:c>
      <x:c r="B23" s="122" t="str">
        <x:f>'Conferência'!B19</x:f>
        <x:v>Thiago Pinto</x:v>
      </x:c>
      <x:c r="C23" s="122" t="str">
        <x:f>'Conferência'!AI19</x:f>
        <x:v>OK</x:v>
      </x:c>
      <x:c r="D23" s="159" t="n">
        <x:f>'Conferência'!N19</x:f>
        <x:v>0</x:v>
      </x:c>
      <x:c r="E23" s="160" t="n">
        <x:f>IF($A23="","",SUMIFS('Importação Contabilidade'!$D$7:$D$500,'Importação Contabilidade'!$A$7:$A$500,'Parâmetros'!$B$4,'Importação Contabilidade'!$B$7:$B$500,$A23))</x:f>
        <x:v>0</x:v>
      </x:c>
      <x:c r="F23" s="159" t="n">
        <x:f>IF(A23="","",D23-E23)</x:f>
        <x:v>0</x:v>
      </x:c>
      <x:c r="G23" s="159" t="n">
        <x:f>'Conferência'!O19</x:f>
        <x:v>0</x:v>
      </x:c>
      <x:c r="H23" s="160" t="n">
        <x:f>IF($A23="","",SUMIFS('Importação Contabilidade'!$E$7:$E$500,'Importação Contabilidade'!$A$7:$A$500,'Parâmetros'!$B$4,'Importação Contabilidade'!$B$7:$B$500,$A23))</x:f>
        <x:v>0</x:v>
      </x:c>
      <x:c r="I23" s="159" t="n">
        <x:f>IF(A23="","",G23-H23)</x:f>
        <x:v>0</x:v>
      </x:c>
      <x:c r="J23" s="159" t="n">
        <x:f>'Conferência'!P19</x:f>
        <x:v>174.54545454545453</x:v>
      </x:c>
      <x:c r="K23" s="160" t="n">
        <x:f>IF($A23="","",SUMIFS('Importação Contabilidade'!$F$7:$F$500,'Importação Contabilidade'!$A$7:$A$500,'Parâmetros'!$B$4,'Importação Contabilidade'!$B$7:$B$500,$A23))</x:f>
        <x:v>174.55</x:v>
      </x:c>
      <x:c r="L23" s="159" t="n">
        <x:f>IF(A23="","",J23-K23)</x:f>
        <x:v>-0.004545454545478833</x:v>
      </x:c>
      <x:c r="M23" s="159" t="n">
        <x:f>'Conferência'!Q19</x:f>
        <x:v>0</x:v>
      </x:c>
      <x:c r="N23" s="160" t="n">
        <x:f>IF($A23="","",SUMIFS('Importação Contabilidade'!$G$7:$G$500,'Importação Contabilidade'!$A$7:$A$500,'Parâmetros'!$B$4,'Importação Contabilidade'!$B$7:$B$500,$A23))</x:f>
        <x:v>0</x:v>
      </x:c>
      <x:c r="O23" s="159" t="n">
        <x:f>IF(A23="","",M23-N23)</x:f>
        <x:v>0</x:v>
      </x:c>
      <x:c r="P23" s="159" t="n">
        <x:f>'Conferência'!H19</x:f>
        <x:v>0</x:v>
      </x:c>
      <x:c r="Q23" s="160" t="n">
        <x:f>IF($A23="","",SUMIFS('Importação Contabilidade'!$H$7:$H$500,'Importação Contabilidade'!$A$7:$A$500,'Parâmetros'!$B$4,'Importação Contabilidade'!$B$7:$B$500,$A23))</x:f>
        <x:v>0</x:v>
      </x:c>
      <x:c r="R23" s="159" t="n">
        <x:f>IF(A23="","",P23-Q23)</x:f>
        <x:v>0</x:v>
      </x:c>
      <x:c r="S23" s="159" t="n">
        <x:f>'Conferência'!I19</x:f>
        <x:v>0</x:v>
      </x:c>
      <x:c r="T23" s="160" t="n">
        <x:f>IF($A23="","",SUMIFS('Importação Contabilidade'!$I$7:$I$500,'Importação Contabilidade'!$A$7:$A$500,'Parâmetros'!$B$4,'Importação Contabilidade'!$B$7:$B$500,$A23))</x:f>
        <x:v>0</x:v>
      </x:c>
      <x:c r="U23" s="159" t="n">
        <x:f>IF(A23="","",S23-T23)</x:f>
        <x:v>0</x:v>
      </x:c>
      <x:c r="V23" s="159" t="n">
        <x:f>'Conferência'!J19</x:f>
        <x:v>0</x:v>
      </x:c>
      <x:c r="W23" s="160" t="n">
        <x:f>IF($A23="","",SUMIFS('Importação Contabilidade'!$J$7:$J$500,'Importação Contabilidade'!$A$7:$A$500,'Parâmetros'!$B$4,'Importação Contabilidade'!$B$7:$B$500,$A23))</x:f>
        <x:v>0</x:v>
      </x:c>
      <x:c r="X23" s="159" t="n">
        <x:f>IF(A23="","",V23-W23)</x:f>
        <x:v>0</x:v>
      </x:c>
      <x:c r="Y23" s="159" t="n">
        <x:f>'Conferência'!R19</x:f>
        <x:v>31.735537190082642</x:v>
      </x:c>
      <x:c r="Z23" s="160" t="n">
        <x:f>IF($A23="","",SUMIFS('Importação Contabilidade'!$K$7:$K$500,'Importação Contabilidade'!$A$7:$A$500,'Parâmetros'!$B$4,'Importação Contabilidade'!$B$7:$B$500,$A23))</x:f>
        <x:v>31.74</x:v>
      </x:c>
      <x:c r="AA23" s="159" t="n">
        <x:f>IF(A23="","",Y23-Z23)</x:f>
        <x:v>-0.004462809917356481</x:v>
      </x:c>
      <x:c r="AB23" s="159" t="n">
        <x:f>'Conferência'!S19</x:f>
        <x:v>0</x:v>
      </x:c>
      <x:c r="AC23" s="160" t="n">
        <x:f>IF($A23="","",SUMIFS('Importação Contabilidade'!$L$7:$L$500,'Importação Contabilidade'!$A$7:$A$500,'Parâmetros'!$B$4,'Importação Contabilidade'!$B$7:$B$500,$A23))</x:f>
        <x:v>0</x:v>
      </x:c>
      <x:c r="AD23" s="159" t="n">
        <x:f>IF(A23="","",AB23-AC23)</x:f>
        <x:v>0</x:v>
      </x:c>
      <x:c r="AE23" s="159" t="n">
        <x:f>'Conferência'!U19</x:f>
        <x:v>180</x:v>
      </x:c>
      <x:c r="AF23" s="160" t="n">
        <x:f>IF($A23="","",SUMIFS('Importação Contabilidade'!$M$7:$M$500,'Importação Contabilidade'!$A$7:$A$500,'Parâmetros'!$B$4,'Importação Contabilidade'!$B$7:$B$500,$A23))</x:f>
        <x:v>180</x:v>
      </x:c>
      <x:c r="AG23" s="159" t="n">
        <x:f>IF(A23="","",AE23-AF23)</x:f>
        <x:v>0</x:v>
      </x:c>
      <x:c r="AH23" s="159" t="n">
        <x:f>'Conferência'!V19</x:f>
        <x:v>307.57371900826445</x:v>
      </x:c>
      <x:c r="AI23" s="160" t="n">
        <x:f>IF($A23="","",SUMIFS('Importação Contabilidade'!$N$7:$N$500,'Importação Contabilidade'!$A$7:$A$500,'Parâmetros'!$B$4,'Importação Contabilidade'!$B$7:$B$500,$A23))</x:f>
        <x:v>307.57</x:v>
      </x:c>
      <x:c r="AJ23" s="159" t="n">
        <x:f>IF(A23="","",AH23-AI23)</x:f>
        <x:v>0.00371900826445426</x:v>
      </x:c>
      <x:c r="AK23" s="159" t="n">
        <x:f>'Conferência'!W19</x:f>
        <x:v>0</x:v>
      </x:c>
      <x:c r="AL23" s="160" t="n">
        <x:f>IF($A23="","",SUMIFS('Importação Contabilidade'!$O$7:$O$500,'Importação Contabilidade'!$A$7:$A$500,'Parâmetros'!$B$4,'Importação Contabilidade'!$B$7:$B$500,$A23))</x:f>
        <x:v>0</x:v>
      </x:c>
      <x:c r="AM23" s="159" t="n">
        <x:f>IF(A23="","",AK23-AL23)</x:f>
        <x:v>0</x:v>
      </x:c>
      <x:c r="AN23" s="159" t="n">
        <x:f>'Conferência'!X19</x:f>
        <x:v>100</x:v>
      </x:c>
      <x:c r="AO23" s="160" t="n">
        <x:f>IF($A23="","",SUMIFS('Importação Contabilidade'!$P$7:$P$500,'Importação Contabilidade'!$A$7:$A$500,'Parâmetros'!$B$4,'Importação Contabilidade'!$B$7:$B$500,$A23))</x:f>
        <x:v>100</x:v>
      </x:c>
      <x:c r="AP23" s="159" t="n">
        <x:f>IF(A23="","",AN23-AO23)</x:f>
        <x:v>0</x:v>
      </x:c>
      <x:c r="AQ23" s="159" t="n">
        <x:f>'Conferência'!Y19</x:f>
        <x:v>150</x:v>
      </x:c>
      <x:c r="AR23" s="160" t="n">
        <x:f>IF($A23="","",SUMIFS('Importação Contabilidade'!$Q$7:$Q$500,'Importação Contabilidade'!$A$7:$A$500,'Parâmetros'!$B$4,'Importação Contabilidade'!$B$7:$B$500,$A23))</x:f>
        <x:v>150</x:v>
      </x:c>
      <x:c r="AS23" s="159" t="n">
        <x:f>IF(A23="","",AQ23-AR23)</x:f>
        <x:v>0</x:v>
      </x:c>
      <x:c r="AT23" s="159" t="n">
        <x:f>'Conferência'!Z19</x:f>
        <x:v>0</x:v>
      </x:c>
      <x:c r="AU23" s="160" t="n">
        <x:f>IF($A23="","",SUMIFS('Importação Contabilidade'!$R$7:$R$500,'Importação Contabilidade'!$A$7:$A$500,'Parâmetros'!$B$4,'Importação Contabilidade'!$B$7:$B$500,$A23))</x:f>
        <x:v>0</x:v>
      </x:c>
      <x:c r="AV23" s="159" t="n">
        <x:f>IF(A23="","",AT23-AU23)</x:f>
        <x:v>0</x:v>
      </x:c>
      <x:c r="AW23" s="159" t="n">
        <x:f>'Conferência'!L19</x:f>
        <x:v>0</x:v>
      </x:c>
      <x:c r="AX23" s="160" t="n">
        <x:f>IF($A23="","",SUMIFS('Importação Contabilidade'!$S$7:$S$500,'Importação Contabilidade'!$A$7:$A$500,'Parâmetros'!$B$4,'Importação Contabilidade'!$B$7:$B$500,$A23))</x:f>
        <x:v>0</x:v>
      </x:c>
      <x:c r="AY23" s="159" t="n">
        <x:f>IF(A23="","",AW23-AX23)</x:f>
        <x:v>0</x:v>
      </x:c>
      <x:c r="AZ23" s="159" t="n">
        <x:f>IF(A23="","",MAX(ABS(F23),ABS(I23),ABS(L23),ABS(O23),ABS(R23),ABS(U23),ABS(X23),ABS(AA23),ABS(AD23),ABS(AG23),ABS(AJ23),ABS(AM23),ABS(AP23),ABS(AS23),ABS(AV23),ABS(AY23)))</x:f>
        <x:v>0.004545454545478833</x:v>
      </x:c>
      <x:c r="BA23" s="122" t="str">
        <x:f>IF(A23="","",IF(AZ23&lt;='Parâmetros'!$B$8,"Sem divergência",IF(ABS(F23)=AZ23,"Desc. Falta",IF(ABS(I23)=AZ23,"DSR Falta",IF(ABS(L23)=AZ23,"HE 50%",IF(ABS(O23)=AZ23,"HE 100%",IF(ABS(R23)=AZ23,"Comissão",IF(ABS(U23)=AZ23,"Bônus/Grat.",IF(ABS(X23)=AZ23,"Adicionais",IF(ABS(AA23)=AZ23,"DSR HE",IF(ABS(AD23)=AZ23,"DSR Comissão",IF(ABS(AG23)=AZ23,"VT",IF(ABS(AJ23)=AZ23,"INSS",IF(ABS(AM23)=AZ23,"IRRF",IF(ABS(AP23)=AZ23,"VA/VR",IF(ABS(AS23)=AZ23,"Plano Saúde",IF(ABS(AV23)=AZ23,"Outros Fixos",IF(ABS(AY23)=AZ23,"Desconto Extra","Sem divergência detalhada"))))))))))))))))))</x:f>
        <x:v>Sem divergência</x:v>
      </x:c>
      <x:c r="BB23" s="122" t="str">
        <x:f>IF(A23="","",IF(BA23="Sem divergência","OK — componentes conferidos","REVISAR — provável origem: "&amp;BA23&amp;" | diferença: R$ "&amp;ROUND(AZ23,2)))</x:f>
        <x:v>OK — componentes conferidos</x:v>
      </x:c>
    </x:row>
    <x:row r="24">
      <x:c r="A24" s="122" t="n">
        <x:f>'Conferência'!A20</x:f>
        <x:v>1019</x:v>
      </x:c>
      <x:c r="B24" s="122" t="str">
        <x:f>'Conferência'!B20</x:f>
        <x:v>Natalia Freitas</x:v>
      </x:c>
      <x:c r="C24" s="122" t="str">
        <x:f>'Conferência'!AI20</x:f>
        <x:v>OK</x:v>
      </x:c>
      <x:c r="D24" s="159" t="n">
        <x:f>'Conferência'!N20</x:f>
        <x:v>0</x:v>
      </x:c>
      <x:c r="E24" s="160" t="n">
        <x:f>IF($A24="","",SUMIFS('Importação Contabilidade'!$D$7:$D$500,'Importação Contabilidade'!$A$7:$A$500,'Parâmetros'!$B$4,'Importação Contabilidade'!$B$7:$B$500,$A24))</x:f>
        <x:v>0</x:v>
      </x:c>
      <x:c r="F24" s="159" t="n">
        <x:f>IF(A24="","",D24-E24)</x:f>
        <x:v>0</x:v>
      </x:c>
      <x:c r="G24" s="159" t="n">
        <x:f>'Conferência'!O20</x:f>
        <x:v>0</x:v>
      </x:c>
      <x:c r="H24" s="160" t="n">
        <x:f>IF($A24="","",SUMIFS('Importação Contabilidade'!$E$7:$E$500,'Importação Contabilidade'!$A$7:$A$500,'Parâmetros'!$B$4,'Importação Contabilidade'!$B$7:$B$500,$A24))</x:f>
        <x:v>0</x:v>
      </x:c>
      <x:c r="I24" s="159" t="n">
        <x:f>IF(A24="","",G24-H24)</x:f>
        <x:v>0</x:v>
      </x:c>
      <x:c r="J24" s="159" t="n">
        <x:f>'Conferência'!P20</x:f>
        <x:v>126.81818181818181</x:v>
      </x:c>
      <x:c r="K24" s="160" t="n">
        <x:f>IF($A24="","",SUMIFS('Importação Contabilidade'!$F$7:$F$500,'Importação Contabilidade'!$A$7:$A$500,'Parâmetros'!$B$4,'Importação Contabilidade'!$B$7:$B$500,$A24))</x:f>
        <x:v>126.82</x:v>
      </x:c>
      <x:c r="L24" s="159" t="n">
        <x:f>IF(A24="","",J24-K24)</x:f>
        <x:v>-0.0018181818181801646</x:v>
      </x:c>
      <x:c r="M24" s="159" t="n">
        <x:f>'Conferência'!Q20</x:f>
        <x:v>0</x:v>
      </x:c>
      <x:c r="N24" s="160" t="n">
        <x:f>IF($A24="","",SUMIFS('Importação Contabilidade'!$G$7:$G$500,'Importação Contabilidade'!$A$7:$A$500,'Parâmetros'!$B$4,'Importação Contabilidade'!$B$7:$B$500,$A24))</x:f>
        <x:v>0</x:v>
      </x:c>
      <x:c r="O24" s="159" t="n">
        <x:f>IF(A24="","",M24-N24)</x:f>
        <x:v>0</x:v>
      </x:c>
      <x:c r="P24" s="159" t="n">
        <x:f>'Conferência'!H20</x:f>
        <x:v>0</x:v>
      </x:c>
      <x:c r="Q24" s="160" t="n">
        <x:f>IF($A24="","",SUMIFS('Importação Contabilidade'!$H$7:$H$500,'Importação Contabilidade'!$A$7:$A$500,'Parâmetros'!$B$4,'Importação Contabilidade'!$B$7:$B$500,$A24))</x:f>
        <x:v>0</x:v>
      </x:c>
      <x:c r="R24" s="159" t="n">
        <x:f>IF(A24="","",P24-Q24)</x:f>
        <x:v>0</x:v>
      </x:c>
      <x:c r="S24" s="159" t="n">
        <x:f>'Conferência'!I20</x:f>
        <x:v>0</x:v>
      </x:c>
      <x:c r="T24" s="160" t="n">
        <x:f>IF($A24="","",SUMIFS('Importação Contabilidade'!$I$7:$I$500,'Importação Contabilidade'!$A$7:$A$500,'Parâmetros'!$B$4,'Importação Contabilidade'!$B$7:$B$500,$A24))</x:f>
        <x:v>0</x:v>
      </x:c>
      <x:c r="U24" s="159" t="n">
        <x:f>IF(A24="","",S24-T24)</x:f>
        <x:v>0</x:v>
      </x:c>
      <x:c r="V24" s="159" t="n">
        <x:f>'Conferência'!J20</x:f>
        <x:v>0</x:v>
      </x:c>
      <x:c r="W24" s="160" t="n">
        <x:f>IF($A24="","",SUMIFS('Importação Contabilidade'!$J$7:$J$500,'Importação Contabilidade'!$A$7:$A$500,'Parâmetros'!$B$4,'Importação Contabilidade'!$B$7:$B$500,$A24))</x:f>
        <x:v>0</x:v>
      </x:c>
      <x:c r="X24" s="159" t="n">
        <x:f>IF(A24="","",V24-W24)</x:f>
        <x:v>0</x:v>
      </x:c>
      <x:c r="Y24" s="159" t="n">
        <x:f>'Conferência'!R20</x:f>
        <x:v>23.05785123966942</x:v>
      </x:c>
      <x:c r="Z24" s="160" t="n">
        <x:f>IF($A24="","",SUMIFS('Importação Contabilidade'!$K$7:$K$500,'Importação Contabilidade'!$A$7:$A$500,'Parâmetros'!$B$4,'Importação Contabilidade'!$B$7:$B$500,$A24))</x:f>
        <x:v>23.06</x:v>
      </x:c>
      <x:c r="AA24" s="159" t="n">
        <x:f>IF(A24="","",Y24-Z24)</x:f>
        <x:v>-0.002148760330577204</x:v>
      </x:c>
      <x:c r="AB24" s="159" t="n">
        <x:f>'Conferência'!S20</x:f>
        <x:v>0</x:v>
      </x:c>
      <x:c r="AC24" s="160" t="n">
        <x:f>IF($A24="","",SUMIFS('Importação Contabilidade'!$L$7:$L$500,'Importação Contabilidade'!$A$7:$A$500,'Parâmetros'!$B$4,'Importação Contabilidade'!$B$7:$B$500,$A24))</x:f>
        <x:v>0</x:v>
      </x:c>
      <x:c r="AD24" s="159" t="n">
        <x:f>IF(A24="","",AB24-AC24)</x:f>
        <x:v>0</x:v>
      </x:c>
      <x:c r="AE24" s="159" t="n">
        <x:f>'Conferência'!U20</x:f>
        <x:v>180</x:v>
      </x:c>
      <x:c r="AF24" s="160" t="n">
        <x:f>IF($A24="","",SUMIFS('Importação Contabilidade'!$M$7:$M$500,'Importação Contabilidade'!$A$7:$A$500,'Parâmetros'!$B$4,'Importação Contabilidade'!$B$7:$B$500,$A24))</x:f>
        <x:v>180</x:v>
      </x:c>
      <x:c r="AG24" s="159" t="n">
        <x:f>IF(A24="","",AE24-AF24)</x:f>
        <x:v>0</x:v>
      </x:c>
      <x:c r="AH24" s="159" t="n">
        <x:f>'Conferência'!V20</x:f>
        <x:v>288.8051239669422</x:v>
      </x:c>
      <x:c r="AI24" s="160" t="n">
        <x:f>IF($A24="","",SUMIFS('Importação Contabilidade'!$N$7:$N$500,'Importação Contabilidade'!$A$7:$A$500,'Parâmetros'!$B$4,'Importação Contabilidade'!$B$7:$B$500,$A24))</x:f>
        <x:v>288.81</x:v>
      </x:c>
      <x:c r="AJ24" s="159" t="n">
        <x:f>IF(A24="","",AH24-AI24)</x:f>
        <x:v>-0.004876033057826135</x:v>
      </x:c>
      <x:c r="AK24" s="159" t="n">
        <x:f>'Conferência'!W20</x:f>
        <x:v>0</x:v>
      </x:c>
      <x:c r="AL24" s="160" t="n">
        <x:f>IF($A24="","",SUMIFS('Importação Contabilidade'!$O$7:$O$500,'Importação Contabilidade'!$A$7:$A$500,'Parâmetros'!$B$4,'Importação Contabilidade'!$B$7:$B$500,$A24))</x:f>
        <x:v>0</x:v>
      </x:c>
      <x:c r="AM24" s="159" t="n">
        <x:f>IF(A24="","",AK24-AL24)</x:f>
        <x:v>0</x:v>
      </x:c>
      <x:c r="AN24" s="159" t="n">
        <x:f>'Conferência'!X20</x:f>
        <x:v>100</x:v>
      </x:c>
      <x:c r="AO24" s="160" t="n">
        <x:f>IF($A24="","",SUMIFS('Importação Contabilidade'!$P$7:$P$500,'Importação Contabilidade'!$A$7:$A$500,'Parâmetros'!$B$4,'Importação Contabilidade'!$B$7:$B$500,$A24))</x:f>
        <x:v>100</x:v>
      </x:c>
      <x:c r="AP24" s="159" t="n">
        <x:f>IF(A24="","",AN24-AO24)</x:f>
        <x:v>0</x:v>
      </x:c>
      <x:c r="AQ24" s="159" t="n">
        <x:f>'Conferência'!Y20</x:f>
        <x:v>150</x:v>
      </x:c>
      <x:c r="AR24" s="160" t="n">
        <x:f>IF($A24="","",SUMIFS('Importação Contabilidade'!$Q$7:$Q$500,'Importação Contabilidade'!$A$7:$A$500,'Parâmetros'!$B$4,'Importação Contabilidade'!$B$7:$B$500,$A24))</x:f>
        <x:v>150</x:v>
      </x:c>
      <x:c r="AS24" s="159" t="n">
        <x:f>IF(A24="","",AQ24-AR24)</x:f>
        <x:v>0</x:v>
      </x:c>
      <x:c r="AT24" s="159" t="n">
        <x:f>'Conferência'!Z20</x:f>
        <x:v>0</x:v>
      </x:c>
      <x:c r="AU24" s="160" t="n">
        <x:f>IF($A24="","",SUMIFS('Importação Contabilidade'!$R$7:$R$500,'Importação Contabilidade'!$A$7:$A$500,'Parâmetros'!$B$4,'Importação Contabilidade'!$B$7:$B$500,$A24))</x:f>
        <x:v>0</x:v>
      </x:c>
      <x:c r="AV24" s="159" t="n">
        <x:f>IF(A24="","",AT24-AU24)</x:f>
        <x:v>0</x:v>
      </x:c>
      <x:c r="AW24" s="159" t="n">
        <x:f>'Conferência'!L20</x:f>
        <x:v>0</x:v>
      </x:c>
      <x:c r="AX24" s="160" t="n">
        <x:f>IF($A24="","",SUMIFS('Importação Contabilidade'!$S$7:$S$500,'Importação Contabilidade'!$A$7:$A$500,'Parâmetros'!$B$4,'Importação Contabilidade'!$B$7:$B$500,$A24))</x:f>
        <x:v>0</x:v>
      </x:c>
      <x:c r="AY24" s="159" t="n">
        <x:f>IF(A24="","",AW24-AX24)</x:f>
        <x:v>0</x:v>
      </x:c>
      <x:c r="AZ24" s="159" t="n">
        <x:f>IF(A24="","",MAX(ABS(F24),ABS(I24),ABS(L24),ABS(O24),ABS(R24),ABS(U24),ABS(X24),ABS(AA24),ABS(AD24),ABS(AG24),ABS(AJ24),ABS(AM24),ABS(AP24),ABS(AS24),ABS(AV24),ABS(AY24)))</x:f>
        <x:v>0.004876033057826135</x:v>
      </x:c>
      <x:c r="BA24" s="122" t="str">
        <x:f>IF(A24="","",IF(AZ24&lt;='Parâmetros'!$B$8,"Sem divergência",IF(ABS(F24)=AZ24,"Desc. Falta",IF(ABS(I24)=AZ24,"DSR Falta",IF(ABS(L24)=AZ24,"HE 50%",IF(ABS(O24)=AZ24,"HE 100%",IF(ABS(R24)=AZ24,"Comissão",IF(ABS(U24)=AZ24,"Bônus/Grat.",IF(ABS(X24)=AZ24,"Adicionais",IF(ABS(AA24)=AZ24,"DSR HE",IF(ABS(AD24)=AZ24,"DSR Comissão",IF(ABS(AG24)=AZ24,"VT",IF(ABS(AJ24)=AZ24,"INSS",IF(ABS(AM24)=AZ24,"IRRF",IF(ABS(AP24)=AZ24,"VA/VR",IF(ABS(AS24)=AZ24,"Plano Saúde",IF(ABS(AV24)=AZ24,"Outros Fixos",IF(ABS(AY24)=AZ24,"Desconto Extra","Sem divergência detalhada"))))))))))))))))))</x:f>
        <x:v>Sem divergência</x:v>
      </x:c>
      <x:c r="BB24" s="122" t="str">
        <x:f>IF(A24="","",IF(BA24="Sem divergência","OK — componentes conferidos","REVISAR — provável origem: "&amp;BA24&amp;" | diferença: R$ "&amp;ROUND(AZ24,2)))</x:f>
        <x:v>OK — componentes conferidos</x:v>
      </x:c>
    </x:row>
    <x:row r="25">
      <x:c r="A25" s="122" t="n">
        <x:f>'Conferência'!A21</x:f>
        <x:v>1020</x:v>
      </x:c>
      <x:c r="B25" s="122" t="str">
        <x:f>'Conferência'!B21</x:f>
        <x:v>Felipe Cardoso</x:v>
      </x:c>
      <x:c r="C25" s="122" t="str">
        <x:f>'Conferência'!AI21</x:f>
        <x:v>REVISAR</x:v>
      </x:c>
      <x:c r="D25" s="159" t="n">
        <x:f>'Conferência'!N21</x:f>
        <x:v>0</x:v>
      </x:c>
      <x:c r="E25" s="160" t="n">
        <x:f>IF($A25="","",SUMIFS('Importação Contabilidade'!$D$7:$D$500,'Importação Contabilidade'!$A$7:$A$500,'Parâmetros'!$B$4,'Importação Contabilidade'!$B$7:$B$500,$A25))</x:f>
        <x:v>0</x:v>
      </x:c>
      <x:c r="F25" s="159" t="n">
        <x:f>IF(A25="","",D25-E25)</x:f>
        <x:v>0</x:v>
      </x:c>
      <x:c r="G25" s="159" t="n">
        <x:f>'Conferência'!O21</x:f>
        <x:v>0</x:v>
      </x:c>
      <x:c r="H25" s="160" t="n">
        <x:f>IF($A25="","",SUMIFS('Importação Contabilidade'!$E$7:$E$500,'Importação Contabilidade'!$A$7:$A$500,'Parâmetros'!$B$4,'Importação Contabilidade'!$B$7:$B$500,$A25))</x:f>
        <x:v>0</x:v>
      </x:c>
      <x:c r="I25" s="159" t="n">
        <x:f>IF(A25="","",G25-H25)</x:f>
        <x:v>0</x:v>
      </x:c>
      <x:c r="J25" s="159" t="n">
        <x:f>'Conferência'!P21</x:f>
        <x:v>79.77272727272727</x:v>
      </x:c>
      <x:c r="K25" s="160" t="n">
        <x:f>IF($A25="","",SUMIFS('Importação Contabilidade'!$F$7:$F$500,'Importação Contabilidade'!$A$7:$A$500,'Parâmetros'!$B$4,'Importação Contabilidade'!$B$7:$B$500,$A25))</x:f>
        <x:v>79.77</x:v>
      </x:c>
      <x:c r="L25" s="159" t="n">
        <x:f>IF(A25="","",J25-K25)</x:f>
        <x:v>0.002727272727270247</x:v>
      </x:c>
      <x:c r="M25" s="159" t="n">
        <x:f>'Conferência'!Q21</x:f>
        <x:v>0</x:v>
      </x:c>
      <x:c r="N25" s="160" t="n">
        <x:f>IF($A25="","",SUMIFS('Importação Contabilidade'!$G$7:$G$500,'Importação Contabilidade'!$A$7:$A$500,'Parâmetros'!$B$4,'Importação Contabilidade'!$B$7:$B$500,$A25))</x:f>
        <x:v>0</x:v>
      </x:c>
      <x:c r="O25" s="159" t="n">
        <x:f>IF(A25="","",M25-N25)</x:f>
        <x:v>0</x:v>
      </x:c>
      <x:c r="P25" s="159" t="n">
        <x:f>'Conferência'!H21</x:f>
        <x:v>1900</x:v>
      </x:c>
      <x:c r="Q25" s="160" t="n">
        <x:f>IF($A25="","",SUMIFS('Importação Contabilidade'!$H$7:$H$500,'Importação Contabilidade'!$A$7:$A$500,'Parâmetros'!$B$4,'Importação Contabilidade'!$B$7:$B$500,$A25))</x:f>
        <x:v>1845</x:v>
      </x:c>
      <x:c r="R25" s="159" t="n">
        <x:f>IF(A25="","",P25-Q25)</x:f>
        <x:v>55</x:v>
      </x:c>
      <x:c r="S25" s="159" t="n">
        <x:f>'Conferência'!I21</x:f>
        <x:v>0</x:v>
      </x:c>
      <x:c r="T25" s="160" t="n">
        <x:f>IF($A25="","",SUMIFS('Importação Contabilidade'!$I$7:$I$500,'Importação Contabilidade'!$A$7:$A$500,'Parâmetros'!$B$4,'Importação Contabilidade'!$B$7:$B$500,$A25))</x:f>
        <x:v>0</x:v>
      </x:c>
      <x:c r="U25" s="159" t="n">
        <x:f>IF(A25="","",S25-T25)</x:f>
        <x:v>0</x:v>
      </x:c>
      <x:c r="V25" s="159" t="n">
        <x:f>'Conferência'!J21</x:f>
        <x:v>0</x:v>
      </x:c>
      <x:c r="W25" s="160" t="n">
        <x:f>IF($A25="","",SUMIFS('Importação Contabilidade'!$J$7:$J$500,'Importação Contabilidade'!$A$7:$A$500,'Parâmetros'!$B$4,'Importação Contabilidade'!$B$7:$B$500,$A25))</x:f>
        <x:v>0</x:v>
      </x:c>
      <x:c r="X25" s="159" t="n">
        <x:f>IF(A25="","",V25-W25)</x:f>
        <x:v>0</x:v>
      </x:c>
      <x:c r="Y25" s="159" t="n">
        <x:f>'Conferência'!R21</x:f>
        <x:v>14.504132231404958</x:v>
      </x:c>
      <x:c r="Z25" s="160" t="n">
        <x:f>IF($A25="","",SUMIFS('Importação Contabilidade'!$K$7:$K$500,'Importação Contabilidade'!$A$7:$A$500,'Parâmetros'!$B$4,'Importação Contabilidade'!$B$7:$B$500,$A25))</x:f>
        <x:v>14.5</x:v>
      </x:c>
      <x:c r="AA25" s="159" t="n">
        <x:f>IF(A25="","",Y25-Z25)</x:f>
        <x:v>0.004132231404957665</x:v>
      </x:c>
      <x:c r="AB25" s="159" t="n">
        <x:f>'Conferência'!S21</x:f>
        <x:v>345.45454545454544</x:v>
      </x:c>
      <x:c r="AC25" s="160" t="n">
        <x:f>IF($A25="","",SUMIFS('Importação Contabilidade'!$L$7:$L$500,'Importação Contabilidade'!$A$7:$A$500,'Parâmetros'!$B$4,'Importação Contabilidade'!$B$7:$B$500,$A25))</x:f>
        <x:v>345.45</x:v>
      </x:c>
      <x:c r="AD25" s="159" t="n">
        <x:f>IF(A25="","",AB25-AC25)</x:f>
        <x:v>0.004545454545450411</x:v>
      </x:c>
      <x:c r="AE25" s="159" t="n">
        <x:f>'Conferência'!U21</x:f>
        <x:v>234</x:v>
      </x:c>
      <x:c r="AF25" s="160" t="n">
        <x:f>IF($A25="","",SUMIFS('Importação Contabilidade'!$M$7:$M$500,'Importação Contabilidade'!$A$7:$A$500,'Parâmetros'!$B$4,'Importação Contabilidade'!$B$7:$B$500,$A25))</x:f>
        <x:v>234</x:v>
      </x:c>
      <x:c r="AG25" s="159" t="n">
        <x:f>IF(A25="","",AE25-AF25)</x:f>
        <x:v>0</x:v>
      </x:c>
      <x:c r="AH25" s="159" t="n">
        <x:f>'Conferência'!V21</x:f>
        <x:v>692.3823966942148</x:v>
      </x:c>
      <x:c r="AI25" s="160" t="n">
        <x:f>IF($A25="","",SUMIFS('Importação Contabilidade'!$N$7:$N$500,'Importação Contabilidade'!$A$7:$A$500,'Parâmetros'!$B$4,'Importação Contabilidade'!$B$7:$B$500,$A25))</x:f>
        <x:v>692.38</x:v>
      </x:c>
      <x:c r="AJ25" s="159" t="n">
        <x:f>IF(A25="","",AH25-AI25)</x:f>
        <x:v>0.0023966942147808368</x:v>
      </x:c>
      <x:c r="AK25" s="159" t="n">
        <x:f>'Conferência'!W21</x:f>
        <x:v>0</x:v>
      </x:c>
      <x:c r="AL25" s="160" t="n">
        <x:f>IF($A25="","",SUMIFS('Importação Contabilidade'!$O$7:$O$500,'Importação Contabilidade'!$A$7:$A$500,'Parâmetros'!$B$4,'Importação Contabilidade'!$B$7:$B$500,$A25))</x:f>
        <x:v>0</x:v>
      </x:c>
      <x:c r="AM25" s="159" t="n">
        <x:f>IF(A25="","",AK25-AL25)</x:f>
        <x:v>0</x:v>
      </x:c>
      <x:c r="AN25" s="159" t="n">
        <x:f>'Conferência'!X21</x:f>
        <x:v>120</x:v>
      </x:c>
      <x:c r="AO25" s="160" t="n">
        <x:f>IF($A25="","",SUMIFS('Importação Contabilidade'!$P$7:$P$500,'Importação Contabilidade'!$A$7:$A$500,'Parâmetros'!$B$4,'Importação Contabilidade'!$B$7:$B$500,$A25))</x:f>
        <x:v>120</x:v>
      </x:c>
      <x:c r="AP25" s="159" t="n">
        <x:f>IF(A25="","",AN25-AO25)</x:f>
        <x:v>0</x:v>
      </x:c>
      <x:c r="AQ25" s="159" t="n">
        <x:f>'Conferência'!Y21</x:f>
        <x:v>180</x:v>
      </x:c>
      <x:c r="AR25" s="160" t="n">
        <x:f>IF($A25="","",SUMIFS('Importação Contabilidade'!$Q$7:$Q$500,'Importação Contabilidade'!$A$7:$A$500,'Parâmetros'!$B$4,'Importação Contabilidade'!$B$7:$B$500,$A25))</x:f>
        <x:v>180</x:v>
      </x:c>
      <x:c r="AS25" s="159" t="n">
        <x:f>IF(A25="","",AQ25-AR25)</x:f>
        <x:v>0</x:v>
      </x:c>
      <x:c r="AT25" s="159" t="n">
        <x:f>'Conferência'!Z21</x:f>
        <x:v>0</x:v>
      </x:c>
      <x:c r="AU25" s="160" t="n">
        <x:f>IF($A25="","",SUMIFS('Importação Contabilidade'!$R$7:$R$500,'Importação Contabilidade'!$A$7:$A$500,'Parâmetros'!$B$4,'Importação Contabilidade'!$B$7:$B$500,$A25))</x:f>
        <x:v>0</x:v>
      </x:c>
      <x:c r="AV25" s="159" t="n">
        <x:f>IF(A25="","",AT25-AU25)</x:f>
        <x:v>0</x:v>
      </x:c>
      <x:c r="AW25" s="159" t="n">
        <x:f>'Conferência'!L21</x:f>
        <x:v>0</x:v>
      </x:c>
      <x:c r="AX25" s="160" t="n">
        <x:f>IF($A25="","",SUMIFS('Importação Contabilidade'!$S$7:$S$500,'Importação Contabilidade'!$A$7:$A$500,'Parâmetros'!$B$4,'Importação Contabilidade'!$B$7:$B$500,$A25))</x:f>
        <x:v>0</x:v>
      </x:c>
      <x:c r="AY25" s="159" t="n">
        <x:f>IF(A25="","",AW25-AX25)</x:f>
        <x:v>0</x:v>
      </x:c>
      <x:c r="AZ25" s="159" t="n">
        <x:f>IF(A25="","",MAX(ABS(F25),ABS(I25),ABS(L25),ABS(O25),ABS(R25),ABS(U25),ABS(X25),ABS(AA25),ABS(AD25),ABS(AG25),ABS(AJ25),ABS(AM25),ABS(AP25),ABS(AS25),ABS(AV25),ABS(AY25)))</x:f>
        <x:v>55</x:v>
      </x:c>
      <x:c r="BA25" s="122" t="str">
        <x:f>IF(A25="","",IF(AZ25&lt;='Parâmetros'!$B$8,"Sem divergência",IF(ABS(F25)=AZ25,"Desc. Falta",IF(ABS(I25)=AZ25,"DSR Falta",IF(ABS(L25)=AZ25,"HE 50%",IF(ABS(O25)=AZ25,"HE 100%",IF(ABS(R25)=AZ25,"Comissão",IF(ABS(U25)=AZ25,"Bônus/Grat.",IF(ABS(X25)=AZ25,"Adicionais",IF(ABS(AA25)=AZ25,"DSR HE",IF(ABS(AD25)=AZ25,"DSR Comissão",IF(ABS(AG25)=AZ25,"VT",IF(ABS(AJ25)=AZ25,"INSS",IF(ABS(AM25)=AZ25,"IRRF",IF(ABS(AP25)=AZ25,"VA/VR",IF(ABS(AS25)=AZ25,"Plano Saúde",IF(ABS(AV25)=AZ25,"Outros Fixos",IF(ABS(AY25)=AZ25,"Desconto Extra","Sem divergência detalhada"))))))))))))))))))</x:f>
        <x:v>Comissão</x:v>
      </x:c>
      <x:c r="BB25" s="122" t="str">
        <x:f>IF(A25="","",IF(BA25="Sem divergência","OK — componentes conferidos","REVISAR — provável origem: "&amp;BA25&amp;" | diferença: R$ "&amp;ROUND(AZ25,2)))</x:f>
        <x:v>REVISAR — provável origem: Comissão | diferença: R$ 55</x:v>
      </x:c>
    </x:row>
    <x:row r="26">
      <x:c r="C26" t="str">
        <x:f>'Conferência'!AI22</x:f>
      </x:c>
      <x:c r="E26" t="str">
        <x:f>IF($A26="","",SUMIFS('Importação Contabilidade'!$D$7:$D$500,'Importação Contabilidade'!$A$7:$A$500,'Parâmetros'!$B$4,'Importação Contabilidade'!$B$7:$B$500,$A26))</x:f>
      </x:c>
      <x:c r="H26" t="str">
        <x:f>IF($A26="","",SUMIFS('Importação Contabilidade'!$E$7:$E$500,'Importação Contabilidade'!$A$7:$A$500,'Parâmetros'!$B$4,'Importação Contabilidade'!$B$7:$B$500,$A26))</x:f>
      </x:c>
      <x:c r="K26" t="str">
        <x:f>IF($A26="","",SUMIFS('Importação Contabilidade'!$F$7:$F$500,'Importação Contabilidade'!$A$7:$A$500,'Parâmetros'!$B$4,'Importação Contabilidade'!$B$7:$B$500,$A26))</x:f>
      </x:c>
      <x:c r="N26" t="str">
        <x:f>IF($A26="","",SUMIFS('Importação Contabilidade'!$G$7:$G$500,'Importação Contabilidade'!$A$7:$A$500,'Parâmetros'!$B$4,'Importação Contabilidade'!$B$7:$B$500,$A26))</x:f>
      </x:c>
      <x:c r="Q26" t="str">
        <x:f>IF($A26="","",SUMIFS('Importação Contabilidade'!$H$7:$H$500,'Importação Contabilidade'!$A$7:$A$500,'Parâmetros'!$B$4,'Importação Contabilidade'!$B$7:$B$500,$A26))</x:f>
      </x:c>
      <x:c r="T26" t="str">
        <x:f>IF($A26="","",SUMIFS('Importação Contabilidade'!$I$7:$I$500,'Importação Contabilidade'!$A$7:$A$500,'Parâmetros'!$B$4,'Importação Contabilidade'!$B$7:$B$500,$A26))</x:f>
      </x:c>
      <x:c r="W26" t="str">
        <x:f>IF($A26="","",SUMIFS('Importação Contabilidade'!$J$7:$J$500,'Importação Contabilidade'!$A$7:$A$500,'Parâmetros'!$B$4,'Importação Contabilidade'!$B$7:$B$500,$A26))</x:f>
      </x:c>
      <x:c r="Z26" t="str">
        <x:f>IF($A26="","",SUMIFS('Importação Contabilidade'!$K$7:$K$500,'Importação Contabilidade'!$A$7:$A$500,'Parâmetros'!$B$4,'Importação Contabilidade'!$B$7:$B$500,$A26))</x:f>
      </x:c>
      <x:c r="AC26" t="str">
        <x:f>IF($A26="","",SUMIFS('Importação Contabilidade'!$L$7:$L$500,'Importação Contabilidade'!$A$7:$A$500,'Parâmetros'!$B$4,'Importação Contabilidade'!$B$7:$B$500,$A26))</x:f>
      </x:c>
      <x:c r="AF26" t="str">
        <x:f>IF($A26="","",SUMIFS('Importação Contabilidade'!$M$7:$M$500,'Importação Contabilidade'!$A$7:$A$500,'Parâmetros'!$B$4,'Importação Contabilidade'!$B$7:$B$500,$A26))</x:f>
      </x:c>
      <x:c r="AI26" t="str">
        <x:f>IF($A26="","",SUMIFS('Importação Contabilidade'!$N$7:$N$500,'Importação Contabilidade'!$A$7:$A$500,'Parâmetros'!$B$4,'Importação Contabilidade'!$B$7:$B$500,$A26))</x:f>
      </x:c>
      <x:c r="AL26" t="str">
        <x:f>IF($A26="","",SUMIFS('Importação Contabilidade'!$O$7:$O$500,'Importação Contabilidade'!$A$7:$A$500,'Parâmetros'!$B$4,'Importação Contabilidade'!$B$7:$B$500,$A26))</x:f>
      </x:c>
      <x:c r="AO26" t="str">
        <x:f>IF($A26="","",SUMIFS('Importação Contabilidade'!$P$7:$P$500,'Importação Contabilidade'!$A$7:$A$500,'Parâmetros'!$B$4,'Importação Contabilidade'!$B$7:$B$500,$A26))</x:f>
      </x:c>
      <x:c r="AR26" t="str">
        <x:f>IF($A26="","",SUMIFS('Importação Contabilidade'!$Q$7:$Q$500,'Importação Contabilidade'!$A$7:$A$500,'Parâmetros'!$B$4,'Importação Contabilidade'!$B$7:$B$500,$A26))</x:f>
      </x:c>
      <x:c r="AU26" t="str">
        <x:f>IF($A26="","",SUMIFS('Importação Contabilidade'!$R$7:$R$500,'Importação Contabilidade'!$A$7:$A$500,'Parâmetros'!$B$4,'Importação Contabilidade'!$B$7:$B$500,$A26))</x:f>
      </x:c>
      <x:c r="AX26" t="str">
        <x:f>IF($A26="","",SUMIFS('Importação Contabilidade'!$S$7:$S$500,'Importação Contabilidade'!$A$7:$A$500,'Parâmetros'!$B$4,'Importação Contabilidade'!$B$7:$B$500,$A26))</x:f>
      </x:c>
    </x:row>
    <x:row r="27">
      <x:c r="C27" t="str">
        <x:f>'Conferência'!AI23</x:f>
      </x:c>
      <x:c r="E27" t="str">
        <x:f>IF($A27="","",SUMIFS('Importação Contabilidade'!$D$7:$D$500,'Importação Contabilidade'!$A$7:$A$500,'Parâmetros'!$B$4,'Importação Contabilidade'!$B$7:$B$500,$A27))</x:f>
      </x:c>
      <x:c r="H27" t="str">
        <x:f>IF($A27="","",SUMIFS('Importação Contabilidade'!$E$7:$E$500,'Importação Contabilidade'!$A$7:$A$500,'Parâmetros'!$B$4,'Importação Contabilidade'!$B$7:$B$500,$A27))</x:f>
      </x:c>
      <x:c r="K27" t="str">
        <x:f>IF($A27="","",SUMIFS('Importação Contabilidade'!$F$7:$F$500,'Importação Contabilidade'!$A$7:$A$500,'Parâmetros'!$B$4,'Importação Contabilidade'!$B$7:$B$500,$A27))</x:f>
      </x:c>
      <x:c r="N27" t="str">
        <x:f>IF($A27="","",SUMIFS('Importação Contabilidade'!$G$7:$G$500,'Importação Contabilidade'!$A$7:$A$500,'Parâmetros'!$B$4,'Importação Contabilidade'!$B$7:$B$500,$A27))</x:f>
      </x:c>
      <x:c r="Q27" t="str">
        <x:f>IF($A27="","",SUMIFS('Importação Contabilidade'!$H$7:$H$500,'Importação Contabilidade'!$A$7:$A$500,'Parâmetros'!$B$4,'Importação Contabilidade'!$B$7:$B$500,$A27))</x:f>
      </x:c>
      <x:c r="T27" t="str">
        <x:f>IF($A27="","",SUMIFS('Importação Contabilidade'!$I$7:$I$500,'Importação Contabilidade'!$A$7:$A$500,'Parâmetros'!$B$4,'Importação Contabilidade'!$B$7:$B$500,$A27))</x:f>
      </x:c>
      <x:c r="W27" t="str">
        <x:f>IF($A27="","",SUMIFS('Importação Contabilidade'!$J$7:$J$500,'Importação Contabilidade'!$A$7:$A$500,'Parâmetros'!$B$4,'Importação Contabilidade'!$B$7:$B$500,$A27))</x:f>
      </x:c>
      <x:c r="Z27" t="str">
        <x:f>IF($A27="","",SUMIFS('Importação Contabilidade'!$K$7:$K$500,'Importação Contabilidade'!$A$7:$A$500,'Parâmetros'!$B$4,'Importação Contabilidade'!$B$7:$B$500,$A27))</x:f>
      </x:c>
      <x:c r="AC27" t="str">
        <x:f>IF($A27="","",SUMIFS('Importação Contabilidade'!$L$7:$L$500,'Importação Contabilidade'!$A$7:$A$500,'Parâmetros'!$B$4,'Importação Contabilidade'!$B$7:$B$500,$A27))</x:f>
      </x:c>
      <x:c r="AF27" t="str">
        <x:f>IF($A27="","",SUMIFS('Importação Contabilidade'!$M$7:$M$500,'Importação Contabilidade'!$A$7:$A$500,'Parâmetros'!$B$4,'Importação Contabilidade'!$B$7:$B$500,$A27))</x:f>
      </x:c>
      <x:c r="AI27" t="str">
        <x:f>IF($A27="","",SUMIFS('Importação Contabilidade'!$N$7:$N$500,'Importação Contabilidade'!$A$7:$A$500,'Parâmetros'!$B$4,'Importação Contabilidade'!$B$7:$B$500,$A27))</x:f>
      </x:c>
      <x:c r="AL27" t="str">
        <x:f>IF($A27="","",SUMIFS('Importação Contabilidade'!$O$7:$O$500,'Importação Contabilidade'!$A$7:$A$500,'Parâmetros'!$B$4,'Importação Contabilidade'!$B$7:$B$500,$A27))</x:f>
      </x:c>
      <x:c r="AO27" t="str">
        <x:f>IF($A27="","",SUMIFS('Importação Contabilidade'!$P$7:$P$500,'Importação Contabilidade'!$A$7:$A$500,'Parâmetros'!$B$4,'Importação Contabilidade'!$B$7:$B$500,$A27))</x:f>
      </x:c>
      <x:c r="AR27" t="str">
        <x:f>IF($A27="","",SUMIFS('Importação Contabilidade'!$Q$7:$Q$500,'Importação Contabilidade'!$A$7:$A$500,'Parâmetros'!$B$4,'Importação Contabilidade'!$B$7:$B$500,$A27))</x:f>
      </x:c>
      <x:c r="AU27" t="str">
        <x:f>IF($A27="","",SUMIFS('Importação Contabilidade'!$R$7:$R$500,'Importação Contabilidade'!$A$7:$A$500,'Parâmetros'!$B$4,'Importação Contabilidade'!$B$7:$B$500,$A27))</x:f>
      </x:c>
      <x:c r="AX27" t="str">
        <x:f>IF($A27="","",SUMIFS('Importação Contabilidade'!$S$7:$S$500,'Importação Contabilidade'!$A$7:$A$500,'Parâmetros'!$B$4,'Importação Contabilidade'!$B$7:$B$500,$A27))</x:f>
      </x:c>
    </x:row>
    <x:row r="28">
      <x:c r="C28" t="str">
        <x:f>'Conferência'!AI24</x:f>
      </x:c>
      <x:c r="E28" t="str">
        <x:f>IF($A28="","",SUMIFS('Importação Contabilidade'!$D$7:$D$500,'Importação Contabilidade'!$A$7:$A$500,'Parâmetros'!$B$4,'Importação Contabilidade'!$B$7:$B$500,$A28))</x:f>
      </x:c>
      <x:c r="H28" t="str">
        <x:f>IF($A28="","",SUMIFS('Importação Contabilidade'!$E$7:$E$500,'Importação Contabilidade'!$A$7:$A$500,'Parâmetros'!$B$4,'Importação Contabilidade'!$B$7:$B$500,$A28))</x:f>
      </x:c>
      <x:c r="K28" t="str">
        <x:f>IF($A28="","",SUMIFS('Importação Contabilidade'!$F$7:$F$500,'Importação Contabilidade'!$A$7:$A$500,'Parâmetros'!$B$4,'Importação Contabilidade'!$B$7:$B$500,$A28))</x:f>
      </x:c>
      <x:c r="N28" t="str">
        <x:f>IF($A28="","",SUMIFS('Importação Contabilidade'!$G$7:$G$500,'Importação Contabilidade'!$A$7:$A$500,'Parâmetros'!$B$4,'Importação Contabilidade'!$B$7:$B$500,$A28))</x:f>
      </x:c>
      <x:c r="Q28" t="str">
        <x:f>IF($A28="","",SUMIFS('Importação Contabilidade'!$H$7:$H$500,'Importação Contabilidade'!$A$7:$A$500,'Parâmetros'!$B$4,'Importação Contabilidade'!$B$7:$B$500,$A28))</x:f>
      </x:c>
      <x:c r="T28" t="str">
        <x:f>IF($A28="","",SUMIFS('Importação Contabilidade'!$I$7:$I$500,'Importação Contabilidade'!$A$7:$A$500,'Parâmetros'!$B$4,'Importação Contabilidade'!$B$7:$B$500,$A28))</x:f>
      </x:c>
      <x:c r="W28" t="str">
        <x:f>IF($A28="","",SUMIFS('Importação Contabilidade'!$J$7:$J$500,'Importação Contabilidade'!$A$7:$A$500,'Parâmetros'!$B$4,'Importação Contabilidade'!$B$7:$B$500,$A28))</x:f>
      </x:c>
      <x:c r="Z28" t="str">
        <x:f>IF($A28="","",SUMIFS('Importação Contabilidade'!$K$7:$K$500,'Importação Contabilidade'!$A$7:$A$500,'Parâmetros'!$B$4,'Importação Contabilidade'!$B$7:$B$500,$A28))</x:f>
      </x:c>
      <x:c r="AC28" t="str">
        <x:f>IF($A28="","",SUMIFS('Importação Contabilidade'!$L$7:$L$500,'Importação Contabilidade'!$A$7:$A$500,'Parâmetros'!$B$4,'Importação Contabilidade'!$B$7:$B$500,$A28))</x:f>
      </x:c>
      <x:c r="AF28" t="str">
        <x:f>IF($A28="","",SUMIFS('Importação Contabilidade'!$M$7:$M$500,'Importação Contabilidade'!$A$7:$A$500,'Parâmetros'!$B$4,'Importação Contabilidade'!$B$7:$B$500,$A28))</x:f>
      </x:c>
      <x:c r="AI28" t="str">
        <x:f>IF($A28="","",SUMIFS('Importação Contabilidade'!$N$7:$N$500,'Importação Contabilidade'!$A$7:$A$500,'Parâmetros'!$B$4,'Importação Contabilidade'!$B$7:$B$500,$A28))</x:f>
      </x:c>
      <x:c r="AL28" t="str">
        <x:f>IF($A28="","",SUMIFS('Importação Contabilidade'!$O$7:$O$500,'Importação Contabilidade'!$A$7:$A$500,'Parâmetros'!$B$4,'Importação Contabilidade'!$B$7:$B$500,$A28))</x:f>
      </x:c>
      <x:c r="AO28" t="str">
        <x:f>IF($A28="","",SUMIFS('Importação Contabilidade'!$P$7:$P$500,'Importação Contabilidade'!$A$7:$A$500,'Parâmetros'!$B$4,'Importação Contabilidade'!$B$7:$B$500,$A28))</x:f>
      </x:c>
      <x:c r="AR28" t="str">
        <x:f>IF($A28="","",SUMIFS('Importação Contabilidade'!$Q$7:$Q$500,'Importação Contabilidade'!$A$7:$A$500,'Parâmetros'!$B$4,'Importação Contabilidade'!$B$7:$B$500,$A28))</x:f>
      </x:c>
      <x:c r="AU28" t="str">
        <x:f>IF($A28="","",SUMIFS('Importação Contabilidade'!$R$7:$R$500,'Importação Contabilidade'!$A$7:$A$500,'Parâmetros'!$B$4,'Importação Contabilidade'!$B$7:$B$500,$A28))</x:f>
      </x:c>
      <x:c r="AX28" t="str">
        <x:f>IF($A28="","",SUMIFS('Importação Contabilidade'!$S$7:$S$500,'Importação Contabilidade'!$A$7:$A$500,'Parâmetros'!$B$4,'Importação Contabilidade'!$B$7:$B$500,$A28))</x:f>
      </x:c>
    </x:row>
    <x:row r="29">
      <x:c r="C29" t="str">
        <x:f>'Conferência'!AI25</x:f>
      </x:c>
      <x:c r="E29" t="str">
        <x:f>IF($A29="","",SUMIFS('Importação Contabilidade'!$D$7:$D$500,'Importação Contabilidade'!$A$7:$A$500,'Parâmetros'!$B$4,'Importação Contabilidade'!$B$7:$B$500,$A29))</x:f>
      </x:c>
      <x:c r="H29" t="str">
        <x:f>IF($A29="","",SUMIFS('Importação Contabilidade'!$E$7:$E$500,'Importação Contabilidade'!$A$7:$A$500,'Parâmetros'!$B$4,'Importação Contabilidade'!$B$7:$B$500,$A29))</x:f>
      </x:c>
      <x:c r="K29" t="str">
        <x:f>IF($A29="","",SUMIFS('Importação Contabilidade'!$F$7:$F$500,'Importação Contabilidade'!$A$7:$A$500,'Parâmetros'!$B$4,'Importação Contabilidade'!$B$7:$B$500,$A29))</x:f>
      </x:c>
      <x:c r="N29" t="str">
        <x:f>IF($A29="","",SUMIFS('Importação Contabilidade'!$G$7:$G$500,'Importação Contabilidade'!$A$7:$A$500,'Parâmetros'!$B$4,'Importação Contabilidade'!$B$7:$B$500,$A29))</x:f>
      </x:c>
      <x:c r="Q29" t="str">
        <x:f>IF($A29="","",SUMIFS('Importação Contabilidade'!$H$7:$H$500,'Importação Contabilidade'!$A$7:$A$500,'Parâmetros'!$B$4,'Importação Contabilidade'!$B$7:$B$500,$A29))</x:f>
      </x:c>
      <x:c r="T29" t="str">
        <x:f>IF($A29="","",SUMIFS('Importação Contabilidade'!$I$7:$I$500,'Importação Contabilidade'!$A$7:$A$500,'Parâmetros'!$B$4,'Importação Contabilidade'!$B$7:$B$500,$A29))</x:f>
      </x:c>
      <x:c r="W29" t="str">
        <x:f>IF($A29="","",SUMIFS('Importação Contabilidade'!$J$7:$J$500,'Importação Contabilidade'!$A$7:$A$500,'Parâmetros'!$B$4,'Importação Contabilidade'!$B$7:$B$500,$A29))</x:f>
      </x:c>
      <x:c r="Z29" t="str">
        <x:f>IF($A29="","",SUMIFS('Importação Contabilidade'!$K$7:$K$500,'Importação Contabilidade'!$A$7:$A$500,'Parâmetros'!$B$4,'Importação Contabilidade'!$B$7:$B$500,$A29))</x:f>
      </x:c>
      <x:c r="AC29" t="str">
        <x:f>IF($A29="","",SUMIFS('Importação Contabilidade'!$L$7:$L$500,'Importação Contabilidade'!$A$7:$A$500,'Parâmetros'!$B$4,'Importação Contabilidade'!$B$7:$B$500,$A29))</x:f>
      </x:c>
      <x:c r="AF29" t="str">
        <x:f>IF($A29="","",SUMIFS('Importação Contabilidade'!$M$7:$M$500,'Importação Contabilidade'!$A$7:$A$500,'Parâmetros'!$B$4,'Importação Contabilidade'!$B$7:$B$500,$A29))</x:f>
      </x:c>
      <x:c r="AI29" t="str">
        <x:f>IF($A29="","",SUMIFS('Importação Contabilidade'!$N$7:$N$500,'Importação Contabilidade'!$A$7:$A$500,'Parâmetros'!$B$4,'Importação Contabilidade'!$B$7:$B$500,$A29))</x:f>
      </x:c>
      <x:c r="AL29" t="str">
        <x:f>IF($A29="","",SUMIFS('Importação Contabilidade'!$O$7:$O$500,'Importação Contabilidade'!$A$7:$A$500,'Parâmetros'!$B$4,'Importação Contabilidade'!$B$7:$B$500,$A29))</x:f>
      </x:c>
      <x:c r="AO29" t="str">
        <x:f>IF($A29="","",SUMIFS('Importação Contabilidade'!$P$7:$P$500,'Importação Contabilidade'!$A$7:$A$500,'Parâmetros'!$B$4,'Importação Contabilidade'!$B$7:$B$500,$A29))</x:f>
      </x:c>
      <x:c r="AR29" t="str">
        <x:f>IF($A29="","",SUMIFS('Importação Contabilidade'!$Q$7:$Q$500,'Importação Contabilidade'!$A$7:$A$500,'Parâmetros'!$B$4,'Importação Contabilidade'!$B$7:$B$500,$A29))</x:f>
      </x:c>
      <x:c r="AU29" t="str">
        <x:f>IF($A29="","",SUMIFS('Importação Contabilidade'!$R$7:$R$500,'Importação Contabilidade'!$A$7:$A$500,'Parâmetros'!$B$4,'Importação Contabilidade'!$B$7:$B$500,$A29))</x:f>
      </x:c>
      <x:c r="AX29" t="str">
        <x:f>IF($A29="","",SUMIFS('Importação Contabilidade'!$S$7:$S$500,'Importação Contabilidade'!$A$7:$A$500,'Parâmetros'!$B$4,'Importação Contabilidade'!$B$7:$B$500,$A29))</x:f>
      </x:c>
    </x:row>
    <x:row r="30">
      <x:c r="C30" t="str">
        <x:f>'Conferência'!AI26</x:f>
      </x:c>
      <x:c r="E30" t="str">
        <x:f>IF($A30="","",SUMIFS('Importação Contabilidade'!$D$7:$D$500,'Importação Contabilidade'!$A$7:$A$500,'Parâmetros'!$B$4,'Importação Contabilidade'!$B$7:$B$500,$A30))</x:f>
      </x:c>
      <x:c r="H30" t="str">
        <x:f>IF($A30="","",SUMIFS('Importação Contabilidade'!$E$7:$E$500,'Importação Contabilidade'!$A$7:$A$500,'Parâmetros'!$B$4,'Importação Contabilidade'!$B$7:$B$500,$A30))</x:f>
      </x:c>
      <x:c r="K30" t="str">
        <x:f>IF($A30="","",SUMIFS('Importação Contabilidade'!$F$7:$F$500,'Importação Contabilidade'!$A$7:$A$500,'Parâmetros'!$B$4,'Importação Contabilidade'!$B$7:$B$500,$A30))</x:f>
      </x:c>
      <x:c r="N30" t="str">
        <x:f>IF($A30="","",SUMIFS('Importação Contabilidade'!$G$7:$G$500,'Importação Contabilidade'!$A$7:$A$500,'Parâmetros'!$B$4,'Importação Contabilidade'!$B$7:$B$500,$A30))</x:f>
      </x:c>
      <x:c r="Q30" t="str">
        <x:f>IF($A30="","",SUMIFS('Importação Contabilidade'!$H$7:$H$500,'Importação Contabilidade'!$A$7:$A$500,'Parâmetros'!$B$4,'Importação Contabilidade'!$B$7:$B$500,$A30))</x:f>
      </x:c>
      <x:c r="T30" t="str">
        <x:f>IF($A30="","",SUMIFS('Importação Contabilidade'!$I$7:$I$500,'Importação Contabilidade'!$A$7:$A$500,'Parâmetros'!$B$4,'Importação Contabilidade'!$B$7:$B$500,$A30))</x:f>
      </x:c>
      <x:c r="W30" t="str">
        <x:f>IF($A30="","",SUMIFS('Importação Contabilidade'!$J$7:$J$500,'Importação Contabilidade'!$A$7:$A$500,'Parâmetros'!$B$4,'Importação Contabilidade'!$B$7:$B$500,$A30))</x:f>
      </x:c>
      <x:c r="Z30" t="str">
        <x:f>IF($A30="","",SUMIFS('Importação Contabilidade'!$K$7:$K$500,'Importação Contabilidade'!$A$7:$A$500,'Parâmetros'!$B$4,'Importação Contabilidade'!$B$7:$B$500,$A30))</x:f>
      </x:c>
      <x:c r="AC30" t="str">
        <x:f>IF($A30="","",SUMIFS('Importação Contabilidade'!$L$7:$L$500,'Importação Contabilidade'!$A$7:$A$500,'Parâmetros'!$B$4,'Importação Contabilidade'!$B$7:$B$500,$A30))</x:f>
      </x:c>
      <x:c r="AF30" t="str">
        <x:f>IF($A30="","",SUMIFS('Importação Contabilidade'!$M$7:$M$500,'Importação Contabilidade'!$A$7:$A$500,'Parâmetros'!$B$4,'Importação Contabilidade'!$B$7:$B$500,$A30))</x:f>
      </x:c>
      <x:c r="AI30" t="str">
        <x:f>IF($A30="","",SUMIFS('Importação Contabilidade'!$N$7:$N$500,'Importação Contabilidade'!$A$7:$A$500,'Parâmetros'!$B$4,'Importação Contabilidade'!$B$7:$B$500,$A30))</x:f>
      </x:c>
      <x:c r="AL30" t="str">
        <x:f>IF($A30="","",SUMIFS('Importação Contabilidade'!$O$7:$O$500,'Importação Contabilidade'!$A$7:$A$500,'Parâmetros'!$B$4,'Importação Contabilidade'!$B$7:$B$500,$A30))</x:f>
      </x:c>
      <x:c r="AO30" t="str">
        <x:f>IF($A30="","",SUMIFS('Importação Contabilidade'!$P$7:$P$500,'Importação Contabilidade'!$A$7:$A$500,'Parâmetros'!$B$4,'Importação Contabilidade'!$B$7:$B$500,$A30))</x:f>
      </x:c>
      <x:c r="AR30" t="str">
        <x:f>IF($A30="","",SUMIFS('Importação Contabilidade'!$Q$7:$Q$500,'Importação Contabilidade'!$A$7:$A$500,'Parâmetros'!$B$4,'Importação Contabilidade'!$B$7:$B$500,$A30))</x:f>
      </x:c>
      <x:c r="AU30" t="str">
        <x:f>IF($A30="","",SUMIFS('Importação Contabilidade'!$R$7:$R$500,'Importação Contabilidade'!$A$7:$A$500,'Parâmetros'!$B$4,'Importação Contabilidade'!$B$7:$B$500,$A30))</x:f>
      </x:c>
      <x:c r="AX30" t="str">
        <x:f>IF($A30="","",SUMIFS('Importação Contabilidade'!$S$7:$S$500,'Importação Contabilidade'!$A$7:$A$500,'Parâmetros'!$B$4,'Importação Contabilidade'!$B$7:$B$500,$A30))</x:f>
      </x:c>
    </x:row>
    <x:row r="31">
      <x:c r="C31" t="str">
        <x:f>'Conferência'!AI27</x:f>
      </x:c>
      <x:c r="E31" t="str">
        <x:f>IF($A31="","",SUMIFS('Importação Contabilidade'!$D$7:$D$500,'Importação Contabilidade'!$A$7:$A$500,'Parâmetros'!$B$4,'Importação Contabilidade'!$B$7:$B$500,$A31))</x:f>
      </x:c>
      <x:c r="H31" t="str">
        <x:f>IF($A31="","",SUMIFS('Importação Contabilidade'!$E$7:$E$500,'Importação Contabilidade'!$A$7:$A$500,'Parâmetros'!$B$4,'Importação Contabilidade'!$B$7:$B$500,$A31))</x:f>
      </x:c>
      <x:c r="K31" t="str">
        <x:f>IF($A31="","",SUMIFS('Importação Contabilidade'!$F$7:$F$500,'Importação Contabilidade'!$A$7:$A$500,'Parâmetros'!$B$4,'Importação Contabilidade'!$B$7:$B$500,$A31))</x:f>
      </x:c>
      <x:c r="N31" t="str">
        <x:f>IF($A31="","",SUMIFS('Importação Contabilidade'!$G$7:$G$500,'Importação Contabilidade'!$A$7:$A$500,'Parâmetros'!$B$4,'Importação Contabilidade'!$B$7:$B$500,$A31))</x:f>
      </x:c>
      <x:c r="Q31" t="str">
        <x:f>IF($A31="","",SUMIFS('Importação Contabilidade'!$H$7:$H$500,'Importação Contabilidade'!$A$7:$A$500,'Parâmetros'!$B$4,'Importação Contabilidade'!$B$7:$B$500,$A31))</x:f>
      </x:c>
      <x:c r="T31" t="str">
        <x:f>IF($A31="","",SUMIFS('Importação Contabilidade'!$I$7:$I$500,'Importação Contabilidade'!$A$7:$A$500,'Parâmetros'!$B$4,'Importação Contabilidade'!$B$7:$B$500,$A31))</x:f>
      </x:c>
      <x:c r="W31" t="str">
        <x:f>IF($A31="","",SUMIFS('Importação Contabilidade'!$J$7:$J$500,'Importação Contabilidade'!$A$7:$A$500,'Parâmetros'!$B$4,'Importação Contabilidade'!$B$7:$B$500,$A31))</x:f>
      </x:c>
      <x:c r="Z31" t="str">
        <x:f>IF($A31="","",SUMIFS('Importação Contabilidade'!$K$7:$K$500,'Importação Contabilidade'!$A$7:$A$500,'Parâmetros'!$B$4,'Importação Contabilidade'!$B$7:$B$500,$A31))</x:f>
      </x:c>
      <x:c r="AC31" t="str">
        <x:f>IF($A31="","",SUMIFS('Importação Contabilidade'!$L$7:$L$500,'Importação Contabilidade'!$A$7:$A$500,'Parâmetros'!$B$4,'Importação Contabilidade'!$B$7:$B$500,$A31))</x:f>
      </x:c>
      <x:c r="AF31" t="str">
        <x:f>IF($A31="","",SUMIFS('Importação Contabilidade'!$M$7:$M$500,'Importação Contabilidade'!$A$7:$A$500,'Parâmetros'!$B$4,'Importação Contabilidade'!$B$7:$B$500,$A31))</x:f>
      </x:c>
      <x:c r="AI31" t="str">
        <x:f>IF($A31="","",SUMIFS('Importação Contabilidade'!$N$7:$N$500,'Importação Contabilidade'!$A$7:$A$500,'Parâmetros'!$B$4,'Importação Contabilidade'!$B$7:$B$500,$A31))</x:f>
      </x:c>
      <x:c r="AL31" t="str">
        <x:f>IF($A31="","",SUMIFS('Importação Contabilidade'!$O$7:$O$500,'Importação Contabilidade'!$A$7:$A$500,'Parâmetros'!$B$4,'Importação Contabilidade'!$B$7:$B$500,$A31))</x:f>
      </x:c>
      <x:c r="AO31" t="str">
        <x:f>IF($A31="","",SUMIFS('Importação Contabilidade'!$P$7:$P$500,'Importação Contabilidade'!$A$7:$A$500,'Parâmetros'!$B$4,'Importação Contabilidade'!$B$7:$B$500,$A31))</x:f>
      </x:c>
      <x:c r="AR31" t="str">
        <x:f>IF($A31="","",SUMIFS('Importação Contabilidade'!$Q$7:$Q$500,'Importação Contabilidade'!$A$7:$A$500,'Parâmetros'!$B$4,'Importação Contabilidade'!$B$7:$B$500,$A31))</x:f>
      </x:c>
      <x:c r="AU31" t="str">
        <x:f>IF($A31="","",SUMIFS('Importação Contabilidade'!$R$7:$R$500,'Importação Contabilidade'!$A$7:$A$500,'Parâmetros'!$B$4,'Importação Contabilidade'!$B$7:$B$500,$A31))</x:f>
      </x:c>
      <x:c r="AX31" t="str">
        <x:f>IF($A31="","",SUMIFS('Importação Contabilidade'!$S$7:$S$500,'Importação Contabilidade'!$A$7:$A$500,'Parâmetros'!$B$4,'Importação Contabilidade'!$B$7:$B$500,$A31))</x:f>
      </x:c>
    </x:row>
    <x:row r="32">
      <x:c r="C32" t="str">
        <x:f>'Conferência'!AI28</x:f>
      </x:c>
      <x:c r="E32" t="str">
        <x:f>IF($A32="","",SUMIFS('Importação Contabilidade'!$D$7:$D$500,'Importação Contabilidade'!$A$7:$A$500,'Parâmetros'!$B$4,'Importação Contabilidade'!$B$7:$B$500,$A32))</x:f>
      </x:c>
      <x:c r="H32" t="str">
        <x:f>IF($A32="","",SUMIFS('Importação Contabilidade'!$E$7:$E$500,'Importação Contabilidade'!$A$7:$A$500,'Parâmetros'!$B$4,'Importação Contabilidade'!$B$7:$B$500,$A32))</x:f>
      </x:c>
      <x:c r="K32" t="str">
        <x:f>IF($A32="","",SUMIFS('Importação Contabilidade'!$F$7:$F$500,'Importação Contabilidade'!$A$7:$A$500,'Parâmetros'!$B$4,'Importação Contabilidade'!$B$7:$B$500,$A32))</x:f>
      </x:c>
      <x:c r="N32" t="str">
        <x:f>IF($A32="","",SUMIFS('Importação Contabilidade'!$G$7:$G$500,'Importação Contabilidade'!$A$7:$A$500,'Parâmetros'!$B$4,'Importação Contabilidade'!$B$7:$B$500,$A32))</x:f>
      </x:c>
      <x:c r="Q32" t="str">
        <x:f>IF($A32="","",SUMIFS('Importação Contabilidade'!$H$7:$H$500,'Importação Contabilidade'!$A$7:$A$500,'Parâmetros'!$B$4,'Importação Contabilidade'!$B$7:$B$500,$A32))</x:f>
      </x:c>
      <x:c r="T32" t="str">
        <x:f>IF($A32="","",SUMIFS('Importação Contabilidade'!$I$7:$I$500,'Importação Contabilidade'!$A$7:$A$500,'Parâmetros'!$B$4,'Importação Contabilidade'!$B$7:$B$500,$A32))</x:f>
      </x:c>
      <x:c r="W32" t="str">
        <x:f>IF($A32="","",SUMIFS('Importação Contabilidade'!$J$7:$J$500,'Importação Contabilidade'!$A$7:$A$500,'Parâmetros'!$B$4,'Importação Contabilidade'!$B$7:$B$500,$A32))</x:f>
      </x:c>
      <x:c r="Z32" t="str">
        <x:f>IF($A32="","",SUMIFS('Importação Contabilidade'!$K$7:$K$500,'Importação Contabilidade'!$A$7:$A$500,'Parâmetros'!$B$4,'Importação Contabilidade'!$B$7:$B$500,$A32))</x:f>
      </x:c>
      <x:c r="AC32" t="str">
        <x:f>IF($A32="","",SUMIFS('Importação Contabilidade'!$L$7:$L$500,'Importação Contabilidade'!$A$7:$A$500,'Parâmetros'!$B$4,'Importação Contabilidade'!$B$7:$B$500,$A32))</x:f>
      </x:c>
      <x:c r="AF32" t="str">
        <x:f>IF($A32="","",SUMIFS('Importação Contabilidade'!$M$7:$M$500,'Importação Contabilidade'!$A$7:$A$500,'Parâmetros'!$B$4,'Importação Contabilidade'!$B$7:$B$500,$A32))</x:f>
      </x:c>
      <x:c r="AI32" t="str">
        <x:f>IF($A32="","",SUMIFS('Importação Contabilidade'!$N$7:$N$500,'Importação Contabilidade'!$A$7:$A$500,'Parâmetros'!$B$4,'Importação Contabilidade'!$B$7:$B$500,$A32))</x:f>
      </x:c>
      <x:c r="AL32" t="str">
        <x:f>IF($A32="","",SUMIFS('Importação Contabilidade'!$O$7:$O$500,'Importação Contabilidade'!$A$7:$A$500,'Parâmetros'!$B$4,'Importação Contabilidade'!$B$7:$B$500,$A32))</x:f>
      </x:c>
      <x:c r="AO32" t="str">
        <x:f>IF($A32="","",SUMIFS('Importação Contabilidade'!$P$7:$P$500,'Importação Contabilidade'!$A$7:$A$500,'Parâmetros'!$B$4,'Importação Contabilidade'!$B$7:$B$500,$A32))</x:f>
      </x:c>
      <x:c r="AR32" t="str">
        <x:f>IF($A32="","",SUMIFS('Importação Contabilidade'!$Q$7:$Q$500,'Importação Contabilidade'!$A$7:$A$500,'Parâmetros'!$B$4,'Importação Contabilidade'!$B$7:$B$500,$A32))</x:f>
      </x:c>
      <x:c r="AU32" t="str">
        <x:f>IF($A32="","",SUMIFS('Importação Contabilidade'!$R$7:$R$500,'Importação Contabilidade'!$A$7:$A$500,'Parâmetros'!$B$4,'Importação Contabilidade'!$B$7:$B$500,$A32))</x:f>
      </x:c>
      <x:c r="AX32" t="str">
        <x:f>IF($A32="","",SUMIFS('Importação Contabilidade'!$S$7:$S$500,'Importação Contabilidade'!$A$7:$A$500,'Parâmetros'!$B$4,'Importação Contabilidade'!$B$7:$B$500,$A32))</x:f>
      </x:c>
    </x:row>
    <x:row r="33">
      <x:c r="C33" t="str">
        <x:f>'Conferência'!AI29</x:f>
      </x:c>
      <x:c r="E33" t="str">
        <x:f>IF($A33="","",SUMIFS('Importação Contabilidade'!$D$7:$D$500,'Importação Contabilidade'!$A$7:$A$500,'Parâmetros'!$B$4,'Importação Contabilidade'!$B$7:$B$500,$A33))</x:f>
      </x:c>
      <x:c r="H33" t="str">
        <x:f>IF($A33="","",SUMIFS('Importação Contabilidade'!$E$7:$E$500,'Importação Contabilidade'!$A$7:$A$500,'Parâmetros'!$B$4,'Importação Contabilidade'!$B$7:$B$500,$A33))</x:f>
      </x:c>
      <x:c r="K33" t="str">
        <x:f>IF($A33="","",SUMIFS('Importação Contabilidade'!$F$7:$F$500,'Importação Contabilidade'!$A$7:$A$500,'Parâmetros'!$B$4,'Importação Contabilidade'!$B$7:$B$500,$A33))</x:f>
      </x:c>
      <x:c r="N33" t="str">
        <x:f>IF($A33="","",SUMIFS('Importação Contabilidade'!$G$7:$G$500,'Importação Contabilidade'!$A$7:$A$500,'Parâmetros'!$B$4,'Importação Contabilidade'!$B$7:$B$500,$A33))</x:f>
      </x:c>
      <x:c r="Q33" t="str">
        <x:f>IF($A33="","",SUMIFS('Importação Contabilidade'!$H$7:$H$500,'Importação Contabilidade'!$A$7:$A$500,'Parâmetros'!$B$4,'Importação Contabilidade'!$B$7:$B$500,$A33))</x:f>
      </x:c>
      <x:c r="T33" t="str">
        <x:f>IF($A33="","",SUMIFS('Importação Contabilidade'!$I$7:$I$500,'Importação Contabilidade'!$A$7:$A$500,'Parâmetros'!$B$4,'Importação Contabilidade'!$B$7:$B$500,$A33))</x:f>
      </x:c>
      <x:c r="W33" t="str">
        <x:f>IF($A33="","",SUMIFS('Importação Contabilidade'!$J$7:$J$500,'Importação Contabilidade'!$A$7:$A$500,'Parâmetros'!$B$4,'Importação Contabilidade'!$B$7:$B$500,$A33))</x:f>
      </x:c>
      <x:c r="Z33" t="str">
        <x:f>IF($A33="","",SUMIFS('Importação Contabilidade'!$K$7:$K$500,'Importação Contabilidade'!$A$7:$A$500,'Parâmetros'!$B$4,'Importação Contabilidade'!$B$7:$B$500,$A33))</x:f>
      </x:c>
      <x:c r="AC33" t="str">
        <x:f>IF($A33="","",SUMIFS('Importação Contabilidade'!$L$7:$L$500,'Importação Contabilidade'!$A$7:$A$500,'Parâmetros'!$B$4,'Importação Contabilidade'!$B$7:$B$500,$A33))</x:f>
      </x:c>
      <x:c r="AF33" t="str">
        <x:f>IF($A33="","",SUMIFS('Importação Contabilidade'!$M$7:$M$500,'Importação Contabilidade'!$A$7:$A$500,'Parâmetros'!$B$4,'Importação Contabilidade'!$B$7:$B$500,$A33))</x:f>
      </x:c>
      <x:c r="AI33" t="str">
        <x:f>IF($A33="","",SUMIFS('Importação Contabilidade'!$N$7:$N$500,'Importação Contabilidade'!$A$7:$A$500,'Parâmetros'!$B$4,'Importação Contabilidade'!$B$7:$B$500,$A33))</x:f>
      </x:c>
      <x:c r="AL33" t="str">
        <x:f>IF($A33="","",SUMIFS('Importação Contabilidade'!$O$7:$O$500,'Importação Contabilidade'!$A$7:$A$500,'Parâmetros'!$B$4,'Importação Contabilidade'!$B$7:$B$500,$A33))</x:f>
      </x:c>
      <x:c r="AO33" t="str">
        <x:f>IF($A33="","",SUMIFS('Importação Contabilidade'!$P$7:$P$500,'Importação Contabilidade'!$A$7:$A$500,'Parâmetros'!$B$4,'Importação Contabilidade'!$B$7:$B$500,$A33))</x:f>
      </x:c>
      <x:c r="AR33" t="str">
        <x:f>IF($A33="","",SUMIFS('Importação Contabilidade'!$Q$7:$Q$500,'Importação Contabilidade'!$A$7:$A$500,'Parâmetros'!$B$4,'Importação Contabilidade'!$B$7:$B$500,$A33))</x:f>
      </x:c>
      <x:c r="AU33" t="str">
        <x:f>IF($A33="","",SUMIFS('Importação Contabilidade'!$R$7:$R$500,'Importação Contabilidade'!$A$7:$A$500,'Parâmetros'!$B$4,'Importação Contabilidade'!$B$7:$B$500,$A33))</x:f>
      </x:c>
      <x:c r="AX33" t="str">
        <x:f>IF($A33="","",SUMIFS('Importação Contabilidade'!$S$7:$S$500,'Importação Contabilidade'!$A$7:$A$500,'Parâmetros'!$B$4,'Importação Contabilidade'!$B$7:$B$500,$A33))</x:f>
      </x:c>
    </x:row>
    <x:row r="34">
      <x:c r="C34" t="str">
        <x:f>'Conferência'!AI30</x:f>
      </x:c>
      <x:c r="E34" t="str">
        <x:f>IF($A34="","",SUMIFS('Importação Contabilidade'!$D$7:$D$500,'Importação Contabilidade'!$A$7:$A$500,'Parâmetros'!$B$4,'Importação Contabilidade'!$B$7:$B$500,$A34))</x:f>
      </x:c>
      <x:c r="H34" t="str">
        <x:f>IF($A34="","",SUMIFS('Importação Contabilidade'!$E$7:$E$500,'Importação Contabilidade'!$A$7:$A$500,'Parâmetros'!$B$4,'Importação Contabilidade'!$B$7:$B$500,$A34))</x:f>
      </x:c>
      <x:c r="K34" t="str">
        <x:f>IF($A34="","",SUMIFS('Importação Contabilidade'!$F$7:$F$500,'Importação Contabilidade'!$A$7:$A$500,'Parâmetros'!$B$4,'Importação Contabilidade'!$B$7:$B$500,$A34))</x:f>
      </x:c>
      <x:c r="N34" t="str">
        <x:f>IF($A34="","",SUMIFS('Importação Contabilidade'!$G$7:$G$500,'Importação Contabilidade'!$A$7:$A$500,'Parâmetros'!$B$4,'Importação Contabilidade'!$B$7:$B$500,$A34))</x:f>
      </x:c>
      <x:c r="Q34" t="str">
        <x:f>IF($A34="","",SUMIFS('Importação Contabilidade'!$H$7:$H$500,'Importação Contabilidade'!$A$7:$A$500,'Parâmetros'!$B$4,'Importação Contabilidade'!$B$7:$B$500,$A34))</x:f>
      </x:c>
      <x:c r="T34" t="str">
        <x:f>IF($A34="","",SUMIFS('Importação Contabilidade'!$I$7:$I$500,'Importação Contabilidade'!$A$7:$A$500,'Parâmetros'!$B$4,'Importação Contabilidade'!$B$7:$B$500,$A34))</x:f>
      </x:c>
      <x:c r="W34" t="str">
        <x:f>IF($A34="","",SUMIFS('Importação Contabilidade'!$J$7:$J$500,'Importação Contabilidade'!$A$7:$A$500,'Parâmetros'!$B$4,'Importação Contabilidade'!$B$7:$B$500,$A34))</x:f>
      </x:c>
      <x:c r="Z34" t="str">
        <x:f>IF($A34="","",SUMIFS('Importação Contabilidade'!$K$7:$K$500,'Importação Contabilidade'!$A$7:$A$500,'Parâmetros'!$B$4,'Importação Contabilidade'!$B$7:$B$500,$A34))</x:f>
      </x:c>
      <x:c r="AC34" t="str">
        <x:f>IF($A34="","",SUMIFS('Importação Contabilidade'!$L$7:$L$500,'Importação Contabilidade'!$A$7:$A$500,'Parâmetros'!$B$4,'Importação Contabilidade'!$B$7:$B$500,$A34))</x:f>
      </x:c>
      <x:c r="AF34" t="str">
        <x:f>IF($A34="","",SUMIFS('Importação Contabilidade'!$M$7:$M$500,'Importação Contabilidade'!$A$7:$A$500,'Parâmetros'!$B$4,'Importação Contabilidade'!$B$7:$B$500,$A34))</x:f>
      </x:c>
      <x:c r="AI34" t="str">
        <x:f>IF($A34="","",SUMIFS('Importação Contabilidade'!$N$7:$N$500,'Importação Contabilidade'!$A$7:$A$500,'Parâmetros'!$B$4,'Importação Contabilidade'!$B$7:$B$500,$A34))</x:f>
      </x:c>
      <x:c r="AL34" t="str">
        <x:f>IF($A34="","",SUMIFS('Importação Contabilidade'!$O$7:$O$500,'Importação Contabilidade'!$A$7:$A$500,'Parâmetros'!$B$4,'Importação Contabilidade'!$B$7:$B$500,$A34))</x:f>
      </x:c>
      <x:c r="AO34" t="str">
        <x:f>IF($A34="","",SUMIFS('Importação Contabilidade'!$P$7:$P$500,'Importação Contabilidade'!$A$7:$A$500,'Parâmetros'!$B$4,'Importação Contabilidade'!$B$7:$B$500,$A34))</x:f>
      </x:c>
      <x:c r="AR34" t="str">
        <x:f>IF($A34="","",SUMIFS('Importação Contabilidade'!$Q$7:$Q$500,'Importação Contabilidade'!$A$7:$A$500,'Parâmetros'!$B$4,'Importação Contabilidade'!$B$7:$B$500,$A34))</x:f>
      </x:c>
      <x:c r="AU34" t="str">
        <x:f>IF($A34="","",SUMIFS('Importação Contabilidade'!$R$7:$R$500,'Importação Contabilidade'!$A$7:$A$500,'Parâmetros'!$B$4,'Importação Contabilidade'!$B$7:$B$500,$A34))</x:f>
      </x:c>
      <x:c r="AX34" t="str">
        <x:f>IF($A34="","",SUMIFS('Importação Contabilidade'!$S$7:$S$500,'Importação Contabilidade'!$A$7:$A$500,'Parâmetros'!$B$4,'Importação Contabilidade'!$B$7:$B$500,$A34))</x:f>
      </x:c>
    </x:row>
    <x:row r="35">
      <x:c r="C35" t="str">
        <x:f>'Conferência'!AI31</x:f>
      </x:c>
      <x:c r="E35" t="str">
        <x:f>IF($A35="","",SUMIFS('Importação Contabilidade'!$D$7:$D$500,'Importação Contabilidade'!$A$7:$A$500,'Parâmetros'!$B$4,'Importação Contabilidade'!$B$7:$B$500,$A35))</x:f>
      </x:c>
      <x:c r="H35" t="str">
        <x:f>IF($A35="","",SUMIFS('Importação Contabilidade'!$E$7:$E$500,'Importação Contabilidade'!$A$7:$A$500,'Parâmetros'!$B$4,'Importação Contabilidade'!$B$7:$B$500,$A35))</x:f>
      </x:c>
      <x:c r="K35" t="str">
        <x:f>IF($A35="","",SUMIFS('Importação Contabilidade'!$F$7:$F$500,'Importação Contabilidade'!$A$7:$A$500,'Parâmetros'!$B$4,'Importação Contabilidade'!$B$7:$B$500,$A35))</x:f>
      </x:c>
      <x:c r="N35" t="str">
        <x:f>IF($A35="","",SUMIFS('Importação Contabilidade'!$G$7:$G$500,'Importação Contabilidade'!$A$7:$A$500,'Parâmetros'!$B$4,'Importação Contabilidade'!$B$7:$B$500,$A35))</x:f>
      </x:c>
      <x:c r="Q35" t="str">
        <x:f>IF($A35="","",SUMIFS('Importação Contabilidade'!$H$7:$H$500,'Importação Contabilidade'!$A$7:$A$500,'Parâmetros'!$B$4,'Importação Contabilidade'!$B$7:$B$500,$A35))</x:f>
      </x:c>
      <x:c r="T35" t="str">
        <x:f>IF($A35="","",SUMIFS('Importação Contabilidade'!$I$7:$I$500,'Importação Contabilidade'!$A$7:$A$500,'Parâmetros'!$B$4,'Importação Contabilidade'!$B$7:$B$500,$A35))</x:f>
      </x:c>
      <x:c r="W35" t="str">
        <x:f>IF($A35="","",SUMIFS('Importação Contabilidade'!$J$7:$J$500,'Importação Contabilidade'!$A$7:$A$500,'Parâmetros'!$B$4,'Importação Contabilidade'!$B$7:$B$500,$A35))</x:f>
      </x:c>
      <x:c r="Z35" t="str">
        <x:f>IF($A35="","",SUMIFS('Importação Contabilidade'!$K$7:$K$500,'Importação Contabilidade'!$A$7:$A$500,'Parâmetros'!$B$4,'Importação Contabilidade'!$B$7:$B$500,$A35))</x:f>
      </x:c>
      <x:c r="AC35" t="str">
        <x:f>IF($A35="","",SUMIFS('Importação Contabilidade'!$L$7:$L$500,'Importação Contabilidade'!$A$7:$A$500,'Parâmetros'!$B$4,'Importação Contabilidade'!$B$7:$B$500,$A35))</x:f>
      </x:c>
      <x:c r="AF35" t="str">
        <x:f>IF($A35="","",SUMIFS('Importação Contabilidade'!$M$7:$M$500,'Importação Contabilidade'!$A$7:$A$500,'Parâmetros'!$B$4,'Importação Contabilidade'!$B$7:$B$500,$A35))</x:f>
      </x:c>
      <x:c r="AI35" t="str">
        <x:f>IF($A35="","",SUMIFS('Importação Contabilidade'!$N$7:$N$500,'Importação Contabilidade'!$A$7:$A$500,'Parâmetros'!$B$4,'Importação Contabilidade'!$B$7:$B$500,$A35))</x:f>
      </x:c>
      <x:c r="AL35" t="str">
        <x:f>IF($A35="","",SUMIFS('Importação Contabilidade'!$O$7:$O$500,'Importação Contabilidade'!$A$7:$A$500,'Parâmetros'!$B$4,'Importação Contabilidade'!$B$7:$B$500,$A35))</x:f>
      </x:c>
      <x:c r="AO35" t="str">
        <x:f>IF($A35="","",SUMIFS('Importação Contabilidade'!$P$7:$P$500,'Importação Contabilidade'!$A$7:$A$500,'Parâmetros'!$B$4,'Importação Contabilidade'!$B$7:$B$500,$A35))</x:f>
      </x:c>
      <x:c r="AR35" t="str">
        <x:f>IF($A35="","",SUMIFS('Importação Contabilidade'!$Q$7:$Q$500,'Importação Contabilidade'!$A$7:$A$500,'Parâmetros'!$B$4,'Importação Contabilidade'!$B$7:$B$500,$A35))</x:f>
      </x:c>
      <x:c r="AU35" t="str">
        <x:f>IF($A35="","",SUMIFS('Importação Contabilidade'!$R$7:$R$500,'Importação Contabilidade'!$A$7:$A$500,'Parâmetros'!$B$4,'Importação Contabilidade'!$B$7:$B$500,$A35))</x:f>
      </x:c>
      <x:c r="AX35" t="str">
        <x:f>IF($A35="","",SUMIFS('Importação Contabilidade'!$S$7:$S$500,'Importação Contabilidade'!$A$7:$A$500,'Parâmetros'!$B$4,'Importação Contabilidade'!$B$7:$B$500,$A35))</x:f>
      </x:c>
    </x:row>
    <x:row r="36">
      <x:c r="C36" t="str">
        <x:f>'Conferência'!AI32</x:f>
      </x:c>
      <x:c r="E36" t="str">
        <x:f>IF($A36="","",SUMIFS('Importação Contabilidade'!$D$7:$D$500,'Importação Contabilidade'!$A$7:$A$500,'Parâmetros'!$B$4,'Importação Contabilidade'!$B$7:$B$500,$A36))</x:f>
      </x:c>
      <x:c r="H36" t="str">
        <x:f>IF($A36="","",SUMIFS('Importação Contabilidade'!$E$7:$E$500,'Importação Contabilidade'!$A$7:$A$500,'Parâmetros'!$B$4,'Importação Contabilidade'!$B$7:$B$500,$A36))</x:f>
      </x:c>
      <x:c r="K36" t="str">
        <x:f>IF($A36="","",SUMIFS('Importação Contabilidade'!$F$7:$F$500,'Importação Contabilidade'!$A$7:$A$500,'Parâmetros'!$B$4,'Importação Contabilidade'!$B$7:$B$500,$A36))</x:f>
      </x:c>
      <x:c r="N36" t="str">
        <x:f>IF($A36="","",SUMIFS('Importação Contabilidade'!$G$7:$G$500,'Importação Contabilidade'!$A$7:$A$500,'Parâmetros'!$B$4,'Importação Contabilidade'!$B$7:$B$500,$A36))</x:f>
      </x:c>
      <x:c r="Q36" t="str">
        <x:f>IF($A36="","",SUMIFS('Importação Contabilidade'!$H$7:$H$500,'Importação Contabilidade'!$A$7:$A$500,'Parâmetros'!$B$4,'Importação Contabilidade'!$B$7:$B$500,$A36))</x:f>
      </x:c>
      <x:c r="T36" t="str">
        <x:f>IF($A36="","",SUMIFS('Importação Contabilidade'!$I$7:$I$500,'Importação Contabilidade'!$A$7:$A$500,'Parâmetros'!$B$4,'Importação Contabilidade'!$B$7:$B$500,$A36))</x:f>
      </x:c>
      <x:c r="W36" t="str">
        <x:f>IF($A36="","",SUMIFS('Importação Contabilidade'!$J$7:$J$500,'Importação Contabilidade'!$A$7:$A$500,'Parâmetros'!$B$4,'Importação Contabilidade'!$B$7:$B$500,$A36))</x:f>
      </x:c>
      <x:c r="Z36" t="str">
        <x:f>IF($A36="","",SUMIFS('Importação Contabilidade'!$K$7:$K$500,'Importação Contabilidade'!$A$7:$A$500,'Parâmetros'!$B$4,'Importação Contabilidade'!$B$7:$B$500,$A36))</x:f>
      </x:c>
      <x:c r="AC36" t="str">
        <x:f>IF($A36="","",SUMIFS('Importação Contabilidade'!$L$7:$L$500,'Importação Contabilidade'!$A$7:$A$500,'Parâmetros'!$B$4,'Importação Contabilidade'!$B$7:$B$500,$A36))</x:f>
      </x:c>
      <x:c r="AF36" t="str">
        <x:f>IF($A36="","",SUMIFS('Importação Contabilidade'!$M$7:$M$500,'Importação Contabilidade'!$A$7:$A$500,'Parâmetros'!$B$4,'Importação Contabilidade'!$B$7:$B$500,$A36))</x:f>
      </x:c>
      <x:c r="AI36" t="str">
        <x:f>IF($A36="","",SUMIFS('Importação Contabilidade'!$N$7:$N$500,'Importação Contabilidade'!$A$7:$A$500,'Parâmetros'!$B$4,'Importação Contabilidade'!$B$7:$B$500,$A36))</x:f>
      </x:c>
      <x:c r="AL36" t="str">
        <x:f>IF($A36="","",SUMIFS('Importação Contabilidade'!$O$7:$O$500,'Importação Contabilidade'!$A$7:$A$500,'Parâmetros'!$B$4,'Importação Contabilidade'!$B$7:$B$500,$A36))</x:f>
      </x:c>
      <x:c r="AO36" t="str">
        <x:f>IF($A36="","",SUMIFS('Importação Contabilidade'!$P$7:$P$500,'Importação Contabilidade'!$A$7:$A$500,'Parâmetros'!$B$4,'Importação Contabilidade'!$B$7:$B$500,$A36))</x:f>
      </x:c>
      <x:c r="AR36" t="str">
        <x:f>IF($A36="","",SUMIFS('Importação Contabilidade'!$Q$7:$Q$500,'Importação Contabilidade'!$A$7:$A$500,'Parâmetros'!$B$4,'Importação Contabilidade'!$B$7:$B$500,$A36))</x:f>
      </x:c>
      <x:c r="AU36" t="str">
        <x:f>IF($A36="","",SUMIFS('Importação Contabilidade'!$R$7:$R$500,'Importação Contabilidade'!$A$7:$A$500,'Parâmetros'!$B$4,'Importação Contabilidade'!$B$7:$B$500,$A36))</x:f>
      </x:c>
      <x:c r="AX36" t="str">
        <x:f>IF($A36="","",SUMIFS('Importação Contabilidade'!$S$7:$S$500,'Importação Contabilidade'!$A$7:$A$500,'Parâmetros'!$B$4,'Importação Contabilidade'!$B$7:$B$500,$A36))</x:f>
      </x:c>
    </x:row>
    <x:row r="37">
      <x:c r="C37" t="str">
        <x:f>'Conferência'!AI33</x:f>
      </x:c>
      <x:c r="E37" t="str">
        <x:f>IF($A37="","",SUMIFS('Importação Contabilidade'!$D$7:$D$500,'Importação Contabilidade'!$A$7:$A$500,'Parâmetros'!$B$4,'Importação Contabilidade'!$B$7:$B$500,$A37))</x:f>
      </x:c>
      <x:c r="H37" t="str">
        <x:f>IF($A37="","",SUMIFS('Importação Contabilidade'!$E$7:$E$500,'Importação Contabilidade'!$A$7:$A$500,'Parâmetros'!$B$4,'Importação Contabilidade'!$B$7:$B$500,$A37))</x:f>
      </x:c>
      <x:c r="K37" t="str">
        <x:f>IF($A37="","",SUMIFS('Importação Contabilidade'!$F$7:$F$500,'Importação Contabilidade'!$A$7:$A$500,'Parâmetros'!$B$4,'Importação Contabilidade'!$B$7:$B$500,$A37))</x:f>
      </x:c>
      <x:c r="N37" t="str">
        <x:f>IF($A37="","",SUMIFS('Importação Contabilidade'!$G$7:$G$500,'Importação Contabilidade'!$A$7:$A$500,'Parâmetros'!$B$4,'Importação Contabilidade'!$B$7:$B$500,$A37))</x:f>
      </x:c>
      <x:c r="Q37" t="str">
        <x:f>IF($A37="","",SUMIFS('Importação Contabilidade'!$H$7:$H$500,'Importação Contabilidade'!$A$7:$A$500,'Parâmetros'!$B$4,'Importação Contabilidade'!$B$7:$B$500,$A37))</x:f>
      </x:c>
      <x:c r="T37" t="str">
        <x:f>IF($A37="","",SUMIFS('Importação Contabilidade'!$I$7:$I$500,'Importação Contabilidade'!$A$7:$A$500,'Parâmetros'!$B$4,'Importação Contabilidade'!$B$7:$B$500,$A37))</x:f>
      </x:c>
      <x:c r="W37" t="str">
        <x:f>IF($A37="","",SUMIFS('Importação Contabilidade'!$J$7:$J$500,'Importação Contabilidade'!$A$7:$A$500,'Parâmetros'!$B$4,'Importação Contabilidade'!$B$7:$B$500,$A37))</x:f>
      </x:c>
      <x:c r="Z37" t="str">
        <x:f>IF($A37="","",SUMIFS('Importação Contabilidade'!$K$7:$K$500,'Importação Contabilidade'!$A$7:$A$500,'Parâmetros'!$B$4,'Importação Contabilidade'!$B$7:$B$500,$A37))</x:f>
      </x:c>
      <x:c r="AC37" t="str">
        <x:f>IF($A37="","",SUMIFS('Importação Contabilidade'!$L$7:$L$500,'Importação Contabilidade'!$A$7:$A$500,'Parâmetros'!$B$4,'Importação Contabilidade'!$B$7:$B$500,$A37))</x:f>
      </x:c>
      <x:c r="AF37" t="str">
        <x:f>IF($A37="","",SUMIFS('Importação Contabilidade'!$M$7:$M$500,'Importação Contabilidade'!$A$7:$A$500,'Parâmetros'!$B$4,'Importação Contabilidade'!$B$7:$B$500,$A37))</x:f>
      </x:c>
      <x:c r="AI37" t="str">
        <x:f>IF($A37="","",SUMIFS('Importação Contabilidade'!$N$7:$N$500,'Importação Contabilidade'!$A$7:$A$500,'Parâmetros'!$B$4,'Importação Contabilidade'!$B$7:$B$500,$A37))</x:f>
      </x:c>
      <x:c r="AL37" t="str">
        <x:f>IF($A37="","",SUMIFS('Importação Contabilidade'!$O$7:$O$500,'Importação Contabilidade'!$A$7:$A$500,'Parâmetros'!$B$4,'Importação Contabilidade'!$B$7:$B$500,$A37))</x:f>
      </x:c>
      <x:c r="AO37" t="str">
        <x:f>IF($A37="","",SUMIFS('Importação Contabilidade'!$P$7:$P$500,'Importação Contabilidade'!$A$7:$A$500,'Parâmetros'!$B$4,'Importação Contabilidade'!$B$7:$B$500,$A37))</x:f>
      </x:c>
      <x:c r="AR37" t="str">
        <x:f>IF($A37="","",SUMIFS('Importação Contabilidade'!$Q$7:$Q$500,'Importação Contabilidade'!$A$7:$A$500,'Parâmetros'!$B$4,'Importação Contabilidade'!$B$7:$B$500,$A37))</x:f>
      </x:c>
      <x:c r="AU37" t="str">
        <x:f>IF($A37="","",SUMIFS('Importação Contabilidade'!$R$7:$R$500,'Importação Contabilidade'!$A$7:$A$500,'Parâmetros'!$B$4,'Importação Contabilidade'!$B$7:$B$500,$A37))</x:f>
      </x:c>
      <x:c r="AX37" t="str">
        <x:f>IF($A37="","",SUMIFS('Importação Contabilidade'!$S$7:$S$500,'Importação Contabilidade'!$A$7:$A$500,'Parâmetros'!$B$4,'Importação Contabilidade'!$B$7:$B$500,$A37))</x:f>
      </x:c>
    </x:row>
    <x:row r="38">
      <x:c r="C38" t="str">
        <x:f>'Conferência'!AI34</x:f>
      </x:c>
      <x:c r="E38" t="str">
        <x:f>IF($A38="","",SUMIFS('Importação Contabilidade'!$D$7:$D$500,'Importação Contabilidade'!$A$7:$A$500,'Parâmetros'!$B$4,'Importação Contabilidade'!$B$7:$B$500,$A38))</x:f>
      </x:c>
      <x:c r="H38" t="str">
        <x:f>IF($A38="","",SUMIFS('Importação Contabilidade'!$E$7:$E$500,'Importação Contabilidade'!$A$7:$A$500,'Parâmetros'!$B$4,'Importação Contabilidade'!$B$7:$B$500,$A38))</x:f>
      </x:c>
      <x:c r="K38" t="str">
        <x:f>IF($A38="","",SUMIFS('Importação Contabilidade'!$F$7:$F$500,'Importação Contabilidade'!$A$7:$A$500,'Parâmetros'!$B$4,'Importação Contabilidade'!$B$7:$B$500,$A38))</x:f>
      </x:c>
      <x:c r="N38" t="str">
        <x:f>IF($A38="","",SUMIFS('Importação Contabilidade'!$G$7:$G$500,'Importação Contabilidade'!$A$7:$A$500,'Parâmetros'!$B$4,'Importação Contabilidade'!$B$7:$B$500,$A38))</x:f>
      </x:c>
      <x:c r="Q38" t="str">
        <x:f>IF($A38="","",SUMIFS('Importação Contabilidade'!$H$7:$H$500,'Importação Contabilidade'!$A$7:$A$500,'Parâmetros'!$B$4,'Importação Contabilidade'!$B$7:$B$500,$A38))</x:f>
      </x:c>
      <x:c r="T38" t="str">
        <x:f>IF($A38="","",SUMIFS('Importação Contabilidade'!$I$7:$I$500,'Importação Contabilidade'!$A$7:$A$500,'Parâmetros'!$B$4,'Importação Contabilidade'!$B$7:$B$500,$A38))</x:f>
      </x:c>
      <x:c r="W38" t="str">
        <x:f>IF($A38="","",SUMIFS('Importação Contabilidade'!$J$7:$J$500,'Importação Contabilidade'!$A$7:$A$500,'Parâmetros'!$B$4,'Importação Contabilidade'!$B$7:$B$500,$A38))</x:f>
      </x:c>
      <x:c r="Z38" t="str">
        <x:f>IF($A38="","",SUMIFS('Importação Contabilidade'!$K$7:$K$500,'Importação Contabilidade'!$A$7:$A$500,'Parâmetros'!$B$4,'Importação Contabilidade'!$B$7:$B$500,$A38))</x:f>
      </x:c>
      <x:c r="AC38" t="str">
        <x:f>IF($A38="","",SUMIFS('Importação Contabilidade'!$L$7:$L$500,'Importação Contabilidade'!$A$7:$A$500,'Parâmetros'!$B$4,'Importação Contabilidade'!$B$7:$B$500,$A38))</x:f>
      </x:c>
      <x:c r="AF38" t="str">
        <x:f>IF($A38="","",SUMIFS('Importação Contabilidade'!$M$7:$M$500,'Importação Contabilidade'!$A$7:$A$500,'Parâmetros'!$B$4,'Importação Contabilidade'!$B$7:$B$500,$A38))</x:f>
      </x:c>
      <x:c r="AI38" t="str">
        <x:f>IF($A38="","",SUMIFS('Importação Contabilidade'!$N$7:$N$500,'Importação Contabilidade'!$A$7:$A$500,'Parâmetros'!$B$4,'Importação Contabilidade'!$B$7:$B$500,$A38))</x:f>
      </x:c>
      <x:c r="AL38" t="str">
        <x:f>IF($A38="","",SUMIFS('Importação Contabilidade'!$O$7:$O$500,'Importação Contabilidade'!$A$7:$A$500,'Parâmetros'!$B$4,'Importação Contabilidade'!$B$7:$B$500,$A38))</x:f>
      </x:c>
      <x:c r="AO38" t="str">
        <x:f>IF($A38="","",SUMIFS('Importação Contabilidade'!$P$7:$P$500,'Importação Contabilidade'!$A$7:$A$500,'Parâmetros'!$B$4,'Importação Contabilidade'!$B$7:$B$500,$A38))</x:f>
      </x:c>
      <x:c r="AR38" t="str">
        <x:f>IF($A38="","",SUMIFS('Importação Contabilidade'!$Q$7:$Q$500,'Importação Contabilidade'!$A$7:$A$500,'Parâmetros'!$B$4,'Importação Contabilidade'!$B$7:$B$500,$A38))</x:f>
      </x:c>
      <x:c r="AU38" t="str">
        <x:f>IF($A38="","",SUMIFS('Importação Contabilidade'!$R$7:$R$500,'Importação Contabilidade'!$A$7:$A$500,'Parâmetros'!$B$4,'Importação Contabilidade'!$B$7:$B$500,$A38))</x:f>
      </x:c>
      <x:c r="AX38" t="str">
        <x:f>IF($A38="","",SUMIFS('Importação Contabilidade'!$S$7:$S$500,'Importação Contabilidade'!$A$7:$A$500,'Parâmetros'!$B$4,'Importação Contabilidade'!$B$7:$B$500,$A38))</x:f>
      </x:c>
    </x:row>
    <x:row r="39">
      <x:c r="C39" t="str">
        <x:f>'Conferência'!AI35</x:f>
      </x:c>
      <x:c r="E39" t="str">
        <x:f>IF($A39="","",SUMIFS('Importação Contabilidade'!$D$7:$D$500,'Importação Contabilidade'!$A$7:$A$500,'Parâmetros'!$B$4,'Importação Contabilidade'!$B$7:$B$500,$A39))</x:f>
      </x:c>
      <x:c r="H39" t="str">
        <x:f>IF($A39="","",SUMIFS('Importação Contabilidade'!$E$7:$E$500,'Importação Contabilidade'!$A$7:$A$500,'Parâmetros'!$B$4,'Importação Contabilidade'!$B$7:$B$500,$A39))</x:f>
      </x:c>
      <x:c r="K39" t="str">
        <x:f>IF($A39="","",SUMIFS('Importação Contabilidade'!$F$7:$F$500,'Importação Contabilidade'!$A$7:$A$500,'Parâmetros'!$B$4,'Importação Contabilidade'!$B$7:$B$500,$A39))</x:f>
      </x:c>
      <x:c r="N39" t="str">
        <x:f>IF($A39="","",SUMIFS('Importação Contabilidade'!$G$7:$G$500,'Importação Contabilidade'!$A$7:$A$500,'Parâmetros'!$B$4,'Importação Contabilidade'!$B$7:$B$500,$A39))</x:f>
      </x:c>
      <x:c r="Q39" t="str">
        <x:f>IF($A39="","",SUMIFS('Importação Contabilidade'!$H$7:$H$500,'Importação Contabilidade'!$A$7:$A$500,'Parâmetros'!$B$4,'Importação Contabilidade'!$B$7:$B$500,$A39))</x:f>
      </x:c>
      <x:c r="T39" t="str">
        <x:f>IF($A39="","",SUMIFS('Importação Contabilidade'!$I$7:$I$500,'Importação Contabilidade'!$A$7:$A$500,'Parâmetros'!$B$4,'Importação Contabilidade'!$B$7:$B$500,$A39))</x:f>
      </x:c>
      <x:c r="W39" t="str">
        <x:f>IF($A39="","",SUMIFS('Importação Contabilidade'!$J$7:$J$500,'Importação Contabilidade'!$A$7:$A$500,'Parâmetros'!$B$4,'Importação Contabilidade'!$B$7:$B$500,$A39))</x:f>
      </x:c>
      <x:c r="Z39" t="str">
        <x:f>IF($A39="","",SUMIFS('Importação Contabilidade'!$K$7:$K$500,'Importação Contabilidade'!$A$7:$A$500,'Parâmetros'!$B$4,'Importação Contabilidade'!$B$7:$B$500,$A39))</x:f>
      </x:c>
      <x:c r="AC39" t="str">
        <x:f>IF($A39="","",SUMIFS('Importação Contabilidade'!$L$7:$L$500,'Importação Contabilidade'!$A$7:$A$500,'Parâmetros'!$B$4,'Importação Contabilidade'!$B$7:$B$500,$A39))</x:f>
      </x:c>
      <x:c r="AF39" t="str">
        <x:f>IF($A39="","",SUMIFS('Importação Contabilidade'!$M$7:$M$500,'Importação Contabilidade'!$A$7:$A$500,'Parâmetros'!$B$4,'Importação Contabilidade'!$B$7:$B$500,$A39))</x:f>
      </x:c>
      <x:c r="AI39" t="str">
        <x:f>IF($A39="","",SUMIFS('Importação Contabilidade'!$N$7:$N$500,'Importação Contabilidade'!$A$7:$A$500,'Parâmetros'!$B$4,'Importação Contabilidade'!$B$7:$B$500,$A39))</x:f>
      </x:c>
      <x:c r="AL39" t="str">
        <x:f>IF($A39="","",SUMIFS('Importação Contabilidade'!$O$7:$O$500,'Importação Contabilidade'!$A$7:$A$500,'Parâmetros'!$B$4,'Importação Contabilidade'!$B$7:$B$500,$A39))</x:f>
      </x:c>
      <x:c r="AO39" t="str">
        <x:f>IF($A39="","",SUMIFS('Importação Contabilidade'!$P$7:$P$500,'Importação Contabilidade'!$A$7:$A$500,'Parâmetros'!$B$4,'Importação Contabilidade'!$B$7:$B$500,$A39))</x:f>
      </x:c>
      <x:c r="AR39" t="str">
        <x:f>IF($A39="","",SUMIFS('Importação Contabilidade'!$Q$7:$Q$500,'Importação Contabilidade'!$A$7:$A$500,'Parâmetros'!$B$4,'Importação Contabilidade'!$B$7:$B$500,$A39))</x:f>
      </x:c>
      <x:c r="AU39" t="str">
        <x:f>IF($A39="","",SUMIFS('Importação Contabilidade'!$R$7:$R$500,'Importação Contabilidade'!$A$7:$A$500,'Parâmetros'!$B$4,'Importação Contabilidade'!$B$7:$B$500,$A39))</x:f>
      </x:c>
      <x:c r="AX39" t="str">
        <x:f>IF($A39="","",SUMIFS('Importação Contabilidade'!$S$7:$S$500,'Importação Contabilidade'!$A$7:$A$500,'Parâmetros'!$B$4,'Importação Contabilidade'!$B$7:$B$500,$A39))</x:f>
      </x:c>
    </x:row>
    <x:row r="40">
      <x:c r="C40" t="str">
        <x:f>'Conferência'!AI36</x:f>
      </x:c>
      <x:c r="E40" t="str">
        <x:f>IF($A40="","",SUMIFS('Importação Contabilidade'!$D$7:$D$500,'Importação Contabilidade'!$A$7:$A$500,'Parâmetros'!$B$4,'Importação Contabilidade'!$B$7:$B$500,$A40))</x:f>
      </x:c>
      <x:c r="H40" t="str">
        <x:f>IF($A40="","",SUMIFS('Importação Contabilidade'!$E$7:$E$500,'Importação Contabilidade'!$A$7:$A$500,'Parâmetros'!$B$4,'Importação Contabilidade'!$B$7:$B$500,$A40))</x:f>
      </x:c>
      <x:c r="K40" t="str">
        <x:f>IF($A40="","",SUMIFS('Importação Contabilidade'!$F$7:$F$500,'Importação Contabilidade'!$A$7:$A$500,'Parâmetros'!$B$4,'Importação Contabilidade'!$B$7:$B$500,$A40))</x:f>
      </x:c>
      <x:c r="N40" t="str">
        <x:f>IF($A40="","",SUMIFS('Importação Contabilidade'!$G$7:$G$500,'Importação Contabilidade'!$A$7:$A$500,'Parâmetros'!$B$4,'Importação Contabilidade'!$B$7:$B$500,$A40))</x:f>
      </x:c>
      <x:c r="Q40" t="str">
        <x:f>IF($A40="","",SUMIFS('Importação Contabilidade'!$H$7:$H$500,'Importação Contabilidade'!$A$7:$A$500,'Parâmetros'!$B$4,'Importação Contabilidade'!$B$7:$B$500,$A40))</x:f>
      </x:c>
      <x:c r="T40" t="str">
        <x:f>IF($A40="","",SUMIFS('Importação Contabilidade'!$I$7:$I$500,'Importação Contabilidade'!$A$7:$A$500,'Parâmetros'!$B$4,'Importação Contabilidade'!$B$7:$B$500,$A40))</x:f>
      </x:c>
      <x:c r="W40" t="str">
        <x:f>IF($A40="","",SUMIFS('Importação Contabilidade'!$J$7:$J$500,'Importação Contabilidade'!$A$7:$A$500,'Parâmetros'!$B$4,'Importação Contabilidade'!$B$7:$B$500,$A40))</x:f>
      </x:c>
      <x:c r="Z40" t="str">
        <x:f>IF($A40="","",SUMIFS('Importação Contabilidade'!$K$7:$K$500,'Importação Contabilidade'!$A$7:$A$500,'Parâmetros'!$B$4,'Importação Contabilidade'!$B$7:$B$500,$A40))</x:f>
      </x:c>
      <x:c r="AC40" t="str">
        <x:f>IF($A40="","",SUMIFS('Importação Contabilidade'!$L$7:$L$500,'Importação Contabilidade'!$A$7:$A$500,'Parâmetros'!$B$4,'Importação Contabilidade'!$B$7:$B$500,$A40))</x:f>
      </x:c>
      <x:c r="AF40" t="str">
        <x:f>IF($A40="","",SUMIFS('Importação Contabilidade'!$M$7:$M$500,'Importação Contabilidade'!$A$7:$A$500,'Parâmetros'!$B$4,'Importação Contabilidade'!$B$7:$B$500,$A40))</x:f>
      </x:c>
      <x:c r="AI40" t="str">
        <x:f>IF($A40="","",SUMIFS('Importação Contabilidade'!$N$7:$N$500,'Importação Contabilidade'!$A$7:$A$500,'Parâmetros'!$B$4,'Importação Contabilidade'!$B$7:$B$500,$A40))</x:f>
      </x:c>
      <x:c r="AL40" t="str">
        <x:f>IF($A40="","",SUMIFS('Importação Contabilidade'!$O$7:$O$500,'Importação Contabilidade'!$A$7:$A$500,'Parâmetros'!$B$4,'Importação Contabilidade'!$B$7:$B$500,$A40))</x:f>
      </x:c>
      <x:c r="AO40" t="str">
        <x:f>IF($A40="","",SUMIFS('Importação Contabilidade'!$P$7:$P$500,'Importação Contabilidade'!$A$7:$A$500,'Parâmetros'!$B$4,'Importação Contabilidade'!$B$7:$B$500,$A40))</x:f>
      </x:c>
      <x:c r="AR40" t="str">
        <x:f>IF($A40="","",SUMIFS('Importação Contabilidade'!$Q$7:$Q$500,'Importação Contabilidade'!$A$7:$A$500,'Parâmetros'!$B$4,'Importação Contabilidade'!$B$7:$B$500,$A40))</x:f>
      </x:c>
      <x:c r="AU40" t="str">
        <x:f>IF($A40="","",SUMIFS('Importação Contabilidade'!$R$7:$R$500,'Importação Contabilidade'!$A$7:$A$500,'Parâmetros'!$B$4,'Importação Contabilidade'!$B$7:$B$500,$A40))</x:f>
      </x:c>
      <x:c r="AX40" t="str">
        <x:f>IF($A40="","",SUMIFS('Importação Contabilidade'!$S$7:$S$500,'Importação Contabilidade'!$A$7:$A$500,'Parâmetros'!$B$4,'Importação Contabilidade'!$B$7:$B$500,$A40))</x:f>
      </x:c>
    </x:row>
    <x:row r="41">
      <x:c r="C41" t="str">
        <x:f>'Conferência'!AI37</x:f>
      </x:c>
      <x:c r="E41" t="str">
        <x:f>IF($A41="","",SUMIFS('Importação Contabilidade'!$D$7:$D$500,'Importação Contabilidade'!$A$7:$A$500,'Parâmetros'!$B$4,'Importação Contabilidade'!$B$7:$B$500,$A41))</x:f>
      </x:c>
      <x:c r="H41" t="str">
        <x:f>IF($A41="","",SUMIFS('Importação Contabilidade'!$E$7:$E$500,'Importação Contabilidade'!$A$7:$A$500,'Parâmetros'!$B$4,'Importação Contabilidade'!$B$7:$B$500,$A41))</x:f>
      </x:c>
      <x:c r="K41" t="str">
        <x:f>IF($A41="","",SUMIFS('Importação Contabilidade'!$F$7:$F$500,'Importação Contabilidade'!$A$7:$A$500,'Parâmetros'!$B$4,'Importação Contabilidade'!$B$7:$B$500,$A41))</x:f>
      </x:c>
      <x:c r="N41" t="str">
        <x:f>IF($A41="","",SUMIFS('Importação Contabilidade'!$G$7:$G$500,'Importação Contabilidade'!$A$7:$A$500,'Parâmetros'!$B$4,'Importação Contabilidade'!$B$7:$B$500,$A41))</x:f>
      </x:c>
      <x:c r="Q41" t="str">
        <x:f>IF($A41="","",SUMIFS('Importação Contabilidade'!$H$7:$H$500,'Importação Contabilidade'!$A$7:$A$500,'Parâmetros'!$B$4,'Importação Contabilidade'!$B$7:$B$500,$A41))</x:f>
      </x:c>
      <x:c r="T41" t="str">
        <x:f>IF($A41="","",SUMIFS('Importação Contabilidade'!$I$7:$I$500,'Importação Contabilidade'!$A$7:$A$500,'Parâmetros'!$B$4,'Importação Contabilidade'!$B$7:$B$500,$A41))</x:f>
      </x:c>
      <x:c r="W41" t="str">
        <x:f>IF($A41="","",SUMIFS('Importação Contabilidade'!$J$7:$J$500,'Importação Contabilidade'!$A$7:$A$500,'Parâmetros'!$B$4,'Importação Contabilidade'!$B$7:$B$500,$A41))</x:f>
      </x:c>
      <x:c r="Z41" t="str">
        <x:f>IF($A41="","",SUMIFS('Importação Contabilidade'!$K$7:$K$500,'Importação Contabilidade'!$A$7:$A$500,'Parâmetros'!$B$4,'Importação Contabilidade'!$B$7:$B$500,$A41))</x:f>
      </x:c>
      <x:c r="AC41" t="str">
        <x:f>IF($A41="","",SUMIFS('Importação Contabilidade'!$L$7:$L$500,'Importação Contabilidade'!$A$7:$A$500,'Parâmetros'!$B$4,'Importação Contabilidade'!$B$7:$B$500,$A41))</x:f>
      </x:c>
      <x:c r="AF41" t="str">
        <x:f>IF($A41="","",SUMIFS('Importação Contabilidade'!$M$7:$M$500,'Importação Contabilidade'!$A$7:$A$500,'Parâmetros'!$B$4,'Importação Contabilidade'!$B$7:$B$500,$A41))</x:f>
      </x:c>
      <x:c r="AI41" t="str">
        <x:f>IF($A41="","",SUMIFS('Importação Contabilidade'!$N$7:$N$500,'Importação Contabilidade'!$A$7:$A$500,'Parâmetros'!$B$4,'Importação Contabilidade'!$B$7:$B$500,$A41))</x:f>
      </x:c>
      <x:c r="AL41" t="str">
        <x:f>IF($A41="","",SUMIFS('Importação Contabilidade'!$O$7:$O$500,'Importação Contabilidade'!$A$7:$A$500,'Parâmetros'!$B$4,'Importação Contabilidade'!$B$7:$B$500,$A41))</x:f>
      </x:c>
      <x:c r="AO41" t="str">
        <x:f>IF($A41="","",SUMIFS('Importação Contabilidade'!$P$7:$P$500,'Importação Contabilidade'!$A$7:$A$500,'Parâmetros'!$B$4,'Importação Contabilidade'!$B$7:$B$500,$A41))</x:f>
      </x:c>
      <x:c r="AR41" t="str">
        <x:f>IF($A41="","",SUMIFS('Importação Contabilidade'!$Q$7:$Q$500,'Importação Contabilidade'!$A$7:$A$500,'Parâmetros'!$B$4,'Importação Contabilidade'!$B$7:$B$500,$A41))</x:f>
      </x:c>
      <x:c r="AU41" t="str">
        <x:f>IF($A41="","",SUMIFS('Importação Contabilidade'!$R$7:$R$500,'Importação Contabilidade'!$A$7:$A$500,'Parâmetros'!$B$4,'Importação Contabilidade'!$B$7:$B$500,$A41))</x:f>
      </x:c>
      <x:c r="AX41" t="str">
        <x:f>IF($A41="","",SUMIFS('Importação Contabilidade'!$S$7:$S$500,'Importação Contabilidade'!$A$7:$A$500,'Parâmetros'!$B$4,'Importação Contabilidade'!$B$7:$B$500,$A41))</x:f>
      </x:c>
    </x:row>
    <x:row r="42">
      <x:c r="C42" t="str">
        <x:f>'Conferência'!AI38</x:f>
      </x:c>
      <x:c r="E42" t="str">
        <x:f>IF($A42="","",SUMIFS('Importação Contabilidade'!$D$7:$D$500,'Importação Contabilidade'!$A$7:$A$500,'Parâmetros'!$B$4,'Importação Contabilidade'!$B$7:$B$500,$A42))</x:f>
      </x:c>
      <x:c r="H42" t="str">
        <x:f>IF($A42="","",SUMIFS('Importação Contabilidade'!$E$7:$E$500,'Importação Contabilidade'!$A$7:$A$500,'Parâmetros'!$B$4,'Importação Contabilidade'!$B$7:$B$500,$A42))</x:f>
      </x:c>
      <x:c r="K42" t="str">
        <x:f>IF($A42="","",SUMIFS('Importação Contabilidade'!$F$7:$F$500,'Importação Contabilidade'!$A$7:$A$500,'Parâmetros'!$B$4,'Importação Contabilidade'!$B$7:$B$500,$A42))</x:f>
      </x:c>
      <x:c r="N42" t="str">
        <x:f>IF($A42="","",SUMIFS('Importação Contabilidade'!$G$7:$G$500,'Importação Contabilidade'!$A$7:$A$500,'Parâmetros'!$B$4,'Importação Contabilidade'!$B$7:$B$500,$A42))</x:f>
      </x:c>
      <x:c r="Q42" t="str">
        <x:f>IF($A42="","",SUMIFS('Importação Contabilidade'!$H$7:$H$500,'Importação Contabilidade'!$A$7:$A$500,'Parâmetros'!$B$4,'Importação Contabilidade'!$B$7:$B$500,$A42))</x:f>
      </x:c>
      <x:c r="T42" t="str">
        <x:f>IF($A42="","",SUMIFS('Importação Contabilidade'!$I$7:$I$500,'Importação Contabilidade'!$A$7:$A$500,'Parâmetros'!$B$4,'Importação Contabilidade'!$B$7:$B$500,$A42))</x:f>
      </x:c>
      <x:c r="W42" t="str">
        <x:f>IF($A42="","",SUMIFS('Importação Contabilidade'!$J$7:$J$500,'Importação Contabilidade'!$A$7:$A$500,'Parâmetros'!$B$4,'Importação Contabilidade'!$B$7:$B$500,$A42))</x:f>
      </x:c>
      <x:c r="Z42" t="str">
        <x:f>IF($A42="","",SUMIFS('Importação Contabilidade'!$K$7:$K$500,'Importação Contabilidade'!$A$7:$A$500,'Parâmetros'!$B$4,'Importação Contabilidade'!$B$7:$B$500,$A42))</x:f>
      </x:c>
      <x:c r="AC42" t="str">
        <x:f>IF($A42="","",SUMIFS('Importação Contabilidade'!$L$7:$L$500,'Importação Contabilidade'!$A$7:$A$500,'Parâmetros'!$B$4,'Importação Contabilidade'!$B$7:$B$500,$A42))</x:f>
      </x:c>
      <x:c r="AF42" t="str">
        <x:f>IF($A42="","",SUMIFS('Importação Contabilidade'!$M$7:$M$500,'Importação Contabilidade'!$A$7:$A$500,'Parâmetros'!$B$4,'Importação Contabilidade'!$B$7:$B$500,$A42))</x:f>
      </x:c>
      <x:c r="AI42" t="str">
        <x:f>IF($A42="","",SUMIFS('Importação Contabilidade'!$N$7:$N$500,'Importação Contabilidade'!$A$7:$A$500,'Parâmetros'!$B$4,'Importação Contabilidade'!$B$7:$B$500,$A42))</x:f>
      </x:c>
      <x:c r="AL42" t="str">
        <x:f>IF($A42="","",SUMIFS('Importação Contabilidade'!$O$7:$O$500,'Importação Contabilidade'!$A$7:$A$500,'Parâmetros'!$B$4,'Importação Contabilidade'!$B$7:$B$500,$A42))</x:f>
      </x:c>
      <x:c r="AO42" t="str">
        <x:f>IF($A42="","",SUMIFS('Importação Contabilidade'!$P$7:$P$500,'Importação Contabilidade'!$A$7:$A$500,'Parâmetros'!$B$4,'Importação Contabilidade'!$B$7:$B$500,$A42))</x:f>
      </x:c>
      <x:c r="AR42" t="str">
        <x:f>IF($A42="","",SUMIFS('Importação Contabilidade'!$Q$7:$Q$500,'Importação Contabilidade'!$A$7:$A$500,'Parâmetros'!$B$4,'Importação Contabilidade'!$B$7:$B$500,$A42))</x:f>
      </x:c>
      <x:c r="AU42" t="str">
        <x:f>IF($A42="","",SUMIFS('Importação Contabilidade'!$R$7:$R$500,'Importação Contabilidade'!$A$7:$A$500,'Parâmetros'!$B$4,'Importação Contabilidade'!$B$7:$B$500,$A42))</x:f>
      </x:c>
      <x:c r="AX42" t="str">
        <x:f>IF($A42="","",SUMIFS('Importação Contabilidade'!$S$7:$S$500,'Importação Contabilidade'!$A$7:$A$500,'Parâmetros'!$B$4,'Importação Contabilidade'!$B$7:$B$500,$A42))</x:f>
      </x:c>
    </x:row>
    <x:row r="43">
      <x:c r="C43" t="str">
        <x:f>'Conferência'!AI39</x:f>
      </x:c>
      <x:c r="E43" t="str">
        <x:f>IF($A43="","",SUMIFS('Importação Contabilidade'!$D$7:$D$500,'Importação Contabilidade'!$A$7:$A$500,'Parâmetros'!$B$4,'Importação Contabilidade'!$B$7:$B$500,$A43))</x:f>
      </x:c>
      <x:c r="H43" t="str">
        <x:f>IF($A43="","",SUMIFS('Importação Contabilidade'!$E$7:$E$500,'Importação Contabilidade'!$A$7:$A$500,'Parâmetros'!$B$4,'Importação Contabilidade'!$B$7:$B$500,$A43))</x:f>
      </x:c>
      <x:c r="K43" t="str">
        <x:f>IF($A43="","",SUMIFS('Importação Contabilidade'!$F$7:$F$500,'Importação Contabilidade'!$A$7:$A$500,'Parâmetros'!$B$4,'Importação Contabilidade'!$B$7:$B$500,$A43))</x:f>
      </x:c>
      <x:c r="N43" t="str">
        <x:f>IF($A43="","",SUMIFS('Importação Contabilidade'!$G$7:$G$500,'Importação Contabilidade'!$A$7:$A$500,'Parâmetros'!$B$4,'Importação Contabilidade'!$B$7:$B$500,$A43))</x:f>
      </x:c>
      <x:c r="Q43" t="str">
        <x:f>IF($A43="","",SUMIFS('Importação Contabilidade'!$H$7:$H$500,'Importação Contabilidade'!$A$7:$A$500,'Parâmetros'!$B$4,'Importação Contabilidade'!$B$7:$B$500,$A43))</x:f>
      </x:c>
      <x:c r="T43" t="str">
        <x:f>IF($A43="","",SUMIFS('Importação Contabilidade'!$I$7:$I$500,'Importação Contabilidade'!$A$7:$A$500,'Parâmetros'!$B$4,'Importação Contabilidade'!$B$7:$B$500,$A43))</x:f>
      </x:c>
      <x:c r="W43" t="str">
        <x:f>IF($A43="","",SUMIFS('Importação Contabilidade'!$J$7:$J$500,'Importação Contabilidade'!$A$7:$A$500,'Parâmetros'!$B$4,'Importação Contabilidade'!$B$7:$B$500,$A43))</x:f>
      </x:c>
      <x:c r="Z43" t="str">
        <x:f>IF($A43="","",SUMIFS('Importação Contabilidade'!$K$7:$K$500,'Importação Contabilidade'!$A$7:$A$500,'Parâmetros'!$B$4,'Importação Contabilidade'!$B$7:$B$500,$A43))</x:f>
      </x:c>
      <x:c r="AC43" t="str">
        <x:f>IF($A43="","",SUMIFS('Importação Contabilidade'!$L$7:$L$500,'Importação Contabilidade'!$A$7:$A$500,'Parâmetros'!$B$4,'Importação Contabilidade'!$B$7:$B$500,$A43))</x:f>
      </x:c>
      <x:c r="AF43" t="str">
        <x:f>IF($A43="","",SUMIFS('Importação Contabilidade'!$M$7:$M$500,'Importação Contabilidade'!$A$7:$A$500,'Parâmetros'!$B$4,'Importação Contabilidade'!$B$7:$B$500,$A43))</x:f>
      </x:c>
      <x:c r="AI43" t="str">
        <x:f>IF($A43="","",SUMIFS('Importação Contabilidade'!$N$7:$N$500,'Importação Contabilidade'!$A$7:$A$500,'Parâmetros'!$B$4,'Importação Contabilidade'!$B$7:$B$500,$A43))</x:f>
      </x:c>
      <x:c r="AL43" t="str">
        <x:f>IF($A43="","",SUMIFS('Importação Contabilidade'!$O$7:$O$500,'Importação Contabilidade'!$A$7:$A$500,'Parâmetros'!$B$4,'Importação Contabilidade'!$B$7:$B$500,$A43))</x:f>
      </x:c>
      <x:c r="AO43" t="str">
        <x:f>IF($A43="","",SUMIFS('Importação Contabilidade'!$P$7:$P$500,'Importação Contabilidade'!$A$7:$A$500,'Parâmetros'!$B$4,'Importação Contabilidade'!$B$7:$B$500,$A43))</x:f>
      </x:c>
      <x:c r="AR43" t="str">
        <x:f>IF($A43="","",SUMIFS('Importação Contabilidade'!$Q$7:$Q$500,'Importação Contabilidade'!$A$7:$A$500,'Parâmetros'!$B$4,'Importação Contabilidade'!$B$7:$B$500,$A43))</x:f>
      </x:c>
      <x:c r="AU43" t="str">
        <x:f>IF($A43="","",SUMIFS('Importação Contabilidade'!$R$7:$R$500,'Importação Contabilidade'!$A$7:$A$500,'Parâmetros'!$B$4,'Importação Contabilidade'!$B$7:$B$500,$A43))</x:f>
      </x:c>
      <x:c r="AX43" t="str">
        <x:f>IF($A43="","",SUMIFS('Importação Contabilidade'!$S$7:$S$500,'Importação Contabilidade'!$A$7:$A$500,'Parâmetros'!$B$4,'Importação Contabilidade'!$B$7:$B$500,$A43))</x:f>
      </x:c>
    </x:row>
    <x:row r="44">
      <x:c r="C44" t="str">
        <x:f>'Conferência'!AI40</x:f>
      </x:c>
      <x:c r="E44" t="str">
        <x:f>IF($A44="","",SUMIFS('Importação Contabilidade'!$D$7:$D$500,'Importação Contabilidade'!$A$7:$A$500,'Parâmetros'!$B$4,'Importação Contabilidade'!$B$7:$B$500,$A44))</x:f>
      </x:c>
      <x:c r="H44" t="str">
        <x:f>IF($A44="","",SUMIFS('Importação Contabilidade'!$E$7:$E$500,'Importação Contabilidade'!$A$7:$A$500,'Parâmetros'!$B$4,'Importação Contabilidade'!$B$7:$B$500,$A44))</x:f>
      </x:c>
      <x:c r="K44" t="str">
        <x:f>IF($A44="","",SUMIFS('Importação Contabilidade'!$F$7:$F$500,'Importação Contabilidade'!$A$7:$A$500,'Parâmetros'!$B$4,'Importação Contabilidade'!$B$7:$B$500,$A44))</x:f>
      </x:c>
      <x:c r="N44" t="str">
        <x:f>IF($A44="","",SUMIFS('Importação Contabilidade'!$G$7:$G$500,'Importação Contabilidade'!$A$7:$A$500,'Parâmetros'!$B$4,'Importação Contabilidade'!$B$7:$B$500,$A44))</x:f>
      </x:c>
      <x:c r="Q44" t="str">
        <x:f>IF($A44="","",SUMIFS('Importação Contabilidade'!$H$7:$H$500,'Importação Contabilidade'!$A$7:$A$500,'Parâmetros'!$B$4,'Importação Contabilidade'!$B$7:$B$500,$A44))</x:f>
      </x:c>
      <x:c r="T44" t="str">
        <x:f>IF($A44="","",SUMIFS('Importação Contabilidade'!$I$7:$I$500,'Importação Contabilidade'!$A$7:$A$500,'Parâmetros'!$B$4,'Importação Contabilidade'!$B$7:$B$500,$A44))</x:f>
      </x:c>
      <x:c r="W44" t="str">
        <x:f>IF($A44="","",SUMIFS('Importação Contabilidade'!$J$7:$J$500,'Importação Contabilidade'!$A$7:$A$500,'Parâmetros'!$B$4,'Importação Contabilidade'!$B$7:$B$500,$A44))</x:f>
      </x:c>
      <x:c r="Z44" t="str">
        <x:f>IF($A44="","",SUMIFS('Importação Contabilidade'!$K$7:$K$500,'Importação Contabilidade'!$A$7:$A$500,'Parâmetros'!$B$4,'Importação Contabilidade'!$B$7:$B$500,$A44))</x:f>
      </x:c>
      <x:c r="AC44" t="str">
        <x:f>IF($A44="","",SUMIFS('Importação Contabilidade'!$L$7:$L$500,'Importação Contabilidade'!$A$7:$A$500,'Parâmetros'!$B$4,'Importação Contabilidade'!$B$7:$B$500,$A44))</x:f>
      </x:c>
      <x:c r="AF44" t="str">
        <x:f>IF($A44="","",SUMIFS('Importação Contabilidade'!$M$7:$M$500,'Importação Contabilidade'!$A$7:$A$500,'Parâmetros'!$B$4,'Importação Contabilidade'!$B$7:$B$500,$A44))</x:f>
      </x:c>
      <x:c r="AI44" t="str">
        <x:f>IF($A44="","",SUMIFS('Importação Contabilidade'!$N$7:$N$500,'Importação Contabilidade'!$A$7:$A$500,'Parâmetros'!$B$4,'Importação Contabilidade'!$B$7:$B$500,$A44))</x:f>
      </x:c>
      <x:c r="AL44" t="str">
        <x:f>IF($A44="","",SUMIFS('Importação Contabilidade'!$O$7:$O$500,'Importação Contabilidade'!$A$7:$A$500,'Parâmetros'!$B$4,'Importação Contabilidade'!$B$7:$B$500,$A44))</x:f>
      </x:c>
      <x:c r="AO44" t="str">
        <x:f>IF($A44="","",SUMIFS('Importação Contabilidade'!$P$7:$P$500,'Importação Contabilidade'!$A$7:$A$500,'Parâmetros'!$B$4,'Importação Contabilidade'!$B$7:$B$500,$A44))</x:f>
      </x:c>
      <x:c r="AR44" t="str">
        <x:f>IF($A44="","",SUMIFS('Importação Contabilidade'!$Q$7:$Q$500,'Importação Contabilidade'!$A$7:$A$500,'Parâmetros'!$B$4,'Importação Contabilidade'!$B$7:$B$500,$A44))</x:f>
      </x:c>
      <x:c r="AU44" t="str">
        <x:f>IF($A44="","",SUMIFS('Importação Contabilidade'!$R$7:$R$500,'Importação Contabilidade'!$A$7:$A$500,'Parâmetros'!$B$4,'Importação Contabilidade'!$B$7:$B$500,$A44))</x:f>
      </x:c>
      <x:c r="AX44" t="str">
        <x:f>IF($A44="","",SUMIFS('Importação Contabilidade'!$S$7:$S$500,'Importação Contabilidade'!$A$7:$A$500,'Parâmetros'!$B$4,'Importação Contabilidade'!$B$7:$B$500,$A44))</x:f>
      </x:c>
    </x:row>
    <x:row r="45">
      <x:c r="C45" t="str">
        <x:f>'Conferência'!AI41</x:f>
      </x:c>
      <x:c r="E45" t="str">
        <x:f>IF($A45="","",SUMIFS('Importação Contabilidade'!$D$7:$D$500,'Importação Contabilidade'!$A$7:$A$500,'Parâmetros'!$B$4,'Importação Contabilidade'!$B$7:$B$500,$A45))</x:f>
      </x:c>
      <x:c r="H45" t="str">
        <x:f>IF($A45="","",SUMIFS('Importação Contabilidade'!$E$7:$E$500,'Importação Contabilidade'!$A$7:$A$500,'Parâmetros'!$B$4,'Importação Contabilidade'!$B$7:$B$500,$A45))</x:f>
      </x:c>
      <x:c r="K45" t="str">
        <x:f>IF($A45="","",SUMIFS('Importação Contabilidade'!$F$7:$F$500,'Importação Contabilidade'!$A$7:$A$500,'Parâmetros'!$B$4,'Importação Contabilidade'!$B$7:$B$500,$A45))</x:f>
      </x:c>
      <x:c r="N45" t="str">
        <x:f>IF($A45="","",SUMIFS('Importação Contabilidade'!$G$7:$G$500,'Importação Contabilidade'!$A$7:$A$500,'Parâmetros'!$B$4,'Importação Contabilidade'!$B$7:$B$500,$A45))</x:f>
      </x:c>
      <x:c r="Q45" t="str">
        <x:f>IF($A45="","",SUMIFS('Importação Contabilidade'!$H$7:$H$500,'Importação Contabilidade'!$A$7:$A$500,'Parâmetros'!$B$4,'Importação Contabilidade'!$B$7:$B$500,$A45))</x:f>
      </x:c>
      <x:c r="T45" t="str">
        <x:f>IF($A45="","",SUMIFS('Importação Contabilidade'!$I$7:$I$500,'Importação Contabilidade'!$A$7:$A$500,'Parâmetros'!$B$4,'Importação Contabilidade'!$B$7:$B$500,$A45))</x:f>
      </x:c>
      <x:c r="W45" t="str">
        <x:f>IF($A45="","",SUMIFS('Importação Contabilidade'!$J$7:$J$500,'Importação Contabilidade'!$A$7:$A$500,'Parâmetros'!$B$4,'Importação Contabilidade'!$B$7:$B$500,$A45))</x:f>
      </x:c>
      <x:c r="Z45" t="str">
        <x:f>IF($A45="","",SUMIFS('Importação Contabilidade'!$K$7:$K$500,'Importação Contabilidade'!$A$7:$A$500,'Parâmetros'!$B$4,'Importação Contabilidade'!$B$7:$B$500,$A45))</x:f>
      </x:c>
      <x:c r="AC45" t="str">
        <x:f>IF($A45="","",SUMIFS('Importação Contabilidade'!$L$7:$L$500,'Importação Contabilidade'!$A$7:$A$500,'Parâmetros'!$B$4,'Importação Contabilidade'!$B$7:$B$500,$A45))</x:f>
      </x:c>
      <x:c r="AF45" t="str">
        <x:f>IF($A45="","",SUMIFS('Importação Contabilidade'!$M$7:$M$500,'Importação Contabilidade'!$A$7:$A$500,'Parâmetros'!$B$4,'Importação Contabilidade'!$B$7:$B$500,$A45))</x:f>
      </x:c>
      <x:c r="AI45" t="str">
        <x:f>IF($A45="","",SUMIFS('Importação Contabilidade'!$N$7:$N$500,'Importação Contabilidade'!$A$7:$A$500,'Parâmetros'!$B$4,'Importação Contabilidade'!$B$7:$B$500,$A45))</x:f>
      </x:c>
      <x:c r="AL45" t="str">
        <x:f>IF($A45="","",SUMIFS('Importação Contabilidade'!$O$7:$O$500,'Importação Contabilidade'!$A$7:$A$500,'Parâmetros'!$B$4,'Importação Contabilidade'!$B$7:$B$500,$A45))</x:f>
      </x:c>
      <x:c r="AO45" t="str">
        <x:f>IF($A45="","",SUMIFS('Importação Contabilidade'!$P$7:$P$500,'Importação Contabilidade'!$A$7:$A$500,'Parâmetros'!$B$4,'Importação Contabilidade'!$B$7:$B$500,$A45))</x:f>
      </x:c>
      <x:c r="AR45" t="str">
        <x:f>IF($A45="","",SUMIFS('Importação Contabilidade'!$Q$7:$Q$500,'Importação Contabilidade'!$A$7:$A$500,'Parâmetros'!$B$4,'Importação Contabilidade'!$B$7:$B$500,$A45))</x:f>
      </x:c>
      <x:c r="AU45" t="str">
        <x:f>IF($A45="","",SUMIFS('Importação Contabilidade'!$R$7:$R$500,'Importação Contabilidade'!$A$7:$A$500,'Parâmetros'!$B$4,'Importação Contabilidade'!$B$7:$B$500,$A45))</x:f>
      </x:c>
      <x:c r="AX45" t="str">
        <x:f>IF($A45="","",SUMIFS('Importação Contabilidade'!$S$7:$S$500,'Importação Contabilidade'!$A$7:$A$500,'Parâmetros'!$B$4,'Importação Contabilidade'!$B$7:$B$500,$A45))</x:f>
      </x:c>
    </x:row>
    <x:row r="46">
      <x:c r="C46" t="str">
        <x:f>'Conferência'!AI42</x:f>
      </x:c>
      <x:c r="E46" t="str">
        <x:f>IF($A46="","",SUMIFS('Importação Contabilidade'!$D$7:$D$500,'Importação Contabilidade'!$A$7:$A$500,'Parâmetros'!$B$4,'Importação Contabilidade'!$B$7:$B$500,$A46))</x:f>
      </x:c>
      <x:c r="H46" t="str">
        <x:f>IF($A46="","",SUMIFS('Importação Contabilidade'!$E$7:$E$500,'Importação Contabilidade'!$A$7:$A$500,'Parâmetros'!$B$4,'Importação Contabilidade'!$B$7:$B$500,$A46))</x:f>
      </x:c>
      <x:c r="K46" t="str">
        <x:f>IF($A46="","",SUMIFS('Importação Contabilidade'!$F$7:$F$500,'Importação Contabilidade'!$A$7:$A$500,'Parâmetros'!$B$4,'Importação Contabilidade'!$B$7:$B$500,$A46))</x:f>
      </x:c>
      <x:c r="N46" t="str">
        <x:f>IF($A46="","",SUMIFS('Importação Contabilidade'!$G$7:$G$500,'Importação Contabilidade'!$A$7:$A$500,'Parâmetros'!$B$4,'Importação Contabilidade'!$B$7:$B$500,$A46))</x:f>
      </x:c>
      <x:c r="Q46" t="str">
        <x:f>IF($A46="","",SUMIFS('Importação Contabilidade'!$H$7:$H$500,'Importação Contabilidade'!$A$7:$A$500,'Parâmetros'!$B$4,'Importação Contabilidade'!$B$7:$B$500,$A46))</x:f>
      </x:c>
      <x:c r="T46" t="str">
        <x:f>IF($A46="","",SUMIFS('Importação Contabilidade'!$I$7:$I$500,'Importação Contabilidade'!$A$7:$A$500,'Parâmetros'!$B$4,'Importação Contabilidade'!$B$7:$B$500,$A46))</x:f>
      </x:c>
      <x:c r="W46" t="str">
        <x:f>IF($A46="","",SUMIFS('Importação Contabilidade'!$J$7:$J$500,'Importação Contabilidade'!$A$7:$A$500,'Parâmetros'!$B$4,'Importação Contabilidade'!$B$7:$B$500,$A46))</x:f>
      </x:c>
      <x:c r="Z46" t="str">
        <x:f>IF($A46="","",SUMIFS('Importação Contabilidade'!$K$7:$K$500,'Importação Contabilidade'!$A$7:$A$500,'Parâmetros'!$B$4,'Importação Contabilidade'!$B$7:$B$500,$A46))</x:f>
      </x:c>
      <x:c r="AC46" t="str">
        <x:f>IF($A46="","",SUMIFS('Importação Contabilidade'!$L$7:$L$500,'Importação Contabilidade'!$A$7:$A$500,'Parâmetros'!$B$4,'Importação Contabilidade'!$B$7:$B$500,$A46))</x:f>
      </x:c>
      <x:c r="AF46" t="str">
        <x:f>IF($A46="","",SUMIFS('Importação Contabilidade'!$M$7:$M$500,'Importação Contabilidade'!$A$7:$A$500,'Parâmetros'!$B$4,'Importação Contabilidade'!$B$7:$B$500,$A46))</x:f>
      </x:c>
      <x:c r="AI46" t="str">
        <x:f>IF($A46="","",SUMIFS('Importação Contabilidade'!$N$7:$N$500,'Importação Contabilidade'!$A$7:$A$500,'Parâmetros'!$B$4,'Importação Contabilidade'!$B$7:$B$500,$A46))</x:f>
      </x:c>
      <x:c r="AL46" t="str">
        <x:f>IF($A46="","",SUMIFS('Importação Contabilidade'!$O$7:$O$500,'Importação Contabilidade'!$A$7:$A$500,'Parâmetros'!$B$4,'Importação Contabilidade'!$B$7:$B$500,$A46))</x:f>
      </x:c>
      <x:c r="AO46" t="str">
        <x:f>IF($A46="","",SUMIFS('Importação Contabilidade'!$P$7:$P$500,'Importação Contabilidade'!$A$7:$A$500,'Parâmetros'!$B$4,'Importação Contabilidade'!$B$7:$B$500,$A46))</x:f>
      </x:c>
      <x:c r="AR46" t="str">
        <x:f>IF($A46="","",SUMIFS('Importação Contabilidade'!$Q$7:$Q$500,'Importação Contabilidade'!$A$7:$A$500,'Parâmetros'!$B$4,'Importação Contabilidade'!$B$7:$B$500,$A46))</x:f>
      </x:c>
      <x:c r="AU46" t="str">
        <x:f>IF($A46="","",SUMIFS('Importação Contabilidade'!$R$7:$R$500,'Importação Contabilidade'!$A$7:$A$500,'Parâmetros'!$B$4,'Importação Contabilidade'!$B$7:$B$500,$A46))</x:f>
      </x:c>
      <x:c r="AX46" t="str">
        <x:f>IF($A46="","",SUMIFS('Importação Contabilidade'!$S$7:$S$500,'Importação Contabilidade'!$A$7:$A$500,'Parâmetros'!$B$4,'Importação Contabilidade'!$B$7:$B$500,$A46))</x:f>
      </x:c>
    </x:row>
    <x:row r="47">
      <x:c r="C47" t="str">
        <x:f>'Conferência'!AI43</x:f>
      </x:c>
      <x:c r="E47" t="str">
        <x:f>IF($A47="","",SUMIFS('Importação Contabilidade'!$D$7:$D$500,'Importação Contabilidade'!$A$7:$A$500,'Parâmetros'!$B$4,'Importação Contabilidade'!$B$7:$B$500,$A47))</x:f>
      </x:c>
      <x:c r="H47" t="str">
        <x:f>IF($A47="","",SUMIFS('Importação Contabilidade'!$E$7:$E$500,'Importação Contabilidade'!$A$7:$A$500,'Parâmetros'!$B$4,'Importação Contabilidade'!$B$7:$B$500,$A47))</x:f>
      </x:c>
      <x:c r="K47" t="str">
        <x:f>IF($A47="","",SUMIFS('Importação Contabilidade'!$F$7:$F$500,'Importação Contabilidade'!$A$7:$A$500,'Parâmetros'!$B$4,'Importação Contabilidade'!$B$7:$B$500,$A47))</x:f>
      </x:c>
      <x:c r="N47" t="str">
        <x:f>IF($A47="","",SUMIFS('Importação Contabilidade'!$G$7:$G$500,'Importação Contabilidade'!$A$7:$A$500,'Parâmetros'!$B$4,'Importação Contabilidade'!$B$7:$B$500,$A47))</x:f>
      </x:c>
      <x:c r="Q47" t="str">
        <x:f>IF($A47="","",SUMIFS('Importação Contabilidade'!$H$7:$H$500,'Importação Contabilidade'!$A$7:$A$500,'Parâmetros'!$B$4,'Importação Contabilidade'!$B$7:$B$500,$A47))</x:f>
      </x:c>
      <x:c r="T47" t="str">
        <x:f>IF($A47="","",SUMIFS('Importação Contabilidade'!$I$7:$I$500,'Importação Contabilidade'!$A$7:$A$500,'Parâmetros'!$B$4,'Importação Contabilidade'!$B$7:$B$500,$A47))</x:f>
      </x:c>
      <x:c r="W47" t="str">
        <x:f>IF($A47="","",SUMIFS('Importação Contabilidade'!$J$7:$J$500,'Importação Contabilidade'!$A$7:$A$500,'Parâmetros'!$B$4,'Importação Contabilidade'!$B$7:$B$500,$A47))</x:f>
      </x:c>
      <x:c r="Z47" t="str">
        <x:f>IF($A47="","",SUMIFS('Importação Contabilidade'!$K$7:$K$500,'Importação Contabilidade'!$A$7:$A$500,'Parâmetros'!$B$4,'Importação Contabilidade'!$B$7:$B$500,$A47))</x:f>
      </x:c>
      <x:c r="AC47" t="str">
        <x:f>IF($A47="","",SUMIFS('Importação Contabilidade'!$L$7:$L$500,'Importação Contabilidade'!$A$7:$A$500,'Parâmetros'!$B$4,'Importação Contabilidade'!$B$7:$B$500,$A47))</x:f>
      </x:c>
      <x:c r="AF47" t="str">
        <x:f>IF($A47="","",SUMIFS('Importação Contabilidade'!$M$7:$M$500,'Importação Contabilidade'!$A$7:$A$500,'Parâmetros'!$B$4,'Importação Contabilidade'!$B$7:$B$500,$A47))</x:f>
      </x:c>
      <x:c r="AI47" t="str">
        <x:f>IF($A47="","",SUMIFS('Importação Contabilidade'!$N$7:$N$500,'Importação Contabilidade'!$A$7:$A$500,'Parâmetros'!$B$4,'Importação Contabilidade'!$B$7:$B$500,$A47))</x:f>
      </x:c>
      <x:c r="AL47" t="str">
        <x:f>IF($A47="","",SUMIFS('Importação Contabilidade'!$O$7:$O$500,'Importação Contabilidade'!$A$7:$A$500,'Parâmetros'!$B$4,'Importação Contabilidade'!$B$7:$B$500,$A47))</x:f>
      </x:c>
      <x:c r="AO47" t="str">
        <x:f>IF($A47="","",SUMIFS('Importação Contabilidade'!$P$7:$P$500,'Importação Contabilidade'!$A$7:$A$500,'Parâmetros'!$B$4,'Importação Contabilidade'!$B$7:$B$500,$A47))</x:f>
      </x:c>
      <x:c r="AR47" t="str">
        <x:f>IF($A47="","",SUMIFS('Importação Contabilidade'!$Q$7:$Q$500,'Importação Contabilidade'!$A$7:$A$500,'Parâmetros'!$B$4,'Importação Contabilidade'!$B$7:$B$500,$A47))</x:f>
      </x:c>
      <x:c r="AU47" t="str">
        <x:f>IF($A47="","",SUMIFS('Importação Contabilidade'!$R$7:$R$500,'Importação Contabilidade'!$A$7:$A$500,'Parâmetros'!$B$4,'Importação Contabilidade'!$B$7:$B$500,$A47))</x:f>
      </x:c>
      <x:c r="AX47" t="str">
        <x:f>IF($A47="","",SUMIFS('Importação Contabilidade'!$S$7:$S$500,'Importação Contabilidade'!$A$7:$A$500,'Parâmetros'!$B$4,'Importação Contabilidade'!$B$7:$B$500,$A47))</x:f>
      </x:c>
    </x:row>
    <x:row r="48">
      <x:c r="C48" t="str">
        <x:f>'Conferência'!AI44</x:f>
      </x:c>
      <x:c r="E48" t="str">
        <x:f>IF($A48="","",SUMIFS('Importação Contabilidade'!$D$7:$D$500,'Importação Contabilidade'!$A$7:$A$500,'Parâmetros'!$B$4,'Importação Contabilidade'!$B$7:$B$500,$A48))</x:f>
      </x:c>
      <x:c r="H48" t="str">
        <x:f>IF($A48="","",SUMIFS('Importação Contabilidade'!$E$7:$E$500,'Importação Contabilidade'!$A$7:$A$500,'Parâmetros'!$B$4,'Importação Contabilidade'!$B$7:$B$500,$A48))</x:f>
      </x:c>
      <x:c r="K48" t="str">
        <x:f>IF($A48="","",SUMIFS('Importação Contabilidade'!$F$7:$F$500,'Importação Contabilidade'!$A$7:$A$500,'Parâmetros'!$B$4,'Importação Contabilidade'!$B$7:$B$500,$A48))</x:f>
      </x:c>
      <x:c r="N48" t="str">
        <x:f>IF($A48="","",SUMIFS('Importação Contabilidade'!$G$7:$G$500,'Importação Contabilidade'!$A$7:$A$500,'Parâmetros'!$B$4,'Importação Contabilidade'!$B$7:$B$500,$A48))</x:f>
      </x:c>
      <x:c r="Q48" t="str">
        <x:f>IF($A48="","",SUMIFS('Importação Contabilidade'!$H$7:$H$500,'Importação Contabilidade'!$A$7:$A$500,'Parâmetros'!$B$4,'Importação Contabilidade'!$B$7:$B$500,$A48))</x:f>
      </x:c>
      <x:c r="T48" t="str">
        <x:f>IF($A48="","",SUMIFS('Importação Contabilidade'!$I$7:$I$500,'Importação Contabilidade'!$A$7:$A$500,'Parâmetros'!$B$4,'Importação Contabilidade'!$B$7:$B$500,$A48))</x:f>
      </x:c>
      <x:c r="W48" t="str">
        <x:f>IF($A48="","",SUMIFS('Importação Contabilidade'!$J$7:$J$500,'Importação Contabilidade'!$A$7:$A$500,'Parâmetros'!$B$4,'Importação Contabilidade'!$B$7:$B$500,$A48))</x:f>
      </x:c>
      <x:c r="Z48" t="str">
        <x:f>IF($A48="","",SUMIFS('Importação Contabilidade'!$K$7:$K$500,'Importação Contabilidade'!$A$7:$A$500,'Parâmetros'!$B$4,'Importação Contabilidade'!$B$7:$B$500,$A48))</x:f>
      </x:c>
      <x:c r="AC48" t="str">
        <x:f>IF($A48="","",SUMIFS('Importação Contabilidade'!$L$7:$L$500,'Importação Contabilidade'!$A$7:$A$500,'Parâmetros'!$B$4,'Importação Contabilidade'!$B$7:$B$500,$A48))</x:f>
      </x:c>
      <x:c r="AF48" t="str">
        <x:f>IF($A48="","",SUMIFS('Importação Contabilidade'!$M$7:$M$500,'Importação Contabilidade'!$A$7:$A$500,'Parâmetros'!$B$4,'Importação Contabilidade'!$B$7:$B$500,$A48))</x:f>
      </x:c>
      <x:c r="AI48" t="str">
        <x:f>IF($A48="","",SUMIFS('Importação Contabilidade'!$N$7:$N$500,'Importação Contabilidade'!$A$7:$A$500,'Parâmetros'!$B$4,'Importação Contabilidade'!$B$7:$B$500,$A48))</x:f>
      </x:c>
      <x:c r="AL48" t="str">
        <x:f>IF($A48="","",SUMIFS('Importação Contabilidade'!$O$7:$O$500,'Importação Contabilidade'!$A$7:$A$500,'Parâmetros'!$B$4,'Importação Contabilidade'!$B$7:$B$500,$A48))</x:f>
      </x:c>
      <x:c r="AO48" t="str">
        <x:f>IF($A48="","",SUMIFS('Importação Contabilidade'!$P$7:$P$500,'Importação Contabilidade'!$A$7:$A$500,'Parâmetros'!$B$4,'Importação Contabilidade'!$B$7:$B$500,$A48))</x:f>
      </x:c>
      <x:c r="AR48" t="str">
        <x:f>IF($A48="","",SUMIFS('Importação Contabilidade'!$Q$7:$Q$500,'Importação Contabilidade'!$A$7:$A$500,'Parâmetros'!$B$4,'Importação Contabilidade'!$B$7:$B$500,$A48))</x:f>
      </x:c>
      <x:c r="AU48" t="str">
        <x:f>IF($A48="","",SUMIFS('Importação Contabilidade'!$R$7:$R$500,'Importação Contabilidade'!$A$7:$A$500,'Parâmetros'!$B$4,'Importação Contabilidade'!$B$7:$B$500,$A48))</x:f>
      </x:c>
      <x:c r="AX48" t="str">
        <x:f>IF($A48="","",SUMIFS('Importação Contabilidade'!$S$7:$S$500,'Importação Contabilidade'!$A$7:$A$500,'Parâmetros'!$B$4,'Importação Contabilidade'!$B$7:$B$500,$A48))</x:f>
      </x:c>
    </x:row>
    <x:row r="49">
      <x:c r="C49" t="str">
        <x:f>'Conferência'!AI45</x:f>
      </x:c>
      <x:c r="E49" t="str">
        <x:f>IF($A49="","",SUMIFS('Importação Contabilidade'!$D$7:$D$500,'Importação Contabilidade'!$A$7:$A$500,'Parâmetros'!$B$4,'Importação Contabilidade'!$B$7:$B$500,$A49))</x:f>
      </x:c>
      <x:c r="H49" t="str">
        <x:f>IF($A49="","",SUMIFS('Importação Contabilidade'!$E$7:$E$500,'Importação Contabilidade'!$A$7:$A$500,'Parâmetros'!$B$4,'Importação Contabilidade'!$B$7:$B$500,$A49))</x:f>
      </x:c>
      <x:c r="K49" t="str">
        <x:f>IF($A49="","",SUMIFS('Importação Contabilidade'!$F$7:$F$500,'Importação Contabilidade'!$A$7:$A$500,'Parâmetros'!$B$4,'Importação Contabilidade'!$B$7:$B$500,$A49))</x:f>
      </x:c>
      <x:c r="N49" t="str">
        <x:f>IF($A49="","",SUMIFS('Importação Contabilidade'!$G$7:$G$500,'Importação Contabilidade'!$A$7:$A$500,'Parâmetros'!$B$4,'Importação Contabilidade'!$B$7:$B$500,$A49))</x:f>
      </x:c>
      <x:c r="Q49" t="str">
        <x:f>IF($A49="","",SUMIFS('Importação Contabilidade'!$H$7:$H$500,'Importação Contabilidade'!$A$7:$A$500,'Parâmetros'!$B$4,'Importação Contabilidade'!$B$7:$B$500,$A49))</x:f>
      </x:c>
      <x:c r="T49" t="str">
        <x:f>IF($A49="","",SUMIFS('Importação Contabilidade'!$I$7:$I$500,'Importação Contabilidade'!$A$7:$A$500,'Parâmetros'!$B$4,'Importação Contabilidade'!$B$7:$B$500,$A49))</x:f>
      </x:c>
      <x:c r="W49" t="str">
        <x:f>IF($A49="","",SUMIFS('Importação Contabilidade'!$J$7:$J$500,'Importação Contabilidade'!$A$7:$A$500,'Parâmetros'!$B$4,'Importação Contabilidade'!$B$7:$B$500,$A49))</x:f>
      </x:c>
      <x:c r="Z49" t="str">
        <x:f>IF($A49="","",SUMIFS('Importação Contabilidade'!$K$7:$K$500,'Importação Contabilidade'!$A$7:$A$500,'Parâmetros'!$B$4,'Importação Contabilidade'!$B$7:$B$500,$A49))</x:f>
      </x:c>
      <x:c r="AC49" t="str">
        <x:f>IF($A49="","",SUMIFS('Importação Contabilidade'!$L$7:$L$500,'Importação Contabilidade'!$A$7:$A$500,'Parâmetros'!$B$4,'Importação Contabilidade'!$B$7:$B$500,$A49))</x:f>
      </x:c>
      <x:c r="AF49" t="str">
        <x:f>IF($A49="","",SUMIFS('Importação Contabilidade'!$M$7:$M$500,'Importação Contabilidade'!$A$7:$A$500,'Parâmetros'!$B$4,'Importação Contabilidade'!$B$7:$B$500,$A49))</x:f>
      </x:c>
      <x:c r="AI49" t="str">
        <x:f>IF($A49="","",SUMIFS('Importação Contabilidade'!$N$7:$N$500,'Importação Contabilidade'!$A$7:$A$500,'Parâmetros'!$B$4,'Importação Contabilidade'!$B$7:$B$500,$A49))</x:f>
      </x:c>
      <x:c r="AL49" t="str">
        <x:f>IF($A49="","",SUMIFS('Importação Contabilidade'!$O$7:$O$500,'Importação Contabilidade'!$A$7:$A$500,'Parâmetros'!$B$4,'Importação Contabilidade'!$B$7:$B$500,$A49))</x:f>
      </x:c>
      <x:c r="AO49" t="str">
        <x:f>IF($A49="","",SUMIFS('Importação Contabilidade'!$P$7:$P$500,'Importação Contabilidade'!$A$7:$A$500,'Parâmetros'!$B$4,'Importação Contabilidade'!$B$7:$B$500,$A49))</x:f>
      </x:c>
      <x:c r="AR49" t="str">
        <x:f>IF($A49="","",SUMIFS('Importação Contabilidade'!$Q$7:$Q$500,'Importação Contabilidade'!$A$7:$A$500,'Parâmetros'!$B$4,'Importação Contabilidade'!$B$7:$B$500,$A49))</x:f>
      </x:c>
      <x:c r="AU49" t="str">
        <x:f>IF($A49="","",SUMIFS('Importação Contabilidade'!$R$7:$R$500,'Importação Contabilidade'!$A$7:$A$500,'Parâmetros'!$B$4,'Importação Contabilidade'!$B$7:$B$500,$A49))</x:f>
      </x:c>
      <x:c r="AX49" t="str">
        <x:f>IF($A49="","",SUMIFS('Importação Contabilidade'!$S$7:$S$500,'Importação Contabilidade'!$A$7:$A$500,'Parâmetros'!$B$4,'Importação Contabilidade'!$B$7:$B$500,$A49))</x:f>
      </x:c>
    </x:row>
    <x:row r="50">
      <x:c r="C50" t="str">
        <x:f>'Conferência'!AI46</x:f>
      </x:c>
      <x:c r="E50" t="str">
        <x:f>IF($A50="","",SUMIFS('Importação Contabilidade'!$D$7:$D$500,'Importação Contabilidade'!$A$7:$A$500,'Parâmetros'!$B$4,'Importação Contabilidade'!$B$7:$B$500,$A50))</x:f>
      </x:c>
      <x:c r="H50" t="str">
        <x:f>IF($A50="","",SUMIFS('Importação Contabilidade'!$E$7:$E$500,'Importação Contabilidade'!$A$7:$A$500,'Parâmetros'!$B$4,'Importação Contabilidade'!$B$7:$B$500,$A50))</x:f>
      </x:c>
      <x:c r="K50" t="str">
        <x:f>IF($A50="","",SUMIFS('Importação Contabilidade'!$F$7:$F$500,'Importação Contabilidade'!$A$7:$A$500,'Parâmetros'!$B$4,'Importação Contabilidade'!$B$7:$B$500,$A50))</x:f>
      </x:c>
      <x:c r="N50" t="str">
        <x:f>IF($A50="","",SUMIFS('Importação Contabilidade'!$G$7:$G$500,'Importação Contabilidade'!$A$7:$A$500,'Parâmetros'!$B$4,'Importação Contabilidade'!$B$7:$B$500,$A50))</x:f>
      </x:c>
      <x:c r="Q50" t="str">
        <x:f>IF($A50="","",SUMIFS('Importação Contabilidade'!$H$7:$H$500,'Importação Contabilidade'!$A$7:$A$500,'Parâmetros'!$B$4,'Importação Contabilidade'!$B$7:$B$500,$A50))</x:f>
      </x:c>
      <x:c r="T50" t="str">
        <x:f>IF($A50="","",SUMIFS('Importação Contabilidade'!$I$7:$I$500,'Importação Contabilidade'!$A$7:$A$500,'Parâmetros'!$B$4,'Importação Contabilidade'!$B$7:$B$500,$A50))</x:f>
      </x:c>
      <x:c r="W50" t="str">
        <x:f>IF($A50="","",SUMIFS('Importação Contabilidade'!$J$7:$J$500,'Importação Contabilidade'!$A$7:$A$500,'Parâmetros'!$B$4,'Importação Contabilidade'!$B$7:$B$500,$A50))</x:f>
      </x:c>
      <x:c r="Z50" t="str">
        <x:f>IF($A50="","",SUMIFS('Importação Contabilidade'!$K$7:$K$500,'Importação Contabilidade'!$A$7:$A$500,'Parâmetros'!$B$4,'Importação Contabilidade'!$B$7:$B$500,$A50))</x:f>
      </x:c>
      <x:c r="AC50" t="str">
        <x:f>IF($A50="","",SUMIFS('Importação Contabilidade'!$L$7:$L$500,'Importação Contabilidade'!$A$7:$A$500,'Parâmetros'!$B$4,'Importação Contabilidade'!$B$7:$B$500,$A50))</x:f>
      </x:c>
      <x:c r="AF50" t="str">
        <x:f>IF($A50="","",SUMIFS('Importação Contabilidade'!$M$7:$M$500,'Importação Contabilidade'!$A$7:$A$500,'Parâmetros'!$B$4,'Importação Contabilidade'!$B$7:$B$500,$A50))</x:f>
      </x:c>
      <x:c r="AI50" t="str">
        <x:f>IF($A50="","",SUMIFS('Importação Contabilidade'!$N$7:$N$500,'Importação Contabilidade'!$A$7:$A$500,'Parâmetros'!$B$4,'Importação Contabilidade'!$B$7:$B$500,$A50))</x:f>
      </x:c>
      <x:c r="AL50" t="str">
        <x:f>IF($A50="","",SUMIFS('Importação Contabilidade'!$O$7:$O$500,'Importação Contabilidade'!$A$7:$A$500,'Parâmetros'!$B$4,'Importação Contabilidade'!$B$7:$B$500,$A50))</x:f>
      </x:c>
      <x:c r="AO50" t="str">
        <x:f>IF($A50="","",SUMIFS('Importação Contabilidade'!$P$7:$P$500,'Importação Contabilidade'!$A$7:$A$500,'Parâmetros'!$B$4,'Importação Contabilidade'!$B$7:$B$500,$A50))</x:f>
      </x:c>
      <x:c r="AR50" t="str">
        <x:f>IF($A50="","",SUMIFS('Importação Contabilidade'!$Q$7:$Q$500,'Importação Contabilidade'!$A$7:$A$500,'Parâmetros'!$B$4,'Importação Contabilidade'!$B$7:$B$500,$A50))</x:f>
      </x:c>
      <x:c r="AU50" t="str">
        <x:f>IF($A50="","",SUMIFS('Importação Contabilidade'!$R$7:$R$500,'Importação Contabilidade'!$A$7:$A$500,'Parâmetros'!$B$4,'Importação Contabilidade'!$B$7:$B$500,$A50))</x:f>
      </x:c>
      <x:c r="AX50" t="str">
        <x:f>IF($A50="","",SUMIFS('Importação Contabilidade'!$S$7:$S$500,'Importação Contabilidade'!$A$7:$A$500,'Parâmetros'!$B$4,'Importação Contabilidade'!$B$7:$B$500,$A50))</x:f>
      </x:c>
    </x:row>
    <x:row r="51">
      <x:c r="C51" t="str">
        <x:f>'Conferência'!AI47</x:f>
      </x:c>
      <x:c r="E51" t="str">
        <x:f>IF($A51="","",SUMIFS('Importação Contabilidade'!$D$7:$D$500,'Importação Contabilidade'!$A$7:$A$500,'Parâmetros'!$B$4,'Importação Contabilidade'!$B$7:$B$500,$A51))</x:f>
      </x:c>
      <x:c r="H51" t="str">
        <x:f>IF($A51="","",SUMIFS('Importação Contabilidade'!$E$7:$E$500,'Importação Contabilidade'!$A$7:$A$500,'Parâmetros'!$B$4,'Importação Contabilidade'!$B$7:$B$500,$A51))</x:f>
      </x:c>
      <x:c r="K51" t="str">
        <x:f>IF($A51="","",SUMIFS('Importação Contabilidade'!$F$7:$F$500,'Importação Contabilidade'!$A$7:$A$500,'Parâmetros'!$B$4,'Importação Contabilidade'!$B$7:$B$500,$A51))</x:f>
      </x:c>
      <x:c r="N51" t="str">
        <x:f>IF($A51="","",SUMIFS('Importação Contabilidade'!$G$7:$G$500,'Importação Contabilidade'!$A$7:$A$500,'Parâmetros'!$B$4,'Importação Contabilidade'!$B$7:$B$500,$A51))</x:f>
      </x:c>
      <x:c r="Q51" t="str">
        <x:f>IF($A51="","",SUMIFS('Importação Contabilidade'!$H$7:$H$500,'Importação Contabilidade'!$A$7:$A$500,'Parâmetros'!$B$4,'Importação Contabilidade'!$B$7:$B$500,$A51))</x:f>
      </x:c>
      <x:c r="T51" t="str">
        <x:f>IF($A51="","",SUMIFS('Importação Contabilidade'!$I$7:$I$500,'Importação Contabilidade'!$A$7:$A$500,'Parâmetros'!$B$4,'Importação Contabilidade'!$B$7:$B$500,$A51))</x:f>
      </x:c>
      <x:c r="W51" t="str">
        <x:f>IF($A51="","",SUMIFS('Importação Contabilidade'!$J$7:$J$500,'Importação Contabilidade'!$A$7:$A$500,'Parâmetros'!$B$4,'Importação Contabilidade'!$B$7:$B$500,$A51))</x:f>
      </x:c>
      <x:c r="Z51" t="str">
        <x:f>IF($A51="","",SUMIFS('Importação Contabilidade'!$K$7:$K$500,'Importação Contabilidade'!$A$7:$A$500,'Parâmetros'!$B$4,'Importação Contabilidade'!$B$7:$B$500,$A51))</x:f>
      </x:c>
      <x:c r="AC51" t="str">
        <x:f>IF($A51="","",SUMIFS('Importação Contabilidade'!$L$7:$L$500,'Importação Contabilidade'!$A$7:$A$500,'Parâmetros'!$B$4,'Importação Contabilidade'!$B$7:$B$500,$A51))</x:f>
      </x:c>
      <x:c r="AF51" t="str">
        <x:f>IF($A51="","",SUMIFS('Importação Contabilidade'!$M$7:$M$500,'Importação Contabilidade'!$A$7:$A$500,'Parâmetros'!$B$4,'Importação Contabilidade'!$B$7:$B$500,$A51))</x:f>
      </x:c>
      <x:c r="AI51" t="str">
        <x:f>IF($A51="","",SUMIFS('Importação Contabilidade'!$N$7:$N$500,'Importação Contabilidade'!$A$7:$A$500,'Parâmetros'!$B$4,'Importação Contabilidade'!$B$7:$B$500,$A51))</x:f>
      </x:c>
      <x:c r="AL51" t="str">
        <x:f>IF($A51="","",SUMIFS('Importação Contabilidade'!$O$7:$O$500,'Importação Contabilidade'!$A$7:$A$500,'Parâmetros'!$B$4,'Importação Contabilidade'!$B$7:$B$500,$A51))</x:f>
      </x:c>
      <x:c r="AO51" t="str">
        <x:f>IF($A51="","",SUMIFS('Importação Contabilidade'!$P$7:$P$500,'Importação Contabilidade'!$A$7:$A$500,'Parâmetros'!$B$4,'Importação Contabilidade'!$B$7:$B$500,$A51))</x:f>
      </x:c>
      <x:c r="AR51" t="str">
        <x:f>IF($A51="","",SUMIFS('Importação Contabilidade'!$Q$7:$Q$500,'Importação Contabilidade'!$A$7:$A$500,'Parâmetros'!$B$4,'Importação Contabilidade'!$B$7:$B$500,$A51))</x:f>
      </x:c>
      <x:c r="AU51" t="str">
        <x:f>IF($A51="","",SUMIFS('Importação Contabilidade'!$R$7:$R$500,'Importação Contabilidade'!$A$7:$A$500,'Parâmetros'!$B$4,'Importação Contabilidade'!$B$7:$B$500,$A51))</x:f>
      </x:c>
      <x:c r="AX51" t="str">
        <x:f>IF($A51="","",SUMIFS('Importação Contabilidade'!$S$7:$S$500,'Importação Contabilidade'!$A$7:$A$500,'Parâmetros'!$B$4,'Importação Contabilidade'!$B$7:$B$500,$A51))</x:f>
      </x:c>
    </x:row>
    <x:row r="52">
      <x:c r="C52" t="str">
        <x:f>'Conferência'!AI48</x:f>
      </x:c>
      <x:c r="E52" t="str">
        <x:f>IF($A52="","",SUMIFS('Importação Contabilidade'!$D$7:$D$500,'Importação Contabilidade'!$A$7:$A$500,'Parâmetros'!$B$4,'Importação Contabilidade'!$B$7:$B$500,$A52))</x:f>
      </x:c>
      <x:c r="H52" t="str">
        <x:f>IF($A52="","",SUMIFS('Importação Contabilidade'!$E$7:$E$500,'Importação Contabilidade'!$A$7:$A$500,'Parâmetros'!$B$4,'Importação Contabilidade'!$B$7:$B$500,$A52))</x:f>
      </x:c>
      <x:c r="K52" t="str">
        <x:f>IF($A52="","",SUMIFS('Importação Contabilidade'!$F$7:$F$500,'Importação Contabilidade'!$A$7:$A$500,'Parâmetros'!$B$4,'Importação Contabilidade'!$B$7:$B$500,$A52))</x:f>
      </x:c>
      <x:c r="N52" t="str">
        <x:f>IF($A52="","",SUMIFS('Importação Contabilidade'!$G$7:$G$500,'Importação Contabilidade'!$A$7:$A$500,'Parâmetros'!$B$4,'Importação Contabilidade'!$B$7:$B$500,$A52))</x:f>
      </x:c>
      <x:c r="Q52" t="str">
        <x:f>IF($A52="","",SUMIFS('Importação Contabilidade'!$H$7:$H$500,'Importação Contabilidade'!$A$7:$A$500,'Parâmetros'!$B$4,'Importação Contabilidade'!$B$7:$B$500,$A52))</x:f>
      </x:c>
      <x:c r="T52" t="str">
        <x:f>IF($A52="","",SUMIFS('Importação Contabilidade'!$I$7:$I$500,'Importação Contabilidade'!$A$7:$A$500,'Parâmetros'!$B$4,'Importação Contabilidade'!$B$7:$B$500,$A52))</x:f>
      </x:c>
      <x:c r="W52" t="str">
        <x:f>IF($A52="","",SUMIFS('Importação Contabilidade'!$J$7:$J$500,'Importação Contabilidade'!$A$7:$A$500,'Parâmetros'!$B$4,'Importação Contabilidade'!$B$7:$B$500,$A52))</x:f>
      </x:c>
      <x:c r="Z52" t="str">
        <x:f>IF($A52="","",SUMIFS('Importação Contabilidade'!$K$7:$K$500,'Importação Contabilidade'!$A$7:$A$500,'Parâmetros'!$B$4,'Importação Contabilidade'!$B$7:$B$500,$A52))</x:f>
      </x:c>
      <x:c r="AC52" t="str">
        <x:f>IF($A52="","",SUMIFS('Importação Contabilidade'!$L$7:$L$500,'Importação Contabilidade'!$A$7:$A$500,'Parâmetros'!$B$4,'Importação Contabilidade'!$B$7:$B$500,$A52))</x:f>
      </x:c>
      <x:c r="AF52" t="str">
        <x:f>IF($A52="","",SUMIFS('Importação Contabilidade'!$M$7:$M$500,'Importação Contabilidade'!$A$7:$A$500,'Parâmetros'!$B$4,'Importação Contabilidade'!$B$7:$B$500,$A52))</x:f>
      </x:c>
      <x:c r="AI52" t="str">
        <x:f>IF($A52="","",SUMIFS('Importação Contabilidade'!$N$7:$N$500,'Importação Contabilidade'!$A$7:$A$500,'Parâmetros'!$B$4,'Importação Contabilidade'!$B$7:$B$500,$A52))</x:f>
      </x:c>
      <x:c r="AL52" t="str">
        <x:f>IF($A52="","",SUMIFS('Importação Contabilidade'!$O$7:$O$500,'Importação Contabilidade'!$A$7:$A$500,'Parâmetros'!$B$4,'Importação Contabilidade'!$B$7:$B$500,$A52))</x:f>
      </x:c>
      <x:c r="AO52" t="str">
        <x:f>IF($A52="","",SUMIFS('Importação Contabilidade'!$P$7:$P$500,'Importação Contabilidade'!$A$7:$A$500,'Parâmetros'!$B$4,'Importação Contabilidade'!$B$7:$B$500,$A52))</x:f>
      </x:c>
      <x:c r="AR52" t="str">
        <x:f>IF($A52="","",SUMIFS('Importação Contabilidade'!$Q$7:$Q$500,'Importação Contabilidade'!$A$7:$A$500,'Parâmetros'!$B$4,'Importação Contabilidade'!$B$7:$B$500,$A52))</x:f>
      </x:c>
      <x:c r="AU52" t="str">
        <x:f>IF($A52="","",SUMIFS('Importação Contabilidade'!$R$7:$R$500,'Importação Contabilidade'!$A$7:$A$500,'Parâmetros'!$B$4,'Importação Contabilidade'!$B$7:$B$500,$A52))</x:f>
      </x:c>
      <x:c r="AX52" t="str">
        <x:f>IF($A52="","",SUMIFS('Importação Contabilidade'!$S$7:$S$500,'Importação Contabilidade'!$A$7:$A$500,'Parâmetros'!$B$4,'Importação Contabilidade'!$B$7:$B$500,$A52))</x:f>
      </x:c>
    </x:row>
    <x:row r="53">
      <x:c r="C53" t="str">
        <x:f>'Conferência'!AI49</x:f>
      </x:c>
      <x:c r="E53" t="str">
        <x:f>IF($A53="","",SUMIFS('Importação Contabilidade'!$D$7:$D$500,'Importação Contabilidade'!$A$7:$A$500,'Parâmetros'!$B$4,'Importação Contabilidade'!$B$7:$B$500,$A53))</x:f>
      </x:c>
      <x:c r="H53" t="str">
        <x:f>IF($A53="","",SUMIFS('Importação Contabilidade'!$E$7:$E$500,'Importação Contabilidade'!$A$7:$A$500,'Parâmetros'!$B$4,'Importação Contabilidade'!$B$7:$B$500,$A53))</x:f>
      </x:c>
      <x:c r="K53" t="str">
        <x:f>IF($A53="","",SUMIFS('Importação Contabilidade'!$F$7:$F$500,'Importação Contabilidade'!$A$7:$A$500,'Parâmetros'!$B$4,'Importação Contabilidade'!$B$7:$B$500,$A53))</x:f>
      </x:c>
      <x:c r="N53" t="str">
        <x:f>IF($A53="","",SUMIFS('Importação Contabilidade'!$G$7:$G$500,'Importação Contabilidade'!$A$7:$A$500,'Parâmetros'!$B$4,'Importação Contabilidade'!$B$7:$B$500,$A53))</x:f>
      </x:c>
      <x:c r="Q53" t="str">
        <x:f>IF($A53="","",SUMIFS('Importação Contabilidade'!$H$7:$H$500,'Importação Contabilidade'!$A$7:$A$500,'Parâmetros'!$B$4,'Importação Contabilidade'!$B$7:$B$500,$A53))</x:f>
      </x:c>
      <x:c r="T53" t="str">
        <x:f>IF($A53="","",SUMIFS('Importação Contabilidade'!$I$7:$I$500,'Importação Contabilidade'!$A$7:$A$500,'Parâmetros'!$B$4,'Importação Contabilidade'!$B$7:$B$500,$A53))</x:f>
      </x:c>
      <x:c r="W53" t="str">
        <x:f>IF($A53="","",SUMIFS('Importação Contabilidade'!$J$7:$J$500,'Importação Contabilidade'!$A$7:$A$500,'Parâmetros'!$B$4,'Importação Contabilidade'!$B$7:$B$500,$A53))</x:f>
      </x:c>
      <x:c r="Z53" t="str">
        <x:f>IF($A53="","",SUMIFS('Importação Contabilidade'!$K$7:$K$500,'Importação Contabilidade'!$A$7:$A$500,'Parâmetros'!$B$4,'Importação Contabilidade'!$B$7:$B$500,$A53))</x:f>
      </x:c>
      <x:c r="AC53" t="str">
        <x:f>IF($A53="","",SUMIFS('Importação Contabilidade'!$L$7:$L$500,'Importação Contabilidade'!$A$7:$A$500,'Parâmetros'!$B$4,'Importação Contabilidade'!$B$7:$B$500,$A53))</x:f>
      </x:c>
      <x:c r="AF53" t="str">
        <x:f>IF($A53="","",SUMIFS('Importação Contabilidade'!$M$7:$M$500,'Importação Contabilidade'!$A$7:$A$500,'Parâmetros'!$B$4,'Importação Contabilidade'!$B$7:$B$500,$A53))</x:f>
      </x:c>
      <x:c r="AI53" t="str">
        <x:f>IF($A53="","",SUMIFS('Importação Contabilidade'!$N$7:$N$500,'Importação Contabilidade'!$A$7:$A$500,'Parâmetros'!$B$4,'Importação Contabilidade'!$B$7:$B$500,$A53))</x:f>
      </x:c>
      <x:c r="AL53" t="str">
        <x:f>IF($A53="","",SUMIFS('Importação Contabilidade'!$O$7:$O$500,'Importação Contabilidade'!$A$7:$A$500,'Parâmetros'!$B$4,'Importação Contabilidade'!$B$7:$B$500,$A53))</x:f>
      </x:c>
      <x:c r="AO53" t="str">
        <x:f>IF($A53="","",SUMIFS('Importação Contabilidade'!$P$7:$P$500,'Importação Contabilidade'!$A$7:$A$500,'Parâmetros'!$B$4,'Importação Contabilidade'!$B$7:$B$500,$A53))</x:f>
      </x:c>
      <x:c r="AR53" t="str">
        <x:f>IF($A53="","",SUMIFS('Importação Contabilidade'!$Q$7:$Q$500,'Importação Contabilidade'!$A$7:$A$500,'Parâmetros'!$B$4,'Importação Contabilidade'!$B$7:$B$500,$A53))</x:f>
      </x:c>
      <x:c r="AU53" t="str">
        <x:f>IF($A53="","",SUMIFS('Importação Contabilidade'!$R$7:$R$500,'Importação Contabilidade'!$A$7:$A$500,'Parâmetros'!$B$4,'Importação Contabilidade'!$B$7:$B$500,$A53))</x:f>
      </x:c>
      <x:c r="AX53" t="str">
        <x:f>IF($A53="","",SUMIFS('Importação Contabilidade'!$S$7:$S$500,'Importação Contabilidade'!$A$7:$A$500,'Parâmetros'!$B$4,'Importação Contabilidade'!$B$7:$B$500,$A53))</x:f>
      </x:c>
    </x:row>
    <x:row r="54">
      <x:c r="C54" t="str">
        <x:f>'Conferência'!AI50</x:f>
      </x:c>
      <x:c r="E54" t="str">
        <x:f>IF($A54="","",SUMIFS('Importação Contabilidade'!$D$7:$D$500,'Importação Contabilidade'!$A$7:$A$500,'Parâmetros'!$B$4,'Importação Contabilidade'!$B$7:$B$500,$A54))</x:f>
      </x:c>
      <x:c r="H54" t="str">
        <x:f>IF($A54="","",SUMIFS('Importação Contabilidade'!$E$7:$E$500,'Importação Contabilidade'!$A$7:$A$500,'Parâmetros'!$B$4,'Importação Contabilidade'!$B$7:$B$500,$A54))</x:f>
      </x:c>
      <x:c r="K54" t="str">
        <x:f>IF($A54="","",SUMIFS('Importação Contabilidade'!$F$7:$F$500,'Importação Contabilidade'!$A$7:$A$500,'Parâmetros'!$B$4,'Importação Contabilidade'!$B$7:$B$500,$A54))</x:f>
      </x:c>
      <x:c r="N54" t="str">
        <x:f>IF($A54="","",SUMIFS('Importação Contabilidade'!$G$7:$G$500,'Importação Contabilidade'!$A$7:$A$500,'Parâmetros'!$B$4,'Importação Contabilidade'!$B$7:$B$500,$A54))</x:f>
      </x:c>
      <x:c r="Q54" t="str">
        <x:f>IF($A54="","",SUMIFS('Importação Contabilidade'!$H$7:$H$500,'Importação Contabilidade'!$A$7:$A$500,'Parâmetros'!$B$4,'Importação Contabilidade'!$B$7:$B$500,$A54))</x:f>
      </x:c>
      <x:c r="T54" t="str">
        <x:f>IF($A54="","",SUMIFS('Importação Contabilidade'!$I$7:$I$500,'Importação Contabilidade'!$A$7:$A$500,'Parâmetros'!$B$4,'Importação Contabilidade'!$B$7:$B$500,$A54))</x:f>
      </x:c>
      <x:c r="W54" t="str">
        <x:f>IF($A54="","",SUMIFS('Importação Contabilidade'!$J$7:$J$500,'Importação Contabilidade'!$A$7:$A$500,'Parâmetros'!$B$4,'Importação Contabilidade'!$B$7:$B$500,$A54))</x:f>
      </x:c>
      <x:c r="Z54" t="str">
        <x:f>IF($A54="","",SUMIFS('Importação Contabilidade'!$K$7:$K$500,'Importação Contabilidade'!$A$7:$A$500,'Parâmetros'!$B$4,'Importação Contabilidade'!$B$7:$B$500,$A54))</x:f>
      </x:c>
      <x:c r="AC54" t="str">
        <x:f>IF($A54="","",SUMIFS('Importação Contabilidade'!$L$7:$L$500,'Importação Contabilidade'!$A$7:$A$500,'Parâmetros'!$B$4,'Importação Contabilidade'!$B$7:$B$500,$A54))</x:f>
      </x:c>
      <x:c r="AF54" t="str">
        <x:f>IF($A54="","",SUMIFS('Importação Contabilidade'!$M$7:$M$500,'Importação Contabilidade'!$A$7:$A$500,'Parâmetros'!$B$4,'Importação Contabilidade'!$B$7:$B$500,$A54))</x:f>
      </x:c>
      <x:c r="AI54" t="str">
        <x:f>IF($A54="","",SUMIFS('Importação Contabilidade'!$N$7:$N$500,'Importação Contabilidade'!$A$7:$A$500,'Parâmetros'!$B$4,'Importação Contabilidade'!$B$7:$B$500,$A54))</x:f>
      </x:c>
      <x:c r="AL54" t="str">
        <x:f>IF($A54="","",SUMIFS('Importação Contabilidade'!$O$7:$O$500,'Importação Contabilidade'!$A$7:$A$500,'Parâmetros'!$B$4,'Importação Contabilidade'!$B$7:$B$500,$A54))</x:f>
      </x:c>
      <x:c r="AO54" t="str">
        <x:f>IF($A54="","",SUMIFS('Importação Contabilidade'!$P$7:$P$500,'Importação Contabilidade'!$A$7:$A$500,'Parâmetros'!$B$4,'Importação Contabilidade'!$B$7:$B$500,$A54))</x:f>
      </x:c>
      <x:c r="AR54" t="str">
        <x:f>IF($A54="","",SUMIFS('Importação Contabilidade'!$Q$7:$Q$500,'Importação Contabilidade'!$A$7:$A$500,'Parâmetros'!$B$4,'Importação Contabilidade'!$B$7:$B$500,$A54))</x:f>
      </x:c>
      <x:c r="AU54" t="str">
        <x:f>IF($A54="","",SUMIFS('Importação Contabilidade'!$R$7:$R$500,'Importação Contabilidade'!$A$7:$A$500,'Parâmetros'!$B$4,'Importação Contabilidade'!$B$7:$B$500,$A54))</x:f>
      </x:c>
      <x:c r="AX54" t="str">
        <x:f>IF($A54="","",SUMIFS('Importação Contabilidade'!$S$7:$S$500,'Importação Contabilidade'!$A$7:$A$500,'Parâmetros'!$B$4,'Importação Contabilidade'!$B$7:$B$500,$A54))</x:f>
      </x:c>
    </x:row>
    <x:row r="55">
      <x:c r="C55" t="str">
        <x:f>'Conferência'!AI51</x:f>
      </x:c>
      <x:c r="E55" t="str">
        <x:f>IF($A55="","",SUMIFS('Importação Contabilidade'!$D$7:$D$500,'Importação Contabilidade'!$A$7:$A$500,'Parâmetros'!$B$4,'Importação Contabilidade'!$B$7:$B$500,$A55))</x:f>
      </x:c>
      <x:c r="H55" t="str">
        <x:f>IF($A55="","",SUMIFS('Importação Contabilidade'!$E$7:$E$500,'Importação Contabilidade'!$A$7:$A$500,'Parâmetros'!$B$4,'Importação Contabilidade'!$B$7:$B$500,$A55))</x:f>
      </x:c>
      <x:c r="K55" t="str">
        <x:f>IF($A55="","",SUMIFS('Importação Contabilidade'!$F$7:$F$500,'Importação Contabilidade'!$A$7:$A$500,'Parâmetros'!$B$4,'Importação Contabilidade'!$B$7:$B$500,$A55))</x:f>
      </x:c>
      <x:c r="N55" t="str">
        <x:f>IF($A55="","",SUMIFS('Importação Contabilidade'!$G$7:$G$500,'Importação Contabilidade'!$A$7:$A$500,'Parâmetros'!$B$4,'Importação Contabilidade'!$B$7:$B$500,$A55))</x:f>
      </x:c>
      <x:c r="Q55" t="str">
        <x:f>IF($A55="","",SUMIFS('Importação Contabilidade'!$H$7:$H$500,'Importação Contabilidade'!$A$7:$A$500,'Parâmetros'!$B$4,'Importação Contabilidade'!$B$7:$B$500,$A55))</x:f>
      </x:c>
      <x:c r="T55" t="str">
        <x:f>IF($A55="","",SUMIFS('Importação Contabilidade'!$I$7:$I$500,'Importação Contabilidade'!$A$7:$A$500,'Parâmetros'!$B$4,'Importação Contabilidade'!$B$7:$B$500,$A55))</x:f>
      </x:c>
      <x:c r="W55" t="str">
        <x:f>IF($A55="","",SUMIFS('Importação Contabilidade'!$J$7:$J$500,'Importação Contabilidade'!$A$7:$A$500,'Parâmetros'!$B$4,'Importação Contabilidade'!$B$7:$B$500,$A55))</x:f>
      </x:c>
      <x:c r="Z55" t="str">
        <x:f>IF($A55="","",SUMIFS('Importação Contabilidade'!$K$7:$K$500,'Importação Contabilidade'!$A$7:$A$500,'Parâmetros'!$B$4,'Importação Contabilidade'!$B$7:$B$500,$A55))</x:f>
      </x:c>
      <x:c r="AC55" t="str">
        <x:f>IF($A55="","",SUMIFS('Importação Contabilidade'!$L$7:$L$500,'Importação Contabilidade'!$A$7:$A$500,'Parâmetros'!$B$4,'Importação Contabilidade'!$B$7:$B$500,$A55))</x:f>
      </x:c>
      <x:c r="AF55" t="str">
        <x:f>IF($A55="","",SUMIFS('Importação Contabilidade'!$M$7:$M$500,'Importação Contabilidade'!$A$7:$A$500,'Parâmetros'!$B$4,'Importação Contabilidade'!$B$7:$B$500,$A55))</x:f>
      </x:c>
      <x:c r="AI55" t="str">
        <x:f>IF($A55="","",SUMIFS('Importação Contabilidade'!$N$7:$N$500,'Importação Contabilidade'!$A$7:$A$500,'Parâmetros'!$B$4,'Importação Contabilidade'!$B$7:$B$500,$A55))</x:f>
      </x:c>
      <x:c r="AL55" t="str">
        <x:f>IF($A55="","",SUMIFS('Importação Contabilidade'!$O$7:$O$500,'Importação Contabilidade'!$A$7:$A$500,'Parâmetros'!$B$4,'Importação Contabilidade'!$B$7:$B$500,$A55))</x:f>
      </x:c>
      <x:c r="AO55" t="str">
        <x:f>IF($A55="","",SUMIFS('Importação Contabilidade'!$P$7:$P$500,'Importação Contabilidade'!$A$7:$A$500,'Parâmetros'!$B$4,'Importação Contabilidade'!$B$7:$B$500,$A55))</x:f>
      </x:c>
      <x:c r="AR55" t="str">
        <x:f>IF($A55="","",SUMIFS('Importação Contabilidade'!$Q$7:$Q$500,'Importação Contabilidade'!$A$7:$A$500,'Parâmetros'!$B$4,'Importação Contabilidade'!$B$7:$B$500,$A55))</x:f>
      </x:c>
      <x:c r="AU55" t="str">
        <x:f>IF($A55="","",SUMIFS('Importação Contabilidade'!$R$7:$R$500,'Importação Contabilidade'!$A$7:$A$500,'Parâmetros'!$B$4,'Importação Contabilidade'!$B$7:$B$500,$A55))</x:f>
      </x:c>
      <x:c r="AX55" t="str">
        <x:f>IF($A55="","",SUMIFS('Importação Contabilidade'!$S$7:$S$500,'Importação Contabilidade'!$A$7:$A$500,'Parâmetros'!$B$4,'Importação Contabilidade'!$B$7:$B$500,$A55))</x:f>
      </x:c>
    </x:row>
    <x:row r="56">
      <x:c r="C56" t="str">
        <x:f>'Conferência'!AI52</x:f>
      </x:c>
      <x:c r="E56" t="str">
        <x:f>IF($A56="","",SUMIFS('Importação Contabilidade'!$D$7:$D$500,'Importação Contabilidade'!$A$7:$A$500,'Parâmetros'!$B$4,'Importação Contabilidade'!$B$7:$B$500,$A56))</x:f>
      </x:c>
      <x:c r="H56" t="str">
        <x:f>IF($A56="","",SUMIFS('Importação Contabilidade'!$E$7:$E$500,'Importação Contabilidade'!$A$7:$A$500,'Parâmetros'!$B$4,'Importação Contabilidade'!$B$7:$B$500,$A56))</x:f>
      </x:c>
      <x:c r="K56" t="str">
        <x:f>IF($A56="","",SUMIFS('Importação Contabilidade'!$F$7:$F$500,'Importação Contabilidade'!$A$7:$A$500,'Parâmetros'!$B$4,'Importação Contabilidade'!$B$7:$B$500,$A56))</x:f>
      </x:c>
      <x:c r="N56" t="str">
        <x:f>IF($A56="","",SUMIFS('Importação Contabilidade'!$G$7:$G$500,'Importação Contabilidade'!$A$7:$A$500,'Parâmetros'!$B$4,'Importação Contabilidade'!$B$7:$B$500,$A56))</x:f>
      </x:c>
      <x:c r="Q56" t="str">
        <x:f>IF($A56="","",SUMIFS('Importação Contabilidade'!$H$7:$H$500,'Importação Contabilidade'!$A$7:$A$500,'Parâmetros'!$B$4,'Importação Contabilidade'!$B$7:$B$500,$A56))</x:f>
      </x:c>
      <x:c r="T56" t="str">
        <x:f>IF($A56="","",SUMIFS('Importação Contabilidade'!$I$7:$I$500,'Importação Contabilidade'!$A$7:$A$500,'Parâmetros'!$B$4,'Importação Contabilidade'!$B$7:$B$500,$A56))</x:f>
      </x:c>
      <x:c r="W56" t="str">
        <x:f>IF($A56="","",SUMIFS('Importação Contabilidade'!$J$7:$J$500,'Importação Contabilidade'!$A$7:$A$500,'Parâmetros'!$B$4,'Importação Contabilidade'!$B$7:$B$500,$A56))</x:f>
      </x:c>
      <x:c r="Z56" t="str">
        <x:f>IF($A56="","",SUMIFS('Importação Contabilidade'!$K$7:$K$500,'Importação Contabilidade'!$A$7:$A$500,'Parâmetros'!$B$4,'Importação Contabilidade'!$B$7:$B$500,$A56))</x:f>
      </x:c>
      <x:c r="AC56" t="str">
        <x:f>IF($A56="","",SUMIFS('Importação Contabilidade'!$L$7:$L$500,'Importação Contabilidade'!$A$7:$A$500,'Parâmetros'!$B$4,'Importação Contabilidade'!$B$7:$B$500,$A56))</x:f>
      </x:c>
      <x:c r="AF56" t="str">
        <x:f>IF($A56="","",SUMIFS('Importação Contabilidade'!$M$7:$M$500,'Importação Contabilidade'!$A$7:$A$500,'Parâmetros'!$B$4,'Importação Contabilidade'!$B$7:$B$500,$A56))</x:f>
      </x:c>
      <x:c r="AI56" t="str">
        <x:f>IF($A56="","",SUMIFS('Importação Contabilidade'!$N$7:$N$500,'Importação Contabilidade'!$A$7:$A$500,'Parâmetros'!$B$4,'Importação Contabilidade'!$B$7:$B$500,$A56))</x:f>
      </x:c>
      <x:c r="AL56" t="str">
        <x:f>IF($A56="","",SUMIFS('Importação Contabilidade'!$O$7:$O$500,'Importação Contabilidade'!$A$7:$A$500,'Parâmetros'!$B$4,'Importação Contabilidade'!$B$7:$B$500,$A56))</x:f>
      </x:c>
      <x:c r="AO56" t="str">
        <x:f>IF($A56="","",SUMIFS('Importação Contabilidade'!$P$7:$P$500,'Importação Contabilidade'!$A$7:$A$500,'Parâmetros'!$B$4,'Importação Contabilidade'!$B$7:$B$500,$A56))</x:f>
      </x:c>
      <x:c r="AR56" t="str">
        <x:f>IF($A56="","",SUMIFS('Importação Contabilidade'!$Q$7:$Q$500,'Importação Contabilidade'!$A$7:$A$500,'Parâmetros'!$B$4,'Importação Contabilidade'!$B$7:$B$500,$A56))</x:f>
      </x:c>
      <x:c r="AU56" t="str">
        <x:f>IF($A56="","",SUMIFS('Importação Contabilidade'!$R$7:$R$500,'Importação Contabilidade'!$A$7:$A$500,'Parâmetros'!$B$4,'Importação Contabilidade'!$B$7:$B$500,$A56))</x:f>
      </x:c>
      <x:c r="AX56" t="str">
        <x:f>IF($A56="","",SUMIFS('Importação Contabilidade'!$S$7:$S$500,'Importação Contabilidade'!$A$7:$A$500,'Parâmetros'!$B$4,'Importação Contabilidade'!$B$7:$B$500,$A56))</x:f>
      </x:c>
    </x:row>
    <x:row r="57">
      <x:c r="C57" t="str">
        <x:f>'Conferência'!AI53</x:f>
      </x:c>
      <x:c r="E57" t="str">
        <x:f>IF($A57="","",SUMIFS('Importação Contabilidade'!$D$7:$D$500,'Importação Contabilidade'!$A$7:$A$500,'Parâmetros'!$B$4,'Importação Contabilidade'!$B$7:$B$500,$A57))</x:f>
      </x:c>
      <x:c r="H57" t="str">
        <x:f>IF($A57="","",SUMIFS('Importação Contabilidade'!$E$7:$E$500,'Importação Contabilidade'!$A$7:$A$500,'Parâmetros'!$B$4,'Importação Contabilidade'!$B$7:$B$500,$A57))</x:f>
      </x:c>
      <x:c r="K57" t="str">
        <x:f>IF($A57="","",SUMIFS('Importação Contabilidade'!$F$7:$F$500,'Importação Contabilidade'!$A$7:$A$500,'Parâmetros'!$B$4,'Importação Contabilidade'!$B$7:$B$500,$A57))</x:f>
      </x:c>
      <x:c r="N57" t="str">
        <x:f>IF($A57="","",SUMIFS('Importação Contabilidade'!$G$7:$G$500,'Importação Contabilidade'!$A$7:$A$500,'Parâmetros'!$B$4,'Importação Contabilidade'!$B$7:$B$500,$A57))</x:f>
      </x:c>
      <x:c r="Q57" t="str">
        <x:f>IF($A57="","",SUMIFS('Importação Contabilidade'!$H$7:$H$500,'Importação Contabilidade'!$A$7:$A$500,'Parâmetros'!$B$4,'Importação Contabilidade'!$B$7:$B$500,$A57))</x:f>
      </x:c>
      <x:c r="T57" t="str">
        <x:f>IF($A57="","",SUMIFS('Importação Contabilidade'!$I$7:$I$500,'Importação Contabilidade'!$A$7:$A$500,'Parâmetros'!$B$4,'Importação Contabilidade'!$B$7:$B$500,$A57))</x:f>
      </x:c>
      <x:c r="W57" t="str">
        <x:f>IF($A57="","",SUMIFS('Importação Contabilidade'!$J$7:$J$500,'Importação Contabilidade'!$A$7:$A$500,'Parâmetros'!$B$4,'Importação Contabilidade'!$B$7:$B$500,$A57))</x:f>
      </x:c>
      <x:c r="Z57" t="str">
        <x:f>IF($A57="","",SUMIFS('Importação Contabilidade'!$K$7:$K$500,'Importação Contabilidade'!$A$7:$A$500,'Parâmetros'!$B$4,'Importação Contabilidade'!$B$7:$B$500,$A57))</x:f>
      </x:c>
      <x:c r="AC57" t="str">
        <x:f>IF($A57="","",SUMIFS('Importação Contabilidade'!$L$7:$L$500,'Importação Contabilidade'!$A$7:$A$500,'Parâmetros'!$B$4,'Importação Contabilidade'!$B$7:$B$500,$A57))</x:f>
      </x:c>
      <x:c r="AF57" t="str">
        <x:f>IF($A57="","",SUMIFS('Importação Contabilidade'!$M$7:$M$500,'Importação Contabilidade'!$A$7:$A$500,'Parâmetros'!$B$4,'Importação Contabilidade'!$B$7:$B$500,$A57))</x:f>
      </x:c>
      <x:c r="AI57" t="str">
        <x:f>IF($A57="","",SUMIFS('Importação Contabilidade'!$N$7:$N$500,'Importação Contabilidade'!$A$7:$A$500,'Parâmetros'!$B$4,'Importação Contabilidade'!$B$7:$B$500,$A57))</x:f>
      </x:c>
      <x:c r="AL57" t="str">
        <x:f>IF($A57="","",SUMIFS('Importação Contabilidade'!$O$7:$O$500,'Importação Contabilidade'!$A$7:$A$500,'Parâmetros'!$B$4,'Importação Contabilidade'!$B$7:$B$500,$A57))</x:f>
      </x:c>
      <x:c r="AO57" t="str">
        <x:f>IF($A57="","",SUMIFS('Importação Contabilidade'!$P$7:$P$500,'Importação Contabilidade'!$A$7:$A$500,'Parâmetros'!$B$4,'Importação Contabilidade'!$B$7:$B$500,$A57))</x:f>
      </x:c>
      <x:c r="AR57" t="str">
        <x:f>IF($A57="","",SUMIFS('Importação Contabilidade'!$Q$7:$Q$500,'Importação Contabilidade'!$A$7:$A$500,'Parâmetros'!$B$4,'Importação Contabilidade'!$B$7:$B$500,$A57))</x:f>
      </x:c>
      <x:c r="AU57" t="str">
        <x:f>IF($A57="","",SUMIFS('Importação Contabilidade'!$R$7:$R$500,'Importação Contabilidade'!$A$7:$A$500,'Parâmetros'!$B$4,'Importação Contabilidade'!$B$7:$B$500,$A57))</x:f>
      </x:c>
      <x:c r="AX57" t="str">
        <x:f>IF($A57="","",SUMIFS('Importação Contabilidade'!$S$7:$S$500,'Importação Contabilidade'!$A$7:$A$500,'Parâmetros'!$B$4,'Importação Contabilidade'!$B$7:$B$500,$A57))</x:f>
      </x:c>
    </x:row>
    <x:row r="58">
      <x:c r="C58" t="str">
        <x:f>'Conferência'!AI54</x:f>
      </x:c>
      <x:c r="E58" t="str">
        <x:f>IF($A58="","",SUMIFS('Importação Contabilidade'!$D$7:$D$500,'Importação Contabilidade'!$A$7:$A$500,'Parâmetros'!$B$4,'Importação Contabilidade'!$B$7:$B$500,$A58))</x:f>
      </x:c>
      <x:c r="H58" t="str">
        <x:f>IF($A58="","",SUMIFS('Importação Contabilidade'!$E$7:$E$500,'Importação Contabilidade'!$A$7:$A$500,'Parâmetros'!$B$4,'Importação Contabilidade'!$B$7:$B$500,$A58))</x:f>
      </x:c>
      <x:c r="K58" t="str">
        <x:f>IF($A58="","",SUMIFS('Importação Contabilidade'!$F$7:$F$500,'Importação Contabilidade'!$A$7:$A$500,'Parâmetros'!$B$4,'Importação Contabilidade'!$B$7:$B$500,$A58))</x:f>
      </x:c>
      <x:c r="N58" t="str">
        <x:f>IF($A58="","",SUMIFS('Importação Contabilidade'!$G$7:$G$500,'Importação Contabilidade'!$A$7:$A$500,'Parâmetros'!$B$4,'Importação Contabilidade'!$B$7:$B$500,$A58))</x:f>
      </x:c>
      <x:c r="Q58" t="str">
        <x:f>IF($A58="","",SUMIFS('Importação Contabilidade'!$H$7:$H$500,'Importação Contabilidade'!$A$7:$A$500,'Parâmetros'!$B$4,'Importação Contabilidade'!$B$7:$B$500,$A58))</x:f>
      </x:c>
      <x:c r="T58" t="str">
        <x:f>IF($A58="","",SUMIFS('Importação Contabilidade'!$I$7:$I$500,'Importação Contabilidade'!$A$7:$A$500,'Parâmetros'!$B$4,'Importação Contabilidade'!$B$7:$B$500,$A58))</x:f>
      </x:c>
      <x:c r="W58" t="str">
        <x:f>IF($A58="","",SUMIFS('Importação Contabilidade'!$J$7:$J$500,'Importação Contabilidade'!$A$7:$A$500,'Parâmetros'!$B$4,'Importação Contabilidade'!$B$7:$B$500,$A58))</x:f>
      </x:c>
      <x:c r="Z58" t="str">
        <x:f>IF($A58="","",SUMIFS('Importação Contabilidade'!$K$7:$K$500,'Importação Contabilidade'!$A$7:$A$500,'Parâmetros'!$B$4,'Importação Contabilidade'!$B$7:$B$500,$A58))</x:f>
      </x:c>
      <x:c r="AC58" t="str">
        <x:f>IF($A58="","",SUMIFS('Importação Contabilidade'!$L$7:$L$500,'Importação Contabilidade'!$A$7:$A$500,'Parâmetros'!$B$4,'Importação Contabilidade'!$B$7:$B$500,$A58))</x:f>
      </x:c>
      <x:c r="AF58" t="str">
        <x:f>IF($A58="","",SUMIFS('Importação Contabilidade'!$M$7:$M$500,'Importação Contabilidade'!$A$7:$A$500,'Parâmetros'!$B$4,'Importação Contabilidade'!$B$7:$B$500,$A58))</x:f>
      </x:c>
      <x:c r="AI58" t="str">
        <x:f>IF($A58="","",SUMIFS('Importação Contabilidade'!$N$7:$N$500,'Importação Contabilidade'!$A$7:$A$500,'Parâmetros'!$B$4,'Importação Contabilidade'!$B$7:$B$500,$A58))</x:f>
      </x:c>
      <x:c r="AL58" t="str">
        <x:f>IF($A58="","",SUMIFS('Importação Contabilidade'!$O$7:$O$500,'Importação Contabilidade'!$A$7:$A$500,'Parâmetros'!$B$4,'Importação Contabilidade'!$B$7:$B$500,$A58))</x:f>
      </x:c>
      <x:c r="AO58" t="str">
        <x:f>IF($A58="","",SUMIFS('Importação Contabilidade'!$P$7:$P$500,'Importação Contabilidade'!$A$7:$A$500,'Parâmetros'!$B$4,'Importação Contabilidade'!$B$7:$B$500,$A58))</x:f>
      </x:c>
      <x:c r="AR58" t="str">
        <x:f>IF($A58="","",SUMIFS('Importação Contabilidade'!$Q$7:$Q$500,'Importação Contabilidade'!$A$7:$A$500,'Parâmetros'!$B$4,'Importação Contabilidade'!$B$7:$B$500,$A58))</x:f>
      </x:c>
      <x:c r="AU58" t="str">
        <x:f>IF($A58="","",SUMIFS('Importação Contabilidade'!$R$7:$R$500,'Importação Contabilidade'!$A$7:$A$500,'Parâmetros'!$B$4,'Importação Contabilidade'!$B$7:$B$500,$A58))</x:f>
      </x:c>
      <x:c r="AX58" t="str">
        <x:f>IF($A58="","",SUMIFS('Importação Contabilidade'!$S$7:$S$500,'Importação Contabilidade'!$A$7:$A$500,'Parâmetros'!$B$4,'Importação Contabilidade'!$B$7:$B$500,$A58))</x:f>
      </x:c>
    </x:row>
    <x:row r="59">
      <x:c r="C59" t="str">
        <x:f>'Conferência'!AI55</x:f>
      </x:c>
      <x:c r="E59" t="str">
        <x:f>IF($A59="","",SUMIFS('Importação Contabilidade'!$D$7:$D$500,'Importação Contabilidade'!$A$7:$A$500,'Parâmetros'!$B$4,'Importação Contabilidade'!$B$7:$B$500,$A59))</x:f>
      </x:c>
      <x:c r="H59" t="str">
        <x:f>IF($A59="","",SUMIFS('Importação Contabilidade'!$E$7:$E$500,'Importação Contabilidade'!$A$7:$A$500,'Parâmetros'!$B$4,'Importação Contabilidade'!$B$7:$B$500,$A59))</x:f>
      </x:c>
      <x:c r="K59" t="str">
        <x:f>IF($A59="","",SUMIFS('Importação Contabilidade'!$F$7:$F$500,'Importação Contabilidade'!$A$7:$A$500,'Parâmetros'!$B$4,'Importação Contabilidade'!$B$7:$B$500,$A59))</x:f>
      </x:c>
      <x:c r="N59" t="str">
        <x:f>IF($A59="","",SUMIFS('Importação Contabilidade'!$G$7:$G$500,'Importação Contabilidade'!$A$7:$A$500,'Parâmetros'!$B$4,'Importação Contabilidade'!$B$7:$B$500,$A59))</x:f>
      </x:c>
      <x:c r="Q59" t="str">
        <x:f>IF($A59="","",SUMIFS('Importação Contabilidade'!$H$7:$H$500,'Importação Contabilidade'!$A$7:$A$500,'Parâmetros'!$B$4,'Importação Contabilidade'!$B$7:$B$500,$A59))</x:f>
      </x:c>
      <x:c r="T59" t="str">
        <x:f>IF($A59="","",SUMIFS('Importação Contabilidade'!$I$7:$I$500,'Importação Contabilidade'!$A$7:$A$500,'Parâmetros'!$B$4,'Importação Contabilidade'!$B$7:$B$500,$A59))</x:f>
      </x:c>
      <x:c r="W59" t="str">
        <x:f>IF($A59="","",SUMIFS('Importação Contabilidade'!$J$7:$J$500,'Importação Contabilidade'!$A$7:$A$500,'Parâmetros'!$B$4,'Importação Contabilidade'!$B$7:$B$500,$A59))</x:f>
      </x:c>
      <x:c r="Z59" t="str">
        <x:f>IF($A59="","",SUMIFS('Importação Contabilidade'!$K$7:$K$500,'Importação Contabilidade'!$A$7:$A$500,'Parâmetros'!$B$4,'Importação Contabilidade'!$B$7:$B$500,$A59))</x:f>
      </x:c>
      <x:c r="AC59" t="str">
        <x:f>IF($A59="","",SUMIFS('Importação Contabilidade'!$L$7:$L$500,'Importação Contabilidade'!$A$7:$A$500,'Parâmetros'!$B$4,'Importação Contabilidade'!$B$7:$B$500,$A59))</x:f>
      </x:c>
      <x:c r="AF59" t="str">
        <x:f>IF($A59="","",SUMIFS('Importação Contabilidade'!$M$7:$M$500,'Importação Contabilidade'!$A$7:$A$500,'Parâmetros'!$B$4,'Importação Contabilidade'!$B$7:$B$500,$A59))</x:f>
      </x:c>
      <x:c r="AI59" t="str">
        <x:f>IF($A59="","",SUMIFS('Importação Contabilidade'!$N$7:$N$500,'Importação Contabilidade'!$A$7:$A$500,'Parâmetros'!$B$4,'Importação Contabilidade'!$B$7:$B$500,$A59))</x:f>
      </x:c>
      <x:c r="AL59" t="str">
        <x:f>IF($A59="","",SUMIFS('Importação Contabilidade'!$O$7:$O$500,'Importação Contabilidade'!$A$7:$A$500,'Parâmetros'!$B$4,'Importação Contabilidade'!$B$7:$B$500,$A59))</x:f>
      </x:c>
      <x:c r="AO59" t="str">
        <x:f>IF($A59="","",SUMIFS('Importação Contabilidade'!$P$7:$P$500,'Importação Contabilidade'!$A$7:$A$500,'Parâmetros'!$B$4,'Importação Contabilidade'!$B$7:$B$500,$A59))</x:f>
      </x:c>
      <x:c r="AR59" t="str">
        <x:f>IF($A59="","",SUMIFS('Importação Contabilidade'!$Q$7:$Q$500,'Importação Contabilidade'!$A$7:$A$500,'Parâmetros'!$B$4,'Importação Contabilidade'!$B$7:$B$500,$A59))</x:f>
      </x:c>
      <x:c r="AU59" t="str">
        <x:f>IF($A59="","",SUMIFS('Importação Contabilidade'!$R$7:$R$500,'Importação Contabilidade'!$A$7:$A$500,'Parâmetros'!$B$4,'Importação Contabilidade'!$B$7:$B$500,$A59))</x:f>
      </x:c>
      <x:c r="AX59" t="str">
        <x:f>IF($A59="","",SUMIFS('Importação Contabilidade'!$S$7:$S$500,'Importação Contabilidade'!$A$7:$A$500,'Parâmetros'!$B$4,'Importação Contabilidade'!$B$7:$B$500,$A59))</x:f>
      </x:c>
    </x:row>
    <x:row r="60">
      <x:c r="C60" t="str">
        <x:f>'Conferência'!AI56</x:f>
      </x:c>
      <x:c r="E60" t="str">
        <x:f>IF($A60="","",SUMIFS('Importação Contabilidade'!$D$7:$D$500,'Importação Contabilidade'!$A$7:$A$500,'Parâmetros'!$B$4,'Importação Contabilidade'!$B$7:$B$500,$A60))</x:f>
      </x:c>
      <x:c r="H60" t="str">
        <x:f>IF($A60="","",SUMIFS('Importação Contabilidade'!$E$7:$E$500,'Importação Contabilidade'!$A$7:$A$500,'Parâmetros'!$B$4,'Importação Contabilidade'!$B$7:$B$500,$A60))</x:f>
      </x:c>
      <x:c r="K60" t="str">
        <x:f>IF($A60="","",SUMIFS('Importação Contabilidade'!$F$7:$F$500,'Importação Contabilidade'!$A$7:$A$500,'Parâmetros'!$B$4,'Importação Contabilidade'!$B$7:$B$500,$A60))</x:f>
      </x:c>
      <x:c r="N60" t="str">
        <x:f>IF($A60="","",SUMIFS('Importação Contabilidade'!$G$7:$G$500,'Importação Contabilidade'!$A$7:$A$500,'Parâmetros'!$B$4,'Importação Contabilidade'!$B$7:$B$500,$A60))</x:f>
      </x:c>
      <x:c r="Q60" t="str">
        <x:f>IF($A60="","",SUMIFS('Importação Contabilidade'!$H$7:$H$500,'Importação Contabilidade'!$A$7:$A$500,'Parâmetros'!$B$4,'Importação Contabilidade'!$B$7:$B$500,$A60))</x:f>
      </x:c>
      <x:c r="T60" t="str">
        <x:f>IF($A60="","",SUMIFS('Importação Contabilidade'!$I$7:$I$500,'Importação Contabilidade'!$A$7:$A$500,'Parâmetros'!$B$4,'Importação Contabilidade'!$B$7:$B$500,$A60))</x:f>
      </x:c>
      <x:c r="W60" t="str">
        <x:f>IF($A60="","",SUMIFS('Importação Contabilidade'!$J$7:$J$500,'Importação Contabilidade'!$A$7:$A$500,'Parâmetros'!$B$4,'Importação Contabilidade'!$B$7:$B$500,$A60))</x:f>
      </x:c>
      <x:c r="Z60" t="str">
        <x:f>IF($A60="","",SUMIFS('Importação Contabilidade'!$K$7:$K$500,'Importação Contabilidade'!$A$7:$A$500,'Parâmetros'!$B$4,'Importação Contabilidade'!$B$7:$B$500,$A60))</x:f>
      </x:c>
      <x:c r="AC60" t="str">
        <x:f>IF($A60="","",SUMIFS('Importação Contabilidade'!$L$7:$L$500,'Importação Contabilidade'!$A$7:$A$500,'Parâmetros'!$B$4,'Importação Contabilidade'!$B$7:$B$500,$A60))</x:f>
      </x:c>
      <x:c r="AF60" t="str">
        <x:f>IF($A60="","",SUMIFS('Importação Contabilidade'!$M$7:$M$500,'Importação Contabilidade'!$A$7:$A$500,'Parâmetros'!$B$4,'Importação Contabilidade'!$B$7:$B$500,$A60))</x:f>
      </x:c>
      <x:c r="AI60" t="str">
        <x:f>IF($A60="","",SUMIFS('Importação Contabilidade'!$N$7:$N$500,'Importação Contabilidade'!$A$7:$A$500,'Parâmetros'!$B$4,'Importação Contabilidade'!$B$7:$B$500,$A60))</x:f>
      </x:c>
      <x:c r="AL60" t="str">
        <x:f>IF($A60="","",SUMIFS('Importação Contabilidade'!$O$7:$O$500,'Importação Contabilidade'!$A$7:$A$500,'Parâmetros'!$B$4,'Importação Contabilidade'!$B$7:$B$500,$A60))</x:f>
      </x:c>
      <x:c r="AO60" t="str">
        <x:f>IF($A60="","",SUMIFS('Importação Contabilidade'!$P$7:$P$500,'Importação Contabilidade'!$A$7:$A$500,'Parâmetros'!$B$4,'Importação Contabilidade'!$B$7:$B$500,$A60))</x:f>
      </x:c>
      <x:c r="AR60" t="str">
        <x:f>IF($A60="","",SUMIFS('Importação Contabilidade'!$Q$7:$Q$500,'Importação Contabilidade'!$A$7:$A$500,'Parâmetros'!$B$4,'Importação Contabilidade'!$B$7:$B$500,$A60))</x:f>
      </x:c>
      <x:c r="AU60" t="str">
        <x:f>IF($A60="","",SUMIFS('Importação Contabilidade'!$R$7:$R$500,'Importação Contabilidade'!$A$7:$A$500,'Parâmetros'!$B$4,'Importação Contabilidade'!$B$7:$B$500,$A60))</x:f>
      </x:c>
      <x:c r="AX60" t="str">
        <x:f>IF($A60="","",SUMIFS('Importação Contabilidade'!$S$7:$S$500,'Importação Contabilidade'!$A$7:$A$500,'Parâmetros'!$B$4,'Importação Contabilidade'!$B$7:$B$500,$A60))</x:f>
      </x:c>
    </x:row>
    <x:row r="61">
      <x:c r="C61" t="str">
        <x:f>'Conferência'!AI57</x:f>
      </x:c>
      <x:c r="E61" t="str">
        <x:f>IF($A61="","",SUMIFS('Importação Contabilidade'!$D$7:$D$500,'Importação Contabilidade'!$A$7:$A$500,'Parâmetros'!$B$4,'Importação Contabilidade'!$B$7:$B$500,$A61))</x:f>
      </x:c>
      <x:c r="H61" t="str">
        <x:f>IF($A61="","",SUMIFS('Importação Contabilidade'!$E$7:$E$500,'Importação Contabilidade'!$A$7:$A$500,'Parâmetros'!$B$4,'Importação Contabilidade'!$B$7:$B$500,$A61))</x:f>
      </x:c>
      <x:c r="K61" t="str">
        <x:f>IF($A61="","",SUMIFS('Importação Contabilidade'!$F$7:$F$500,'Importação Contabilidade'!$A$7:$A$500,'Parâmetros'!$B$4,'Importação Contabilidade'!$B$7:$B$500,$A61))</x:f>
      </x:c>
      <x:c r="N61" t="str">
        <x:f>IF($A61="","",SUMIFS('Importação Contabilidade'!$G$7:$G$500,'Importação Contabilidade'!$A$7:$A$500,'Parâmetros'!$B$4,'Importação Contabilidade'!$B$7:$B$500,$A61))</x:f>
      </x:c>
      <x:c r="Q61" t="str">
        <x:f>IF($A61="","",SUMIFS('Importação Contabilidade'!$H$7:$H$500,'Importação Contabilidade'!$A$7:$A$500,'Parâmetros'!$B$4,'Importação Contabilidade'!$B$7:$B$500,$A61))</x:f>
      </x:c>
      <x:c r="T61" t="str">
        <x:f>IF($A61="","",SUMIFS('Importação Contabilidade'!$I$7:$I$500,'Importação Contabilidade'!$A$7:$A$500,'Parâmetros'!$B$4,'Importação Contabilidade'!$B$7:$B$500,$A61))</x:f>
      </x:c>
      <x:c r="W61" t="str">
        <x:f>IF($A61="","",SUMIFS('Importação Contabilidade'!$J$7:$J$500,'Importação Contabilidade'!$A$7:$A$500,'Parâmetros'!$B$4,'Importação Contabilidade'!$B$7:$B$500,$A61))</x:f>
      </x:c>
      <x:c r="Z61" t="str">
        <x:f>IF($A61="","",SUMIFS('Importação Contabilidade'!$K$7:$K$500,'Importação Contabilidade'!$A$7:$A$500,'Parâmetros'!$B$4,'Importação Contabilidade'!$B$7:$B$500,$A61))</x:f>
      </x:c>
      <x:c r="AC61" t="str">
        <x:f>IF($A61="","",SUMIFS('Importação Contabilidade'!$L$7:$L$500,'Importação Contabilidade'!$A$7:$A$500,'Parâmetros'!$B$4,'Importação Contabilidade'!$B$7:$B$500,$A61))</x:f>
      </x:c>
      <x:c r="AF61" t="str">
        <x:f>IF($A61="","",SUMIFS('Importação Contabilidade'!$M$7:$M$500,'Importação Contabilidade'!$A$7:$A$500,'Parâmetros'!$B$4,'Importação Contabilidade'!$B$7:$B$500,$A61))</x:f>
      </x:c>
      <x:c r="AI61" t="str">
        <x:f>IF($A61="","",SUMIFS('Importação Contabilidade'!$N$7:$N$500,'Importação Contabilidade'!$A$7:$A$500,'Parâmetros'!$B$4,'Importação Contabilidade'!$B$7:$B$500,$A61))</x:f>
      </x:c>
      <x:c r="AL61" t="str">
        <x:f>IF($A61="","",SUMIFS('Importação Contabilidade'!$O$7:$O$500,'Importação Contabilidade'!$A$7:$A$500,'Parâmetros'!$B$4,'Importação Contabilidade'!$B$7:$B$500,$A61))</x:f>
      </x:c>
      <x:c r="AO61" t="str">
        <x:f>IF($A61="","",SUMIFS('Importação Contabilidade'!$P$7:$P$500,'Importação Contabilidade'!$A$7:$A$500,'Parâmetros'!$B$4,'Importação Contabilidade'!$B$7:$B$500,$A61))</x:f>
      </x:c>
      <x:c r="AR61" t="str">
        <x:f>IF($A61="","",SUMIFS('Importação Contabilidade'!$Q$7:$Q$500,'Importação Contabilidade'!$A$7:$A$500,'Parâmetros'!$B$4,'Importação Contabilidade'!$B$7:$B$500,$A61))</x:f>
      </x:c>
      <x:c r="AU61" t="str">
        <x:f>IF($A61="","",SUMIFS('Importação Contabilidade'!$R$7:$R$500,'Importação Contabilidade'!$A$7:$A$500,'Parâmetros'!$B$4,'Importação Contabilidade'!$B$7:$B$500,$A61))</x:f>
      </x:c>
      <x:c r="AX61" t="str">
        <x:f>IF($A61="","",SUMIFS('Importação Contabilidade'!$S$7:$S$500,'Importação Contabilidade'!$A$7:$A$500,'Parâmetros'!$B$4,'Importação Contabilidade'!$B$7:$B$500,$A61))</x:f>
      </x:c>
    </x:row>
    <x:row r="62">
      <x:c r="C62" t="str">
        <x:f>'Conferência'!AI58</x:f>
      </x:c>
      <x:c r="E62" t="str">
        <x:f>IF($A62="","",SUMIFS('Importação Contabilidade'!$D$7:$D$500,'Importação Contabilidade'!$A$7:$A$500,'Parâmetros'!$B$4,'Importação Contabilidade'!$B$7:$B$500,$A62))</x:f>
      </x:c>
      <x:c r="H62" t="str">
        <x:f>IF($A62="","",SUMIFS('Importação Contabilidade'!$E$7:$E$500,'Importação Contabilidade'!$A$7:$A$500,'Parâmetros'!$B$4,'Importação Contabilidade'!$B$7:$B$500,$A62))</x:f>
      </x:c>
      <x:c r="K62" t="str">
        <x:f>IF($A62="","",SUMIFS('Importação Contabilidade'!$F$7:$F$500,'Importação Contabilidade'!$A$7:$A$500,'Parâmetros'!$B$4,'Importação Contabilidade'!$B$7:$B$500,$A62))</x:f>
      </x:c>
      <x:c r="N62" t="str">
        <x:f>IF($A62="","",SUMIFS('Importação Contabilidade'!$G$7:$G$500,'Importação Contabilidade'!$A$7:$A$500,'Parâmetros'!$B$4,'Importação Contabilidade'!$B$7:$B$500,$A62))</x:f>
      </x:c>
      <x:c r="Q62" t="str">
        <x:f>IF($A62="","",SUMIFS('Importação Contabilidade'!$H$7:$H$500,'Importação Contabilidade'!$A$7:$A$500,'Parâmetros'!$B$4,'Importação Contabilidade'!$B$7:$B$500,$A62))</x:f>
      </x:c>
      <x:c r="T62" t="str">
        <x:f>IF($A62="","",SUMIFS('Importação Contabilidade'!$I$7:$I$500,'Importação Contabilidade'!$A$7:$A$500,'Parâmetros'!$B$4,'Importação Contabilidade'!$B$7:$B$500,$A62))</x:f>
      </x:c>
      <x:c r="W62" t="str">
        <x:f>IF($A62="","",SUMIFS('Importação Contabilidade'!$J$7:$J$500,'Importação Contabilidade'!$A$7:$A$500,'Parâmetros'!$B$4,'Importação Contabilidade'!$B$7:$B$500,$A62))</x:f>
      </x:c>
      <x:c r="Z62" t="str">
        <x:f>IF($A62="","",SUMIFS('Importação Contabilidade'!$K$7:$K$500,'Importação Contabilidade'!$A$7:$A$500,'Parâmetros'!$B$4,'Importação Contabilidade'!$B$7:$B$500,$A62))</x:f>
      </x:c>
      <x:c r="AC62" t="str">
        <x:f>IF($A62="","",SUMIFS('Importação Contabilidade'!$L$7:$L$500,'Importação Contabilidade'!$A$7:$A$500,'Parâmetros'!$B$4,'Importação Contabilidade'!$B$7:$B$500,$A62))</x:f>
      </x:c>
      <x:c r="AF62" t="str">
        <x:f>IF($A62="","",SUMIFS('Importação Contabilidade'!$M$7:$M$500,'Importação Contabilidade'!$A$7:$A$500,'Parâmetros'!$B$4,'Importação Contabilidade'!$B$7:$B$500,$A62))</x:f>
      </x:c>
      <x:c r="AI62" t="str">
        <x:f>IF($A62="","",SUMIFS('Importação Contabilidade'!$N$7:$N$500,'Importação Contabilidade'!$A$7:$A$500,'Parâmetros'!$B$4,'Importação Contabilidade'!$B$7:$B$500,$A62))</x:f>
      </x:c>
      <x:c r="AL62" t="str">
        <x:f>IF($A62="","",SUMIFS('Importação Contabilidade'!$O$7:$O$500,'Importação Contabilidade'!$A$7:$A$500,'Parâmetros'!$B$4,'Importação Contabilidade'!$B$7:$B$500,$A62))</x:f>
      </x:c>
      <x:c r="AO62" t="str">
        <x:f>IF($A62="","",SUMIFS('Importação Contabilidade'!$P$7:$P$500,'Importação Contabilidade'!$A$7:$A$500,'Parâmetros'!$B$4,'Importação Contabilidade'!$B$7:$B$500,$A62))</x:f>
      </x:c>
      <x:c r="AR62" t="str">
        <x:f>IF($A62="","",SUMIFS('Importação Contabilidade'!$Q$7:$Q$500,'Importação Contabilidade'!$A$7:$A$500,'Parâmetros'!$B$4,'Importação Contabilidade'!$B$7:$B$500,$A62))</x:f>
      </x:c>
      <x:c r="AU62" t="str">
        <x:f>IF($A62="","",SUMIFS('Importação Contabilidade'!$R$7:$R$500,'Importação Contabilidade'!$A$7:$A$500,'Parâmetros'!$B$4,'Importação Contabilidade'!$B$7:$B$500,$A62))</x:f>
      </x:c>
      <x:c r="AX62" t="str">
        <x:f>IF($A62="","",SUMIFS('Importação Contabilidade'!$S$7:$S$500,'Importação Contabilidade'!$A$7:$A$500,'Parâmetros'!$B$4,'Importação Contabilidade'!$B$7:$B$500,$A62))</x:f>
      </x:c>
    </x:row>
    <x:row r="63">
      <x:c r="C63" t="str">
        <x:f>'Conferência'!AI59</x:f>
      </x:c>
      <x:c r="E63" t="str">
        <x:f>IF($A63="","",SUMIFS('Importação Contabilidade'!$D$7:$D$500,'Importação Contabilidade'!$A$7:$A$500,'Parâmetros'!$B$4,'Importação Contabilidade'!$B$7:$B$500,$A63))</x:f>
      </x:c>
      <x:c r="H63" t="str">
        <x:f>IF($A63="","",SUMIFS('Importação Contabilidade'!$E$7:$E$500,'Importação Contabilidade'!$A$7:$A$500,'Parâmetros'!$B$4,'Importação Contabilidade'!$B$7:$B$500,$A63))</x:f>
      </x:c>
      <x:c r="K63" t="str">
        <x:f>IF($A63="","",SUMIFS('Importação Contabilidade'!$F$7:$F$500,'Importação Contabilidade'!$A$7:$A$500,'Parâmetros'!$B$4,'Importação Contabilidade'!$B$7:$B$500,$A63))</x:f>
      </x:c>
      <x:c r="N63" t="str">
        <x:f>IF($A63="","",SUMIFS('Importação Contabilidade'!$G$7:$G$500,'Importação Contabilidade'!$A$7:$A$500,'Parâmetros'!$B$4,'Importação Contabilidade'!$B$7:$B$500,$A63))</x:f>
      </x:c>
      <x:c r="Q63" t="str">
        <x:f>IF($A63="","",SUMIFS('Importação Contabilidade'!$H$7:$H$500,'Importação Contabilidade'!$A$7:$A$500,'Parâmetros'!$B$4,'Importação Contabilidade'!$B$7:$B$500,$A63))</x:f>
      </x:c>
      <x:c r="T63" t="str">
        <x:f>IF($A63="","",SUMIFS('Importação Contabilidade'!$I$7:$I$500,'Importação Contabilidade'!$A$7:$A$500,'Parâmetros'!$B$4,'Importação Contabilidade'!$B$7:$B$500,$A63))</x:f>
      </x:c>
      <x:c r="W63" t="str">
        <x:f>IF($A63="","",SUMIFS('Importação Contabilidade'!$J$7:$J$500,'Importação Contabilidade'!$A$7:$A$500,'Parâmetros'!$B$4,'Importação Contabilidade'!$B$7:$B$500,$A63))</x:f>
      </x:c>
      <x:c r="Z63" t="str">
        <x:f>IF($A63="","",SUMIFS('Importação Contabilidade'!$K$7:$K$500,'Importação Contabilidade'!$A$7:$A$500,'Parâmetros'!$B$4,'Importação Contabilidade'!$B$7:$B$500,$A63))</x:f>
      </x:c>
      <x:c r="AC63" t="str">
        <x:f>IF($A63="","",SUMIFS('Importação Contabilidade'!$L$7:$L$500,'Importação Contabilidade'!$A$7:$A$500,'Parâmetros'!$B$4,'Importação Contabilidade'!$B$7:$B$500,$A63))</x:f>
      </x:c>
      <x:c r="AF63" t="str">
        <x:f>IF($A63="","",SUMIFS('Importação Contabilidade'!$M$7:$M$500,'Importação Contabilidade'!$A$7:$A$500,'Parâmetros'!$B$4,'Importação Contabilidade'!$B$7:$B$500,$A63))</x:f>
      </x:c>
      <x:c r="AI63" t="str">
        <x:f>IF($A63="","",SUMIFS('Importação Contabilidade'!$N$7:$N$500,'Importação Contabilidade'!$A$7:$A$500,'Parâmetros'!$B$4,'Importação Contabilidade'!$B$7:$B$500,$A63))</x:f>
      </x:c>
      <x:c r="AL63" t="str">
        <x:f>IF($A63="","",SUMIFS('Importação Contabilidade'!$O$7:$O$500,'Importação Contabilidade'!$A$7:$A$500,'Parâmetros'!$B$4,'Importação Contabilidade'!$B$7:$B$500,$A63))</x:f>
      </x:c>
      <x:c r="AO63" t="str">
        <x:f>IF($A63="","",SUMIFS('Importação Contabilidade'!$P$7:$P$500,'Importação Contabilidade'!$A$7:$A$500,'Parâmetros'!$B$4,'Importação Contabilidade'!$B$7:$B$500,$A63))</x:f>
      </x:c>
      <x:c r="AR63" t="str">
        <x:f>IF($A63="","",SUMIFS('Importação Contabilidade'!$Q$7:$Q$500,'Importação Contabilidade'!$A$7:$A$500,'Parâmetros'!$B$4,'Importação Contabilidade'!$B$7:$B$500,$A63))</x:f>
      </x:c>
      <x:c r="AU63" t="str">
        <x:f>IF($A63="","",SUMIFS('Importação Contabilidade'!$R$7:$R$500,'Importação Contabilidade'!$A$7:$A$500,'Parâmetros'!$B$4,'Importação Contabilidade'!$B$7:$B$500,$A63))</x:f>
      </x:c>
      <x:c r="AX63" t="str">
        <x:f>IF($A63="","",SUMIFS('Importação Contabilidade'!$S$7:$S$500,'Importação Contabilidade'!$A$7:$A$500,'Parâmetros'!$B$4,'Importação Contabilidade'!$B$7:$B$500,$A63))</x:f>
      </x:c>
    </x:row>
    <x:row r="64">
      <x:c r="C64" t="str">
        <x:f>'Conferência'!AI60</x:f>
      </x:c>
      <x:c r="E64" t="str">
        <x:f>IF($A64="","",SUMIFS('Importação Contabilidade'!$D$7:$D$500,'Importação Contabilidade'!$A$7:$A$500,'Parâmetros'!$B$4,'Importação Contabilidade'!$B$7:$B$500,$A64))</x:f>
      </x:c>
      <x:c r="H64" t="str">
        <x:f>IF($A64="","",SUMIFS('Importação Contabilidade'!$E$7:$E$500,'Importação Contabilidade'!$A$7:$A$500,'Parâmetros'!$B$4,'Importação Contabilidade'!$B$7:$B$500,$A64))</x:f>
      </x:c>
      <x:c r="K64" t="str">
        <x:f>IF($A64="","",SUMIFS('Importação Contabilidade'!$F$7:$F$500,'Importação Contabilidade'!$A$7:$A$500,'Parâmetros'!$B$4,'Importação Contabilidade'!$B$7:$B$500,$A64))</x:f>
      </x:c>
      <x:c r="N64" t="str">
        <x:f>IF($A64="","",SUMIFS('Importação Contabilidade'!$G$7:$G$500,'Importação Contabilidade'!$A$7:$A$500,'Parâmetros'!$B$4,'Importação Contabilidade'!$B$7:$B$500,$A64))</x:f>
      </x:c>
      <x:c r="Q64" t="str">
        <x:f>IF($A64="","",SUMIFS('Importação Contabilidade'!$H$7:$H$500,'Importação Contabilidade'!$A$7:$A$500,'Parâmetros'!$B$4,'Importação Contabilidade'!$B$7:$B$500,$A64))</x:f>
      </x:c>
      <x:c r="T64" t="str">
        <x:f>IF($A64="","",SUMIFS('Importação Contabilidade'!$I$7:$I$500,'Importação Contabilidade'!$A$7:$A$500,'Parâmetros'!$B$4,'Importação Contabilidade'!$B$7:$B$500,$A64))</x:f>
      </x:c>
      <x:c r="W64" t="str">
        <x:f>IF($A64="","",SUMIFS('Importação Contabilidade'!$J$7:$J$500,'Importação Contabilidade'!$A$7:$A$500,'Parâmetros'!$B$4,'Importação Contabilidade'!$B$7:$B$500,$A64))</x:f>
      </x:c>
      <x:c r="Z64" t="str">
        <x:f>IF($A64="","",SUMIFS('Importação Contabilidade'!$K$7:$K$500,'Importação Contabilidade'!$A$7:$A$500,'Parâmetros'!$B$4,'Importação Contabilidade'!$B$7:$B$500,$A64))</x:f>
      </x:c>
      <x:c r="AC64" t="str">
        <x:f>IF($A64="","",SUMIFS('Importação Contabilidade'!$L$7:$L$500,'Importação Contabilidade'!$A$7:$A$500,'Parâmetros'!$B$4,'Importação Contabilidade'!$B$7:$B$500,$A64))</x:f>
      </x:c>
      <x:c r="AF64" t="str">
        <x:f>IF($A64="","",SUMIFS('Importação Contabilidade'!$M$7:$M$500,'Importação Contabilidade'!$A$7:$A$500,'Parâmetros'!$B$4,'Importação Contabilidade'!$B$7:$B$500,$A64))</x:f>
      </x:c>
      <x:c r="AI64" t="str">
        <x:f>IF($A64="","",SUMIFS('Importação Contabilidade'!$N$7:$N$500,'Importação Contabilidade'!$A$7:$A$500,'Parâmetros'!$B$4,'Importação Contabilidade'!$B$7:$B$500,$A64))</x:f>
      </x:c>
      <x:c r="AL64" t="str">
        <x:f>IF($A64="","",SUMIFS('Importação Contabilidade'!$O$7:$O$500,'Importação Contabilidade'!$A$7:$A$500,'Parâmetros'!$B$4,'Importação Contabilidade'!$B$7:$B$500,$A64))</x:f>
      </x:c>
      <x:c r="AO64" t="str">
        <x:f>IF($A64="","",SUMIFS('Importação Contabilidade'!$P$7:$P$500,'Importação Contabilidade'!$A$7:$A$500,'Parâmetros'!$B$4,'Importação Contabilidade'!$B$7:$B$500,$A64))</x:f>
      </x:c>
      <x:c r="AR64" t="str">
        <x:f>IF($A64="","",SUMIFS('Importação Contabilidade'!$Q$7:$Q$500,'Importação Contabilidade'!$A$7:$A$500,'Parâmetros'!$B$4,'Importação Contabilidade'!$B$7:$B$500,$A64))</x:f>
      </x:c>
      <x:c r="AU64" t="str">
        <x:f>IF($A64="","",SUMIFS('Importação Contabilidade'!$R$7:$R$500,'Importação Contabilidade'!$A$7:$A$500,'Parâmetros'!$B$4,'Importação Contabilidade'!$B$7:$B$500,$A64))</x:f>
      </x:c>
      <x:c r="AX64" t="str">
        <x:f>IF($A64="","",SUMIFS('Importação Contabilidade'!$S$7:$S$500,'Importação Contabilidade'!$A$7:$A$500,'Parâmetros'!$B$4,'Importação Contabilidade'!$B$7:$B$500,$A64))</x:f>
      </x:c>
    </x:row>
    <x:row r="65">
      <x:c r="C65" t="str">
        <x:f>'Conferência'!AI61</x:f>
      </x:c>
      <x:c r="E65" t="str">
        <x:f>IF($A65="","",SUMIFS('Importação Contabilidade'!$D$7:$D$500,'Importação Contabilidade'!$A$7:$A$500,'Parâmetros'!$B$4,'Importação Contabilidade'!$B$7:$B$500,$A65))</x:f>
      </x:c>
      <x:c r="H65" t="str">
        <x:f>IF($A65="","",SUMIFS('Importação Contabilidade'!$E$7:$E$500,'Importação Contabilidade'!$A$7:$A$500,'Parâmetros'!$B$4,'Importação Contabilidade'!$B$7:$B$500,$A65))</x:f>
      </x:c>
      <x:c r="K65" t="str">
        <x:f>IF($A65="","",SUMIFS('Importação Contabilidade'!$F$7:$F$500,'Importação Contabilidade'!$A$7:$A$500,'Parâmetros'!$B$4,'Importação Contabilidade'!$B$7:$B$500,$A65))</x:f>
      </x:c>
      <x:c r="N65" t="str">
        <x:f>IF($A65="","",SUMIFS('Importação Contabilidade'!$G$7:$G$500,'Importação Contabilidade'!$A$7:$A$500,'Parâmetros'!$B$4,'Importação Contabilidade'!$B$7:$B$500,$A65))</x:f>
      </x:c>
      <x:c r="Q65" t="str">
        <x:f>IF($A65="","",SUMIFS('Importação Contabilidade'!$H$7:$H$500,'Importação Contabilidade'!$A$7:$A$500,'Parâmetros'!$B$4,'Importação Contabilidade'!$B$7:$B$500,$A65))</x:f>
      </x:c>
      <x:c r="T65" t="str">
        <x:f>IF($A65="","",SUMIFS('Importação Contabilidade'!$I$7:$I$500,'Importação Contabilidade'!$A$7:$A$500,'Parâmetros'!$B$4,'Importação Contabilidade'!$B$7:$B$500,$A65))</x:f>
      </x:c>
      <x:c r="W65" t="str">
        <x:f>IF($A65="","",SUMIFS('Importação Contabilidade'!$J$7:$J$500,'Importação Contabilidade'!$A$7:$A$500,'Parâmetros'!$B$4,'Importação Contabilidade'!$B$7:$B$500,$A65))</x:f>
      </x:c>
      <x:c r="Z65" t="str">
        <x:f>IF($A65="","",SUMIFS('Importação Contabilidade'!$K$7:$K$500,'Importação Contabilidade'!$A$7:$A$500,'Parâmetros'!$B$4,'Importação Contabilidade'!$B$7:$B$500,$A65))</x:f>
      </x:c>
      <x:c r="AC65" t="str">
        <x:f>IF($A65="","",SUMIFS('Importação Contabilidade'!$L$7:$L$500,'Importação Contabilidade'!$A$7:$A$500,'Parâmetros'!$B$4,'Importação Contabilidade'!$B$7:$B$500,$A65))</x:f>
      </x:c>
      <x:c r="AF65" t="str">
        <x:f>IF($A65="","",SUMIFS('Importação Contabilidade'!$M$7:$M$500,'Importação Contabilidade'!$A$7:$A$500,'Parâmetros'!$B$4,'Importação Contabilidade'!$B$7:$B$500,$A65))</x:f>
      </x:c>
      <x:c r="AI65" t="str">
        <x:f>IF($A65="","",SUMIFS('Importação Contabilidade'!$N$7:$N$500,'Importação Contabilidade'!$A$7:$A$500,'Parâmetros'!$B$4,'Importação Contabilidade'!$B$7:$B$500,$A65))</x:f>
      </x:c>
      <x:c r="AL65" t="str">
        <x:f>IF($A65="","",SUMIFS('Importação Contabilidade'!$O$7:$O$500,'Importação Contabilidade'!$A$7:$A$500,'Parâmetros'!$B$4,'Importação Contabilidade'!$B$7:$B$500,$A65))</x:f>
      </x:c>
      <x:c r="AO65" t="str">
        <x:f>IF($A65="","",SUMIFS('Importação Contabilidade'!$P$7:$P$500,'Importação Contabilidade'!$A$7:$A$500,'Parâmetros'!$B$4,'Importação Contabilidade'!$B$7:$B$500,$A65))</x:f>
      </x:c>
      <x:c r="AR65" t="str">
        <x:f>IF($A65="","",SUMIFS('Importação Contabilidade'!$Q$7:$Q$500,'Importação Contabilidade'!$A$7:$A$500,'Parâmetros'!$B$4,'Importação Contabilidade'!$B$7:$B$500,$A65))</x:f>
      </x:c>
      <x:c r="AU65" t="str">
        <x:f>IF($A65="","",SUMIFS('Importação Contabilidade'!$R$7:$R$500,'Importação Contabilidade'!$A$7:$A$500,'Parâmetros'!$B$4,'Importação Contabilidade'!$B$7:$B$500,$A65))</x:f>
      </x:c>
      <x:c r="AX65" t="str">
        <x:f>IF($A65="","",SUMIFS('Importação Contabilidade'!$S$7:$S$500,'Importação Contabilidade'!$A$7:$A$500,'Parâmetros'!$B$4,'Importação Contabilidade'!$B$7:$B$500,$A65))</x:f>
      </x:c>
    </x:row>
    <x:row r="66">
      <x:c r="C66" t="str">
        <x:f>'Conferência'!AI62</x:f>
      </x:c>
      <x:c r="E66" t="str">
        <x:f>IF($A66="","",SUMIFS('Importação Contabilidade'!$D$7:$D$500,'Importação Contabilidade'!$A$7:$A$500,'Parâmetros'!$B$4,'Importação Contabilidade'!$B$7:$B$500,$A66))</x:f>
      </x:c>
      <x:c r="H66" t="str">
        <x:f>IF($A66="","",SUMIFS('Importação Contabilidade'!$E$7:$E$500,'Importação Contabilidade'!$A$7:$A$500,'Parâmetros'!$B$4,'Importação Contabilidade'!$B$7:$B$500,$A66))</x:f>
      </x:c>
      <x:c r="K66" t="str">
        <x:f>IF($A66="","",SUMIFS('Importação Contabilidade'!$F$7:$F$500,'Importação Contabilidade'!$A$7:$A$500,'Parâmetros'!$B$4,'Importação Contabilidade'!$B$7:$B$500,$A66))</x:f>
      </x:c>
      <x:c r="N66" t="str">
        <x:f>IF($A66="","",SUMIFS('Importação Contabilidade'!$G$7:$G$500,'Importação Contabilidade'!$A$7:$A$500,'Parâmetros'!$B$4,'Importação Contabilidade'!$B$7:$B$500,$A66))</x:f>
      </x:c>
      <x:c r="Q66" t="str">
        <x:f>IF($A66="","",SUMIFS('Importação Contabilidade'!$H$7:$H$500,'Importação Contabilidade'!$A$7:$A$500,'Parâmetros'!$B$4,'Importação Contabilidade'!$B$7:$B$500,$A66))</x:f>
      </x:c>
      <x:c r="T66" t="str">
        <x:f>IF($A66="","",SUMIFS('Importação Contabilidade'!$I$7:$I$500,'Importação Contabilidade'!$A$7:$A$500,'Parâmetros'!$B$4,'Importação Contabilidade'!$B$7:$B$500,$A66))</x:f>
      </x:c>
      <x:c r="W66" t="str">
        <x:f>IF($A66="","",SUMIFS('Importação Contabilidade'!$J$7:$J$500,'Importação Contabilidade'!$A$7:$A$500,'Parâmetros'!$B$4,'Importação Contabilidade'!$B$7:$B$500,$A66))</x:f>
      </x:c>
      <x:c r="Z66" t="str">
        <x:f>IF($A66="","",SUMIFS('Importação Contabilidade'!$K$7:$K$500,'Importação Contabilidade'!$A$7:$A$500,'Parâmetros'!$B$4,'Importação Contabilidade'!$B$7:$B$500,$A66))</x:f>
      </x:c>
      <x:c r="AC66" t="str">
        <x:f>IF($A66="","",SUMIFS('Importação Contabilidade'!$L$7:$L$500,'Importação Contabilidade'!$A$7:$A$500,'Parâmetros'!$B$4,'Importação Contabilidade'!$B$7:$B$500,$A66))</x:f>
      </x:c>
      <x:c r="AF66" t="str">
        <x:f>IF($A66="","",SUMIFS('Importação Contabilidade'!$M$7:$M$500,'Importação Contabilidade'!$A$7:$A$500,'Parâmetros'!$B$4,'Importação Contabilidade'!$B$7:$B$500,$A66))</x:f>
      </x:c>
      <x:c r="AI66" t="str">
        <x:f>IF($A66="","",SUMIFS('Importação Contabilidade'!$N$7:$N$500,'Importação Contabilidade'!$A$7:$A$500,'Parâmetros'!$B$4,'Importação Contabilidade'!$B$7:$B$500,$A66))</x:f>
      </x:c>
      <x:c r="AL66" t="str">
        <x:f>IF($A66="","",SUMIFS('Importação Contabilidade'!$O$7:$O$500,'Importação Contabilidade'!$A$7:$A$500,'Parâmetros'!$B$4,'Importação Contabilidade'!$B$7:$B$500,$A66))</x:f>
      </x:c>
      <x:c r="AO66" t="str">
        <x:f>IF($A66="","",SUMIFS('Importação Contabilidade'!$P$7:$P$500,'Importação Contabilidade'!$A$7:$A$500,'Parâmetros'!$B$4,'Importação Contabilidade'!$B$7:$B$500,$A66))</x:f>
      </x:c>
      <x:c r="AR66" t="str">
        <x:f>IF($A66="","",SUMIFS('Importação Contabilidade'!$Q$7:$Q$500,'Importação Contabilidade'!$A$7:$A$500,'Parâmetros'!$B$4,'Importação Contabilidade'!$B$7:$B$500,$A66))</x:f>
      </x:c>
      <x:c r="AU66" t="str">
        <x:f>IF($A66="","",SUMIFS('Importação Contabilidade'!$R$7:$R$500,'Importação Contabilidade'!$A$7:$A$500,'Parâmetros'!$B$4,'Importação Contabilidade'!$B$7:$B$500,$A66))</x:f>
      </x:c>
      <x:c r="AX66" t="str">
        <x:f>IF($A66="","",SUMIFS('Importação Contabilidade'!$S$7:$S$500,'Importação Contabilidade'!$A$7:$A$500,'Parâmetros'!$B$4,'Importação Contabilidade'!$B$7:$B$500,$A66))</x:f>
      </x:c>
    </x:row>
    <x:row r="67">
      <x:c r="C67" t="str">
        <x:f>'Conferência'!AI63</x:f>
      </x:c>
      <x:c r="E67" t="str">
        <x:f>IF($A67="","",SUMIFS('Importação Contabilidade'!$D$7:$D$500,'Importação Contabilidade'!$A$7:$A$500,'Parâmetros'!$B$4,'Importação Contabilidade'!$B$7:$B$500,$A67))</x:f>
      </x:c>
      <x:c r="H67" t="str">
        <x:f>IF($A67="","",SUMIFS('Importação Contabilidade'!$E$7:$E$500,'Importação Contabilidade'!$A$7:$A$500,'Parâmetros'!$B$4,'Importação Contabilidade'!$B$7:$B$500,$A67))</x:f>
      </x:c>
      <x:c r="K67" t="str">
        <x:f>IF($A67="","",SUMIFS('Importação Contabilidade'!$F$7:$F$500,'Importação Contabilidade'!$A$7:$A$500,'Parâmetros'!$B$4,'Importação Contabilidade'!$B$7:$B$500,$A67))</x:f>
      </x:c>
      <x:c r="N67" t="str">
        <x:f>IF($A67="","",SUMIFS('Importação Contabilidade'!$G$7:$G$500,'Importação Contabilidade'!$A$7:$A$500,'Parâmetros'!$B$4,'Importação Contabilidade'!$B$7:$B$500,$A67))</x:f>
      </x:c>
      <x:c r="Q67" t="str">
        <x:f>IF($A67="","",SUMIFS('Importação Contabilidade'!$H$7:$H$500,'Importação Contabilidade'!$A$7:$A$500,'Parâmetros'!$B$4,'Importação Contabilidade'!$B$7:$B$500,$A67))</x:f>
      </x:c>
      <x:c r="T67" t="str">
        <x:f>IF($A67="","",SUMIFS('Importação Contabilidade'!$I$7:$I$500,'Importação Contabilidade'!$A$7:$A$500,'Parâmetros'!$B$4,'Importação Contabilidade'!$B$7:$B$500,$A67))</x:f>
      </x:c>
      <x:c r="W67" t="str">
        <x:f>IF($A67="","",SUMIFS('Importação Contabilidade'!$J$7:$J$500,'Importação Contabilidade'!$A$7:$A$500,'Parâmetros'!$B$4,'Importação Contabilidade'!$B$7:$B$500,$A67))</x:f>
      </x:c>
      <x:c r="Z67" t="str">
        <x:f>IF($A67="","",SUMIFS('Importação Contabilidade'!$K$7:$K$500,'Importação Contabilidade'!$A$7:$A$500,'Parâmetros'!$B$4,'Importação Contabilidade'!$B$7:$B$500,$A67))</x:f>
      </x:c>
      <x:c r="AC67" t="str">
        <x:f>IF($A67="","",SUMIFS('Importação Contabilidade'!$L$7:$L$500,'Importação Contabilidade'!$A$7:$A$500,'Parâmetros'!$B$4,'Importação Contabilidade'!$B$7:$B$500,$A67))</x:f>
      </x:c>
      <x:c r="AF67" t="str">
        <x:f>IF($A67="","",SUMIFS('Importação Contabilidade'!$M$7:$M$500,'Importação Contabilidade'!$A$7:$A$500,'Parâmetros'!$B$4,'Importação Contabilidade'!$B$7:$B$500,$A67))</x:f>
      </x:c>
      <x:c r="AI67" t="str">
        <x:f>IF($A67="","",SUMIFS('Importação Contabilidade'!$N$7:$N$500,'Importação Contabilidade'!$A$7:$A$500,'Parâmetros'!$B$4,'Importação Contabilidade'!$B$7:$B$500,$A67))</x:f>
      </x:c>
      <x:c r="AL67" t="str">
        <x:f>IF($A67="","",SUMIFS('Importação Contabilidade'!$O$7:$O$500,'Importação Contabilidade'!$A$7:$A$500,'Parâmetros'!$B$4,'Importação Contabilidade'!$B$7:$B$500,$A67))</x:f>
      </x:c>
      <x:c r="AO67" t="str">
        <x:f>IF($A67="","",SUMIFS('Importação Contabilidade'!$P$7:$P$500,'Importação Contabilidade'!$A$7:$A$500,'Parâmetros'!$B$4,'Importação Contabilidade'!$B$7:$B$500,$A67))</x:f>
      </x:c>
      <x:c r="AR67" t="str">
        <x:f>IF($A67="","",SUMIFS('Importação Contabilidade'!$Q$7:$Q$500,'Importação Contabilidade'!$A$7:$A$500,'Parâmetros'!$B$4,'Importação Contabilidade'!$B$7:$B$500,$A67))</x:f>
      </x:c>
      <x:c r="AU67" t="str">
        <x:f>IF($A67="","",SUMIFS('Importação Contabilidade'!$R$7:$R$500,'Importação Contabilidade'!$A$7:$A$500,'Parâmetros'!$B$4,'Importação Contabilidade'!$B$7:$B$500,$A67))</x:f>
      </x:c>
      <x:c r="AX67" t="str">
        <x:f>IF($A67="","",SUMIFS('Importação Contabilidade'!$S$7:$S$500,'Importação Contabilidade'!$A$7:$A$500,'Parâmetros'!$B$4,'Importação Contabilidade'!$B$7:$B$500,$A67))</x:f>
      </x:c>
    </x:row>
    <x:row r="68">
      <x:c r="C68" t="str">
        <x:f>'Conferência'!AI64</x:f>
      </x:c>
      <x:c r="E68" t="str">
        <x:f>IF($A68="","",SUMIFS('Importação Contabilidade'!$D$7:$D$500,'Importação Contabilidade'!$A$7:$A$500,'Parâmetros'!$B$4,'Importação Contabilidade'!$B$7:$B$500,$A68))</x:f>
      </x:c>
      <x:c r="H68" t="str">
        <x:f>IF($A68="","",SUMIFS('Importação Contabilidade'!$E$7:$E$500,'Importação Contabilidade'!$A$7:$A$500,'Parâmetros'!$B$4,'Importação Contabilidade'!$B$7:$B$500,$A68))</x:f>
      </x:c>
      <x:c r="K68" t="str">
        <x:f>IF($A68="","",SUMIFS('Importação Contabilidade'!$F$7:$F$500,'Importação Contabilidade'!$A$7:$A$500,'Parâmetros'!$B$4,'Importação Contabilidade'!$B$7:$B$500,$A68))</x:f>
      </x:c>
      <x:c r="N68" t="str">
        <x:f>IF($A68="","",SUMIFS('Importação Contabilidade'!$G$7:$G$500,'Importação Contabilidade'!$A$7:$A$500,'Parâmetros'!$B$4,'Importação Contabilidade'!$B$7:$B$500,$A68))</x:f>
      </x:c>
      <x:c r="Q68" t="str">
        <x:f>IF($A68="","",SUMIFS('Importação Contabilidade'!$H$7:$H$500,'Importação Contabilidade'!$A$7:$A$500,'Parâmetros'!$B$4,'Importação Contabilidade'!$B$7:$B$500,$A68))</x:f>
      </x:c>
      <x:c r="T68" t="str">
        <x:f>IF($A68="","",SUMIFS('Importação Contabilidade'!$I$7:$I$500,'Importação Contabilidade'!$A$7:$A$500,'Parâmetros'!$B$4,'Importação Contabilidade'!$B$7:$B$500,$A68))</x:f>
      </x:c>
      <x:c r="W68" t="str">
        <x:f>IF($A68="","",SUMIFS('Importação Contabilidade'!$J$7:$J$500,'Importação Contabilidade'!$A$7:$A$500,'Parâmetros'!$B$4,'Importação Contabilidade'!$B$7:$B$500,$A68))</x:f>
      </x:c>
      <x:c r="Z68" t="str">
        <x:f>IF($A68="","",SUMIFS('Importação Contabilidade'!$K$7:$K$500,'Importação Contabilidade'!$A$7:$A$500,'Parâmetros'!$B$4,'Importação Contabilidade'!$B$7:$B$500,$A68))</x:f>
      </x:c>
      <x:c r="AC68" t="str">
        <x:f>IF($A68="","",SUMIFS('Importação Contabilidade'!$L$7:$L$500,'Importação Contabilidade'!$A$7:$A$500,'Parâmetros'!$B$4,'Importação Contabilidade'!$B$7:$B$500,$A68))</x:f>
      </x:c>
      <x:c r="AF68" t="str">
        <x:f>IF($A68="","",SUMIFS('Importação Contabilidade'!$M$7:$M$500,'Importação Contabilidade'!$A$7:$A$500,'Parâmetros'!$B$4,'Importação Contabilidade'!$B$7:$B$500,$A68))</x:f>
      </x:c>
      <x:c r="AI68" t="str">
        <x:f>IF($A68="","",SUMIFS('Importação Contabilidade'!$N$7:$N$500,'Importação Contabilidade'!$A$7:$A$500,'Parâmetros'!$B$4,'Importação Contabilidade'!$B$7:$B$500,$A68))</x:f>
      </x:c>
      <x:c r="AL68" t="str">
        <x:f>IF($A68="","",SUMIFS('Importação Contabilidade'!$O$7:$O$500,'Importação Contabilidade'!$A$7:$A$500,'Parâmetros'!$B$4,'Importação Contabilidade'!$B$7:$B$500,$A68))</x:f>
      </x:c>
      <x:c r="AO68" t="str">
        <x:f>IF($A68="","",SUMIFS('Importação Contabilidade'!$P$7:$P$500,'Importação Contabilidade'!$A$7:$A$500,'Parâmetros'!$B$4,'Importação Contabilidade'!$B$7:$B$500,$A68))</x:f>
      </x:c>
      <x:c r="AR68" t="str">
        <x:f>IF($A68="","",SUMIFS('Importação Contabilidade'!$Q$7:$Q$500,'Importação Contabilidade'!$A$7:$A$500,'Parâmetros'!$B$4,'Importação Contabilidade'!$B$7:$B$500,$A68))</x:f>
      </x:c>
      <x:c r="AU68" t="str">
        <x:f>IF($A68="","",SUMIFS('Importação Contabilidade'!$R$7:$R$500,'Importação Contabilidade'!$A$7:$A$500,'Parâmetros'!$B$4,'Importação Contabilidade'!$B$7:$B$500,$A68))</x:f>
      </x:c>
      <x:c r="AX68" t="str">
        <x:f>IF($A68="","",SUMIFS('Importação Contabilidade'!$S$7:$S$500,'Importação Contabilidade'!$A$7:$A$500,'Parâmetros'!$B$4,'Importação Contabilidade'!$B$7:$B$500,$A68))</x:f>
      </x:c>
    </x:row>
    <x:row r="69">
      <x:c r="C69" t="str">
        <x:f>'Conferência'!AI65</x:f>
      </x:c>
      <x:c r="E69" t="str">
        <x:f>IF($A69="","",SUMIFS('Importação Contabilidade'!$D$7:$D$500,'Importação Contabilidade'!$A$7:$A$500,'Parâmetros'!$B$4,'Importação Contabilidade'!$B$7:$B$500,$A69))</x:f>
      </x:c>
      <x:c r="H69" t="str">
        <x:f>IF($A69="","",SUMIFS('Importação Contabilidade'!$E$7:$E$500,'Importação Contabilidade'!$A$7:$A$500,'Parâmetros'!$B$4,'Importação Contabilidade'!$B$7:$B$500,$A69))</x:f>
      </x:c>
      <x:c r="K69" t="str">
        <x:f>IF($A69="","",SUMIFS('Importação Contabilidade'!$F$7:$F$500,'Importação Contabilidade'!$A$7:$A$500,'Parâmetros'!$B$4,'Importação Contabilidade'!$B$7:$B$500,$A69))</x:f>
      </x:c>
      <x:c r="N69" t="str">
        <x:f>IF($A69="","",SUMIFS('Importação Contabilidade'!$G$7:$G$500,'Importação Contabilidade'!$A$7:$A$500,'Parâmetros'!$B$4,'Importação Contabilidade'!$B$7:$B$500,$A69))</x:f>
      </x:c>
      <x:c r="Q69" t="str">
        <x:f>IF($A69="","",SUMIFS('Importação Contabilidade'!$H$7:$H$500,'Importação Contabilidade'!$A$7:$A$500,'Parâmetros'!$B$4,'Importação Contabilidade'!$B$7:$B$500,$A69))</x:f>
      </x:c>
      <x:c r="T69" t="str">
        <x:f>IF($A69="","",SUMIFS('Importação Contabilidade'!$I$7:$I$500,'Importação Contabilidade'!$A$7:$A$500,'Parâmetros'!$B$4,'Importação Contabilidade'!$B$7:$B$500,$A69))</x:f>
      </x:c>
      <x:c r="W69" t="str">
        <x:f>IF($A69="","",SUMIFS('Importação Contabilidade'!$J$7:$J$500,'Importação Contabilidade'!$A$7:$A$500,'Parâmetros'!$B$4,'Importação Contabilidade'!$B$7:$B$500,$A69))</x:f>
      </x:c>
      <x:c r="Z69" t="str">
        <x:f>IF($A69="","",SUMIFS('Importação Contabilidade'!$K$7:$K$500,'Importação Contabilidade'!$A$7:$A$500,'Parâmetros'!$B$4,'Importação Contabilidade'!$B$7:$B$500,$A69))</x:f>
      </x:c>
      <x:c r="AC69" t="str">
        <x:f>IF($A69="","",SUMIFS('Importação Contabilidade'!$L$7:$L$500,'Importação Contabilidade'!$A$7:$A$500,'Parâmetros'!$B$4,'Importação Contabilidade'!$B$7:$B$500,$A69))</x:f>
      </x:c>
      <x:c r="AF69" t="str">
        <x:f>IF($A69="","",SUMIFS('Importação Contabilidade'!$M$7:$M$500,'Importação Contabilidade'!$A$7:$A$500,'Parâmetros'!$B$4,'Importação Contabilidade'!$B$7:$B$500,$A69))</x:f>
      </x:c>
      <x:c r="AI69" t="str">
        <x:f>IF($A69="","",SUMIFS('Importação Contabilidade'!$N$7:$N$500,'Importação Contabilidade'!$A$7:$A$500,'Parâmetros'!$B$4,'Importação Contabilidade'!$B$7:$B$500,$A69))</x:f>
      </x:c>
      <x:c r="AL69" t="str">
        <x:f>IF($A69="","",SUMIFS('Importação Contabilidade'!$O$7:$O$500,'Importação Contabilidade'!$A$7:$A$500,'Parâmetros'!$B$4,'Importação Contabilidade'!$B$7:$B$500,$A69))</x:f>
      </x:c>
      <x:c r="AO69" t="str">
        <x:f>IF($A69="","",SUMIFS('Importação Contabilidade'!$P$7:$P$500,'Importação Contabilidade'!$A$7:$A$500,'Parâmetros'!$B$4,'Importação Contabilidade'!$B$7:$B$500,$A69))</x:f>
      </x:c>
      <x:c r="AR69" t="str">
        <x:f>IF($A69="","",SUMIFS('Importação Contabilidade'!$Q$7:$Q$500,'Importação Contabilidade'!$A$7:$A$500,'Parâmetros'!$B$4,'Importação Contabilidade'!$B$7:$B$500,$A69))</x:f>
      </x:c>
      <x:c r="AU69" t="str">
        <x:f>IF($A69="","",SUMIFS('Importação Contabilidade'!$R$7:$R$500,'Importação Contabilidade'!$A$7:$A$500,'Parâmetros'!$B$4,'Importação Contabilidade'!$B$7:$B$500,$A69))</x:f>
      </x:c>
      <x:c r="AX69" t="str">
        <x:f>IF($A69="","",SUMIFS('Importação Contabilidade'!$S$7:$S$500,'Importação Contabilidade'!$A$7:$A$500,'Parâmetros'!$B$4,'Importação Contabilidade'!$B$7:$B$500,$A69))</x:f>
      </x:c>
    </x:row>
    <x:row r="70">
      <x:c r="C70" t="str">
        <x:f>'Conferência'!AI66</x:f>
      </x:c>
      <x:c r="E70" t="str">
        <x:f>IF($A70="","",SUMIFS('Importação Contabilidade'!$D$7:$D$500,'Importação Contabilidade'!$A$7:$A$500,'Parâmetros'!$B$4,'Importação Contabilidade'!$B$7:$B$500,$A70))</x:f>
      </x:c>
      <x:c r="H70" t="str">
        <x:f>IF($A70="","",SUMIFS('Importação Contabilidade'!$E$7:$E$500,'Importação Contabilidade'!$A$7:$A$500,'Parâmetros'!$B$4,'Importação Contabilidade'!$B$7:$B$500,$A70))</x:f>
      </x:c>
      <x:c r="K70" t="str">
        <x:f>IF($A70="","",SUMIFS('Importação Contabilidade'!$F$7:$F$500,'Importação Contabilidade'!$A$7:$A$500,'Parâmetros'!$B$4,'Importação Contabilidade'!$B$7:$B$500,$A70))</x:f>
      </x:c>
      <x:c r="N70" t="str">
        <x:f>IF($A70="","",SUMIFS('Importação Contabilidade'!$G$7:$G$500,'Importação Contabilidade'!$A$7:$A$500,'Parâmetros'!$B$4,'Importação Contabilidade'!$B$7:$B$500,$A70))</x:f>
      </x:c>
      <x:c r="Q70" t="str">
        <x:f>IF($A70="","",SUMIFS('Importação Contabilidade'!$H$7:$H$500,'Importação Contabilidade'!$A$7:$A$500,'Parâmetros'!$B$4,'Importação Contabilidade'!$B$7:$B$500,$A70))</x:f>
      </x:c>
      <x:c r="T70" t="str">
        <x:f>IF($A70="","",SUMIFS('Importação Contabilidade'!$I$7:$I$500,'Importação Contabilidade'!$A$7:$A$500,'Parâmetros'!$B$4,'Importação Contabilidade'!$B$7:$B$500,$A70))</x:f>
      </x:c>
      <x:c r="W70" t="str">
        <x:f>IF($A70="","",SUMIFS('Importação Contabilidade'!$J$7:$J$500,'Importação Contabilidade'!$A$7:$A$500,'Parâmetros'!$B$4,'Importação Contabilidade'!$B$7:$B$500,$A70))</x:f>
      </x:c>
      <x:c r="Z70" t="str">
        <x:f>IF($A70="","",SUMIFS('Importação Contabilidade'!$K$7:$K$500,'Importação Contabilidade'!$A$7:$A$500,'Parâmetros'!$B$4,'Importação Contabilidade'!$B$7:$B$500,$A70))</x:f>
      </x:c>
      <x:c r="AC70" t="str">
        <x:f>IF($A70="","",SUMIFS('Importação Contabilidade'!$L$7:$L$500,'Importação Contabilidade'!$A$7:$A$500,'Parâmetros'!$B$4,'Importação Contabilidade'!$B$7:$B$500,$A70))</x:f>
      </x:c>
      <x:c r="AF70" t="str">
        <x:f>IF($A70="","",SUMIFS('Importação Contabilidade'!$M$7:$M$500,'Importação Contabilidade'!$A$7:$A$500,'Parâmetros'!$B$4,'Importação Contabilidade'!$B$7:$B$500,$A70))</x:f>
      </x:c>
      <x:c r="AI70" t="str">
        <x:f>IF($A70="","",SUMIFS('Importação Contabilidade'!$N$7:$N$500,'Importação Contabilidade'!$A$7:$A$500,'Parâmetros'!$B$4,'Importação Contabilidade'!$B$7:$B$500,$A70))</x:f>
      </x:c>
      <x:c r="AL70" t="str">
        <x:f>IF($A70="","",SUMIFS('Importação Contabilidade'!$O$7:$O$500,'Importação Contabilidade'!$A$7:$A$500,'Parâmetros'!$B$4,'Importação Contabilidade'!$B$7:$B$500,$A70))</x:f>
      </x:c>
      <x:c r="AO70" t="str">
        <x:f>IF($A70="","",SUMIFS('Importação Contabilidade'!$P$7:$P$500,'Importação Contabilidade'!$A$7:$A$500,'Parâmetros'!$B$4,'Importação Contabilidade'!$B$7:$B$500,$A70))</x:f>
      </x:c>
      <x:c r="AR70" t="str">
        <x:f>IF($A70="","",SUMIFS('Importação Contabilidade'!$Q$7:$Q$500,'Importação Contabilidade'!$A$7:$A$500,'Parâmetros'!$B$4,'Importação Contabilidade'!$B$7:$B$500,$A70))</x:f>
      </x:c>
      <x:c r="AU70" t="str">
        <x:f>IF($A70="","",SUMIFS('Importação Contabilidade'!$R$7:$R$500,'Importação Contabilidade'!$A$7:$A$500,'Parâmetros'!$B$4,'Importação Contabilidade'!$B$7:$B$500,$A70))</x:f>
      </x:c>
      <x:c r="AX70" t="str">
        <x:f>IF($A70="","",SUMIFS('Importação Contabilidade'!$S$7:$S$500,'Importação Contabilidade'!$A$7:$A$500,'Parâmetros'!$B$4,'Importação Contabilidade'!$B$7:$B$500,$A70))</x:f>
      </x:c>
    </x:row>
    <x:row r="71">
      <x:c r="C71" t="str">
        <x:f>'Conferência'!AI67</x:f>
      </x:c>
      <x:c r="E71" t="str">
        <x:f>IF($A71="","",SUMIFS('Importação Contabilidade'!$D$7:$D$500,'Importação Contabilidade'!$A$7:$A$500,'Parâmetros'!$B$4,'Importação Contabilidade'!$B$7:$B$500,$A71))</x:f>
      </x:c>
      <x:c r="H71" t="str">
        <x:f>IF($A71="","",SUMIFS('Importação Contabilidade'!$E$7:$E$500,'Importação Contabilidade'!$A$7:$A$500,'Parâmetros'!$B$4,'Importação Contabilidade'!$B$7:$B$500,$A71))</x:f>
      </x:c>
      <x:c r="K71" t="str">
        <x:f>IF($A71="","",SUMIFS('Importação Contabilidade'!$F$7:$F$500,'Importação Contabilidade'!$A$7:$A$500,'Parâmetros'!$B$4,'Importação Contabilidade'!$B$7:$B$500,$A71))</x:f>
      </x:c>
      <x:c r="N71" t="str">
        <x:f>IF($A71="","",SUMIFS('Importação Contabilidade'!$G$7:$G$500,'Importação Contabilidade'!$A$7:$A$500,'Parâmetros'!$B$4,'Importação Contabilidade'!$B$7:$B$500,$A71))</x:f>
      </x:c>
      <x:c r="Q71" t="str">
        <x:f>IF($A71="","",SUMIFS('Importação Contabilidade'!$H$7:$H$500,'Importação Contabilidade'!$A$7:$A$500,'Parâmetros'!$B$4,'Importação Contabilidade'!$B$7:$B$500,$A71))</x:f>
      </x:c>
      <x:c r="T71" t="str">
        <x:f>IF($A71="","",SUMIFS('Importação Contabilidade'!$I$7:$I$500,'Importação Contabilidade'!$A$7:$A$500,'Parâmetros'!$B$4,'Importação Contabilidade'!$B$7:$B$500,$A71))</x:f>
      </x:c>
      <x:c r="W71" t="str">
        <x:f>IF($A71="","",SUMIFS('Importação Contabilidade'!$J$7:$J$500,'Importação Contabilidade'!$A$7:$A$500,'Parâmetros'!$B$4,'Importação Contabilidade'!$B$7:$B$500,$A71))</x:f>
      </x:c>
      <x:c r="Z71" t="str">
        <x:f>IF($A71="","",SUMIFS('Importação Contabilidade'!$K$7:$K$500,'Importação Contabilidade'!$A$7:$A$500,'Parâmetros'!$B$4,'Importação Contabilidade'!$B$7:$B$500,$A71))</x:f>
      </x:c>
      <x:c r="AC71" t="str">
        <x:f>IF($A71="","",SUMIFS('Importação Contabilidade'!$L$7:$L$500,'Importação Contabilidade'!$A$7:$A$500,'Parâmetros'!$B$4,'Importação Contabilidade'!$B$7:$B$500,$A71))</x:f>
      </x:c>
      <x:c r="AF71" t="str">
        <x:f>IF($A71="","",SUMIFS('Importação Contabilidade'!$M$7:$M$500,'Importação Contabilidade'!$A$7:$A$500,'Parâmetros'!$B$4,'Importação Contabilidade'!$B$7:$B$500,$A71))</x:f>
      </x:c>
      <x:c r="AI71" t="str">
        <x:f>IF($A71="","",SUMIFS('Importação Contabilidade'!$N$7:$N$500,'Importação Contabilidade'!$A$7:$A$500,'Parâmetros'!$B$4,'Importação Contabilidade'!$B$7:$B$500,$A71))</x:f>
      </x:c>
      <x:c r="AL71" t="str">
        <x:f>IF($A71="","",SUMIFS('Importação Contabilidade'!$O$7:$O$500,'Importação Contabilidade'!$A$7:$A$500,'Parâmetros'!$B$4,'Importação Contabilidade'!$B$7:$B$500,$A71))</x:f>
      </x:c>
      <x:c r="AO71" t="str">
        <x:f>IF($A71="","",SUMIFS('Importação Contabilidade'!$P$7:$P$500,'Importação Contabilidade'!$A$7:$A$500,'Parâmetros'!$B$4,'Importação Contabilidade'!$B$7:$B$500,$A71))</x:f>
      </x:c>
      <x:c r="AR71" t="str">
        <x:f>IF($A71="","",SUMIFS('Importação Contabilidade'!$Q$7:$Q$500,'Importação Contabilidade'!$A$7:$A$500,'Parâmetros'!$B$4,'Importação Contabilidade'!$B$7:$B$500,$A71))</x:f>
      </x:c>
      <x:c r="AU71" t="str">
        <x:f>IF($A71="","",SUMIFS('Importação Contabilidade'!$R$7:$R$500,'Importação Contabilidade'!$A$7:$A$500,'Parâmetros'!$B$4,'Importação Contabilidade'!$B$7:$B$500,$A71))</x:f>
      </x:c>
      <x:c r="AX71" t="str">
        <x:f>IF($A71="","",SUMIFS('Importação Contabilidade'!$S$7:$S$500,'Importação Contabilidade'!$A$7:$A$500,'Parâmetros'!$B$4,'Importação Contabilidade'!$B$7:$B$500,$A71))</x:f>
      </x:c>
    </x:row>
    <x:row r="72">
      <x:c r="C72" t="str">
        <x:f>'Conferência'!AI68</x:f>
      </x:c>
      <x:c r="E72" t="str">
        <x:f>IF($A72="","",SUMIFS('Importação Contabilidade'!$D$7:$D$500,'Importação Contabilidade'!$A$7:$A$500,'Parâmetros'!$B$4,'Importação Contabilidade'!$B$7:$B$500,$A72))</x:f>
      </x:c>
      <x:c r="H72" t="str">
        <x:f>IF($A72="","",SUMIFS('Importação Contabilidade'!$E$7:$E$500,'Importação Contabilidade'!$A$7:$A$500,'Parâmetros'!$B$4,'Importação Contabilidade'!$B$7:$B$500,$A72))</x:f>
      </x:c>
      <x:c r="K72" t="str">
        <x:f>IF($A72="","",SUMIFS('Importação Contabilidade'!$F$7:$F$500,'Importação Contabilidade'!$A$7:$A$500,'Parâmetros'!$B$4,'Importação Contabilidade'!$B$7:$B$500,$A72))</x:f>
      </x:c>
      <x:c r="N72" t="str">
        <x:f>IF($A72="","",SUMIFS('Importação Contabilidade'!$G$7:$G$500,'Importação Contabilidade'!$A$7:$A$500,'Parâmetros'!$B$4,'Importação Contabilidade'!$B$7:$B$500,$A72))</x:f>
      </x:c>
      <x:c r="Q72" t="str">
        <x:f>IF($A72="","",SUMIFS('Importação Contabilidade'!$H$7:$H$500,'Importação Contabilidade'!$A$7:$A$500,'Parâmetros'!$B$4,'Importação Contabilidade'!$B$7:$B$500,$A72))</x:f>
      </x:c>
      <x:c r="T72" t="str">
        <x:f>IF($A72="","",SUMIFS('Importação Contabilidade'!$I$7:$I$500,'Importação Contabilidade'!$A$7:$A$500,'Parâmetros'!$B$4,'Importação Contabilidade'!$B$7:$B$500,$A72))</x:f>
      </x:c>
      <x:c r="W72" t="str">
        <x:f>IF($A72="","",SUMIFS('Importação Contabilidade'!$J$7:$J$500,'Importação Contabilidade'!$A$7:$A$500,'Parâmetros'!$B$4,'Importação Contabilidade'!$B$7:$B$500,$A72))</x:f>
      </x:c>
      <x:c r="Z72" t="str">
        <x:f>IF($A72="","",SUMIFS('Importação Contabilidade'!$K$7:$K$500,'Importação Contabilidade'!$A$7:$A$500,'Parâmetros'!$B$4,'Importação Contabilidade'!$B$7:$B$500,$A72))</x:f>
      </x:c>
      <x:c r="AC72" t="str">
        <x:f>IF($A72="","",SUMIFS('Importação Contabilidade'!$L$7:$L$500,'Importação Contabilidade'!$A$7:$A$500,'Parâmetros'!$B$4,'Importação Contabilidade'!$B$7:$B$500,$A72))</x:f>
      </x:c>
      <x:c r="AF72" t="str">
        <x:f>IF($A72="","",SUMIFS('Importação Contabilidade'!$M$7:$M$500,'Importação Contabilidade'!$A$7:$A$500,'Parâmetros'!$B$4,'Importação Contabilidade'!$B$7:$B$500,$A72))</x:f>
      </x:c>
      <x:c r="AI72" t="str">
        <x:f>IF($A72="","",SUMIFS('Importação Contabilidade'!$N$7:$N$500,'Importação Contabilidade'!$A$7:$A$500,'Parâmetros'!$B$4,'Importação Contabilidade'!$B$7:$B$500,$A72))</x:f>
      </x:c>
      <x:c r="AL72" t="str">
        <x:f>IF($A72="","",SUMIFS('Importação Contabilidade'!$O$7:$O$500,'Importação Contabilidade'!$A$7:$A$500,'Parâmetros'!$B$4,'Importação Contabilidade'!$B$7:$B$500,$A72))</x:f>
      </x:c>
      <x:c r="AO72" t="str">
        <x:f>IF($A72="","",SUMIFS('Importação Contabilidade'!$P$7:$P$500,'Importação Contabilidade'!$A$7:$A$500,'Parâmetros'!$B$4,'Importação Contabilidade'!$B$7:$B$500,$A72))</x:f>
      </x:c>
      <x:c r="AR72" t="str">
        <x:f>IF($A72="","",SUMIFS('Importação Contabilidade'!$Q$7:$Q$500,'Importação Contabilidade'!$A$7:$A$500,'Parâmetros'!$B$4,'Importação Contabilidade'!$B$7:$B$500,$A72))</x:f>
      </x:c>
      <x:c r="AU72" t="str">
        <x:f>IF($A72="","",SUMIFS('Importação Contabilidade'!$R$7:$R$500,'Importação Contabilidade'!$A$7:$A$500,'Parâmetros'!$B$4,'Importação Contabilidade'!$B$7:$B$500,$A72))</x:f>
      </x:c>
      <x:c r="AX72" t="str">
        <x:f>IF($A72="","",SUMIFS('Importação Contabilidade'!$S$7:$S$500,'Importação Contabilidade'!$A$7:$A$500,'Parâmetros'!$B$4,'Importação Contabilidade'!$B$7:$B$500,$A72))</x:f>
      </x:c>
    </x:row>
    <x:row r="73">
      <x:c r="C73" t="str">
        <x:f>'Conferência'!AI69</x:f>
      </x:c>
      <x:c r="E73" t="str">
        <x:f>IF($A73="","",SUMIFS('Importação Contabilidade'!$D$7:$D$500,'Importação Contabilidade'!$A$7:$A$500,'Parâmetros'!$B$4,'Importação Contabilidade'!$B$7:$B$500,$A73))</x:f>
      </x:c>
      <x:c r="H73" t="str">
        <x:f>IF($A73="","",SUMIFS('Importação Contabilidade'!$E$7:$E$500,'Importação Contabilidade'!$A$7:$A$500,'Parâmetros'!$B$4,'Importação Contabilidade'!$B$7:$B$500,$A73))</x:f>
      </x:c>
      <x:c r="K73" t="str">
        <x:f>IF($A73="","",SUMIFS('Importação Contabilidade'!$F$7:$F$500,'Importação Contabilidade'!$A$7:$A$500,'Parâmetros'!$B$4,'Importação Contabilidade'!$B$7:$B$500,$A73))</x:f>
      </x:c>
      <x:c r="N73" t="str">
        <x:f>IF($A73="","",SUMIFS('Importação Contabilidade'!$G$7:$G$500,'Importação Contabilidade'!$A$7:$A$500,'Parâmetros'!$B$4,'Importação Contabilidade'!$B$7:$B$500,$A73))</x:f>
      </x:c>
      <x:c r="Q73" t="str">
        <x:f>IF($A73="","",SUMIFS('Importação Contabilidade'!$H$7:$H$500,'Importação Contabilidade'!$A$7:$A$500,'Parâmetros'!$B$4,'Importação Contabilidade'!$B$7:$B$500,$A73))</x:f>
      </x:c>
      <x:c r="T73" t="str">
        <x:f>IF($A73="","",SUMIFS('Importação Contabilidade'!$I$7:$I$500,'Importação Contabilidade'!$A$7:$A$500,'Parâmetros'!$B$4,'Importação Contabilidade'!$B$7:$B$500,$A73))</x:f>
      </x:c>
      <x:c r="W73" t="str">
        <x:f>IF($A73="","",SUMIFS('Importação Contabilidade'!$J$7:$J$500,'Importação Contabilidade'!$A$7:$A$500,'Parâmetros'!$B$4,'Importação Contabilidade'!$B$7:$B$500,$A73))</x:f>
      </x:c>
      <x:c r="Z73" t="str">
        <x:f>IF($A73="","",SUMIFS('Importação Contabilidade'!$K$7:$K$500,'Importação Contabilidade'!$A$7:$A$500,'Parâmetros'!$B$4,'Importação Contabilidade'!$B$7:$B$500,$A73))</x:f>
      </x:c>
      <x:c r="AC73" t="str">
        <x:f>IF($A73="","",SUMIFS('Importação Contabilidade'!$L$7:$L$500,'Importação Contabilidade'!$A$7:$A$500,'Parâmetros'!$B$4,'Importação Contabilidade'!$B$7:$B$500,$A73))</x:f>
      </x:c>
      <x:c r="AF73" t="str">
        <x:f>IF($A73="","",SUMIFS('Importação Contabilidade'!$M$7:$M$500,'Importação Contabilidade'!$A$7:$A$500,'Parâmetros'!$B$4,'Importação Contabilidade'!$B$7:$B$500,$A73))</x:f>
      </x:c>
      <x:c r="AI73" t="str">
        <x:f>IF($A73="","",SUMIFS('Importação Contabilidade'!$N$7:$N$500,'Importação Contabilidade'!$A$7:$A$500,'Parâmetros'!$B$4,'Importação Contabilidade'!$B$7:$B$500,$A73))</x:f>
      </x:c>
      <x:c r="AL73" t="str">
        <x:f>IF($A73="","",SUMIFS('Importação Contabilidade'!$O$7:$O$500,'Importação Contabilidade'!$A$7:$A$500,'Parâmetros'!$B$4,'Importação Contabilidade'!$B$7:$B$500,$A73))</x:f>
      </x:c>
      <x:c r="AO73" t="str">
        <x:f>IF($A73="","",SUMIFS('Importação Contabilidade'!$P$7:$P$500,'Importação Contabilidade'!$A$7:$A$500,'Parâmetros'!$B$4,'Importação Contabilidade'!$B$7:$B$500,$A73))</x:f>
      </x:c>
      <x:c r="AR73" t="str">
        <x:f>IF($A73="","",SUMIFS('Importação Contabilidade'!$Q$7:$Q$500,'Importação Contabilidade'!$A$7:$A$500,'Parâmetros'!$B$4,'Importação Contabilidade'!$B$7:$B$500,$A73))</x:f>
      </x:c>
      <x:c r="AU73" t="str">
        <x:f>IF($A73="","",SUMIFS('Importação Contabilidade'!$R$7:$R$500,'Importação Contabilidade'!$A$7:$A$500,'Parâmetros'!$B$4,'Importação Contabilidade'!$B$7:$B$500,$A73))</x:f>
      </x:c>
      <x:c r="AX73" t="str">
        <x:f>IF($A73="","",SUMIFS('Importação Contabilidade'!$S$7:$S$500,'Importação Contabilidade'!$A$7:$A$500,'Parâmetros'!$B$4,'Importação Contabilidade'!$B$7:$B$500,$A73))</x:f>
      </x:c>
    </x:row>
    <x:row r="74">
      <x:c r="C74" t="str">
        <x:f>'Conferência'!AI70</x:f>
      </x:c>
      <x:c r="E74" t="str">
        <x:f>IF($A74="","",SUMIFS('Importação Contabilidade'!$D$7:$D$500,'Importação Contabilidade'!$A$7:$A$500,'Parâmetros'!$B$4,'Importação Contabilidade'!$B$7:$B$500,$A74))</x:f>
      </x:c>
      <x:c r="H74" t="str">
        <x:f>IF($A74="","",SUMIFS('Importação Contabilidade'!$E$7:$E$500,'Importação Contabilidade'!$A$7:$A$500,'Parâmetros'!$B$4,'Importação Contabilidade'!$B$7:$B$500,$A74))</x:f>
      </x:c>
      <x:c r="K74" t="str">
        <x:f>IF($A74="","",SUMIFS('Importação Contabilidade'!$F$7:$F$500,'Importação Contabilidade'!$A$7:$A$500,'Parâmetros'!$B$4,'Importação Contabilidade'!$B$7:$B$500,$A74))</x:f>
      </x:c>
      <x:c r="N74" t="str">
        <x:f>IF($A74="","",SUMIFS('Importação Contabilidade'!$G$7:$G$500,'Importação Contabilidade'!$A$7:$A$500,'Parâmetros'!$B$4,'Importação Contabilidade'!$B$7:$B$500,$A74))</x:f>
      </x:c>
      <x:c r="Q74" t="str">
        <x:f>IF($A74="","",SUMIFS('Importação Contabilidade'!$H$7:$H$500,'Importação Contabilidade'!$A$7:$A$500,'Parâmetros'!$B$4,'Importação Contabilidade'!$B$7:$B$500,$A74))</x:f>
      </x:c>
      <x:c r="T74" t="str">
        <x:f>IF($A74="","",SUMIFS('Importação Contabilidade'!$I$7:$I$500,'Importação Contabilidade'!$A$7:$A$500,'Parâmetros'!$B$4,'Importação Contabilidade'!$B$7:$B$500,$A74))</x:f>
      </x:c>
      <x:c r="W74" t="str">
        <x:f>IF($A74="","",SUMIFS('Importação Contabilidade'!$J$7:$J$500,'Importação Contabilidade'!$A$7:$A$500,'Parâmetros'!$B$4,'Importação Contabilidade'!$B$7:$B$500,$A74))</x:f>
      </x:c>
      <x:c r="Z74" t="str">
        <x:f>IF($A74="","",SUMIFS('Importação Contabilidade'!$K$7:$K$500,'Importação Contabilidade'!$A$7:$A$500,'Parâmetros'!$B$4,'Importação Contabilidade'!$B$7:$B$500,$A74))</x:f>
      </x:c>
      <x:c r="AC74" t="str">
        <x:f>IF($A74="","",SUMIFS('Importação Contabilidade'!$L$7:$L$500,'Importação Contabilidade'!$A$7:$A$500,'Parâmetros'!$B$4,'Importação Contabilidade'!$B$7:$B$500,$A74))</x:f>
      </x:c>
      <x:c r="AF74" t="str">
        <x:f>IF($A74="","",SUMIFS('Importação Contabilidade'!$M$7:$M$500,'Importação Contabilidade'!$A$7:$A$500,'Parâmetros'!$B$4,'Importação Contabilidade'!$B$7:$B$500,$A74))</x:f>
      </x:c>
      <x:c r="AI74" t="str">
        <x:f>IF($A74="","",SUMIFS('Importação Contabilidade'!$N$7:$N$500,'Importação Contabilidade'!$A$7:$A$500,'Parâmetros'!$B$4,'Importação Contabilidade'!$B$7:$B$500,$A74))</x:f>
      </x:c>
      <x:c r="AL74" t="str">
        <x:f>IF($A74="","",SUMIFS('Importação Contabilidade'!$O$7:$O$500,'Importação Contabilidade'!$A$7:$A$500,'Parâmetros'!$B$4,'Importação Contabilidade'!$B$7:$B$500,$A74))</x:f>
      </x:c>
      <x:c r="AO74" t="str">
        <x:f>IF($A74="","",SUMIFS('Importação Contabilidade'!$P$7:$P$500,'Importação Contabilidade'!$A$7:$A$500,'Parâmetros'!$B$4,'Importação Contabilidade'!$B$7:$B$500,$A74))</x:f>
      </x:c>
      <x:c r="AR74" t="str">
        <x:f>IF($A74="","",SUMIFS('Importação Contabilidade'!$Q$7:$Q$500,'Importação Contabilidade'!$A$7:$A$500,'Parâmetros'!$B$4,'Importação Contabilidade'!$B$7:$B$500,$A74))</x:f>
      </x:c>
      <x:c r="AU74" t="str">
        <x:f>IF($A74="","",SUMIFS('Importação Contabilidade'!$R$7:$R$500,'Importação Contabilidade'!$A$7:$A$500,'Parâmetros'!$B$4,'Importação Contabilidade'!$B$7:$B$500,$A74))</x:f>
      </x:c>
      <x:c r="AX74" t="str">
        <x:f>IF($A74="","",SUMIFS('Importação Contabilidade'!$S$7:$S$500,'Importação Contabilidade'!$A$7:$A$500,'Parâmetros'!$B$4,'Importação Contabilidade'!$B$7:$B$500,$A74))</x:f>
      </x:c>
    </x:row>
    <x:row r="75">
      <x:c r="C75" t="str">
        <x:f>'Conferência'!AI71</x:f>
      </x:c>
      <x:c r="E75" t="str">
        <x:f>IF($A75="","",SUMIFS('Importação Contabilidade'!$D$7:$D$500,'Importação Contabilidade'!$A$7:$A$500,'Parâmetros'!$B$4,'Importação Contabilidade'!$B$7:$B$500,$A75))</x:f>
      </x:c>
      <x:c r="H75" t="str">
        <x:f>IF($A75="","",SUMIFS('Importação Contabilidade'!$E$7:$E$500,'Importação Contabilidade'!$A$7:$A$500,'Parâmetros'!$B$4,'Importação Contabilidade'!$B$7:$B$500,$A75))</x:f>
      </x:c>
      <x:c r="K75" t="str">
        <x:f>IF($A75="","",SUMIFS('Importação Contabilidade'!$F$7:$F$500,'Importação Contabilidade'!$A$7:$A$500,'Parâmetros'!$B$4,'Importação Contabilidade'!$B$7:$B$500,$A75))</x:f>
      </x:c>
      <x:c r="N75" t="str">
        <x:f>IF($A75="","",SUMIFS('Importação Contabilidade'!$G$7:$G$500,'Importação Contabilidade'!$A$7:$A$500,'Parâmetros'!$B$4,'Importação Contabilidade'!$B$7:$B$500,$A75))</x:f>
      </x:c>
      <x:c r="Q75" t="str">
        <x:f>IF($A75="","",SUMIFS('Importação Contabilidade'!$H$7:$H$500,'Importação Contabilidade'!$A$7:$A$500,'Parâmetros'!$B$4,'Importação Contabilidade'!$B$7:$B$500,$A75))</x:f>
      </x:c>
      <x:c r="T75" t="str">
        <x:f>IF($A75="","",SUMIFS('Importação Contabilidade'!$I$7:$I$500,'Importação Contabilidade'!$A$7:$A$500,'Parâmetros'!$B$4,'Importação Contabilidade'!$B$7:$B$500,$A75))</x:f>
      </x:c>
      <x:c r="W75" t="str">
        <x:f>IF($A75="","",SUMIFS('Importação Contabilidade'!$J$7:$J$500,'Importação Contabilidade'!$A$7:$A$500,'Parâmetros'!$B$4,'Importação Contabilidade'!$B$7:$B$500,$A75))</x:f>
      </x:c>
      <x:c r="Z75" t="str">
        <x:f>IF($A75="","",SUMIFS('Importação Contabilidade'!$K$7:$K$500,'Importação Contabilidade'!$A$7:$A$500,'Parâmetros'!$B$4,'Importação Contabilidade'!$B$7:$B$500,$A75))</x:f>
      </x:c>
      <x:c r="AC75" t="str">
        <x:f>IF($A75="","",SUMIFS('Importação Contabilidade'!$L$7:$L$500,'Importação Contabilidade'!$A$7:$A$500,'Parâmetros'!$B$4,'Importação Contabilidade'!$B$7:$B$500,$A75))</x:f>
      </x:c>
      <x:c r="AF75" t="str">
        <x:f>IF($A75="","",SUMIFS('Importação Contabilidade'!$M$7:$M$500,'Importação Contabilidade'!$A$7:$A$500,'Parâmetros'!$B$4,'Importação Contabilidade'!$B$7:$B$500,$A75))</x:f>
      </x:c>
      <x:c r="AI75" t="str">
        <x:f>IF($A75="","",SUMIFS('Importação Contabilidade'!$N$7:$N$500,'Importação Contabilidade'!$A$7:$A$500,'Parâmetros'!$B$4,'Importação Contabilidade'!$B$7:$B$500,$A75))</x:f>
      </x:c>
      <x:c r="AL75" t="str">
        <x:f>IF($A75="","",SUMIFS('Importação Contabilidade'!$O$7:$O$500,'Importação Contabilidade'!$A$7:$A$500,'Parâmetros'!$B$4,'Importação Contabilidade'!$B$7:$B$500,$A75))</x:f>
      </x:c>
      <x:c r="AO75" t="str">
        <x:f>IF($A75="","",SUMIFS('Importação Contabilidade'!$P$7:$P$500,'Importação Contabilidade'!$A$7:$A$500,'Parâmetros'!$B$4,'Importação Contabilidade'!$B$7:$B$500,$A75))</x:f>
      </x:c>
      <x:c r="AR75" t="str">
        <x:f>IF($A75="","",SUMIFS('Importação Contabilidade'!$Q$7:$Q$500,'Importação Contabilidade'!$A$7:$A$500,'Parâmetros'!$B$4,'Importação Contabilidade'!$B$7:$B$500,$A75))</x:f>
      </x:c>
      <x:c r="AU75" t="str">
        <x:f>IF($A75="","",SUMIFS('Importação Contabilidade'!$R$7:$R$500,'Importação Contabilidade'!$A$7:$A$500,'Parâmetros'!$B$4,'Importação Contabilidade'!$B$7:$B$500,$A75))</x:f>
      </x:c>
      <x:c r="AX75" t="str">
        <x:f>IF($A75="","",SUMIFS('Importação Contabilidade'!$S$7:$S$500,'Importação Contabilidade'!$A$7:$A$500,'Parâmetros'!$B$4,'Importação Contabilidade'!$B$7:$B$500,$A75))</x:f>
      </x:c>
    </x:row>
    <x:row r="76">
      <x:c r="C76" t="str">
        <x:f>'Conferência'!AI72</x:f>
      </x:c>
      <x:c r="E76" t="str">
        <x:f>IF($A76="","",SUMIFS('Importação Contabilidade'!$D$7:$D$500,'Importação Contabilidade'!$A$7:$A$500,'Parâmetros'!$B$4,'Importação Contabilidade'!$B$7:$B$500,$A76))</x:f>
      </x:c>
      <x:c r="H76" t="str">
        <x:f>IF($A76="","",SUMIFS('Importação Contabilidade'!$E$7:$E$500,'Importação Contabilidade'!$A$7:$A$500,'Parâmetros'!$B$4,'Importação Contabilidade'!$B$7:$B$500,$A76))</x:f>
      </x:c>
      <x:c r="K76" t="str">
        <x:f>IF($A76="","",SUMIFS('Importação Contabilidade'!$F$7:$F$500,'Importação Contabilidade'!$A$7:$A$500,'Parâmetros'!$B$4,'Importação Contabilidade'!$B$7:$B$500,$A76))</x:f>
      </x:c>
      <x:c r="N76" t="str">
        <x:f>IF($A76="","",SUMIFS('Importação Contabilidade'!$G$7:$G$500,'Importação Contabilidade'!$A$7:$A$500,'Parâmetros'!$B$4,'Importação Contabilidade'!$B$7:$B$500,$A76))</x:f>
      </x:c>
      <x:c r="Q76" t="str">
        <x:f>IF($A76="","",SUMIFS('Importação Contabilidade'!$H$7:$H$500,'Importação Contabilidade'!$A$7:$A$500,'Parâmetros'!$B$4,'Importação Contabilidade'!$B$7:$B$500,$A76))</x:f>
      </x:c>
      <x:c r="T76" t="str">
        <x:f>IF($A76="","",SUMIFS('Importação Contabilidade'!$I$7:$I$500,'Importação Contabilidade'!$A$7:$A$500,'Parâmetros'!$B$4,'Importação Contabilidade'!$B$7:$B$500,$A76))</x:f>
      </x:c>
      <x:c r="W76" t="str">
        <x:f>IF($A76="","",SUMIFS('Importação Contabilidade'!$J$7:$J$500,'Importação Contabilidade'!$A$7:$A$500,'Parâmetros'!$B$4,'Importação Contabilidade'!$B$7:$B$500,$A76))</x:f>
      </x:c>
      <x:c r="Z76" t="str">
        <x:f>IF($A76="","",SUMIFS('Importação Contabilidade'!$K$7:$K$500,'Importação Contabilidade'!$A$7:$A$500,'Parâmetros'!$B$4,'Importação Contabilidade'!$B$7:$B$500,$A76))</x:f>
      </x:c>
      <x:c r="AC76" t="str">
        <x:f>IF($A76="","",SUMIFS('Importação Contabilidade'!$L$7:$L$500,'Importação Contabilidade'!$A$7:$A$500,'Parâmetros'!$B$4,'Importação Contabilidade'!$B$7:$B$500,$A76))</x:f>
      </x:c>
      <x:c r="AF76" t="str">
        <x:f>IF($A76="","",SUMIFS('Importação Contabilidade'!$M$7:$M$500,'Importação Contabilidade'!$A$7:$A$500,'Parâmetros'!$B$4,'Importação Contabilidade'!$B$7:$B$500,$A76))</x:f>
      </x:c>
      <x:c r="AI76" t="str">
        <x:f>IF($A76="","",SUMIFS('Importação Contabilidade'!$N$7:$N$500,'Importação Contabilidade'!$A$7:$A$500,'Parâmetros'!$B$4,'Importação Contabilidade'!$B$7:$B$500,$A76))</x:f>
      </x:c>
      <x:c r="AL76" t="str">
        <x:f>IF($A76="","",SUMIFS('Importação Contabilidade'!$O$7:$O$500,'Importação Contabilidade'!$A$7:$A$500,'Parâmetros'!$B$4,'Importação Contabilidade'!$B$7:$B$500,$A76))</x:f>
      </x:c>
      <x:c r="AO76" t="str">
        <x:f>IF($A76="","",SUMIFS('Importação Contabilidade'!$P$7:$P$500,'Importação Contabilidade'!$A$7:$A$500,'Parâmetros'!$B$4,'Importação Contabilidade'!$B$7:$B$500,$A76))</x:f>
      </x:c>
      <x:c r="AR76" t="str">
        <x:f>IF($A76="","",SUMIFS('Importação Contabilidade'!$Q$7:$Q$500,'Importação Contabilidade'!$A$7:$A$500,'Parâmetros'!$B$4,'Importação Contabilidade'!$B$7:$B$500,$A76))</x:f>
      </x:c>
      <x:c r="AU76" t="str">
        <x:f>IF($A76="","",SUMIFS('Importação Contabilidade'!$R$7:$R$500,'Importação Contabilidade'!$A$7:$A$500,'Parâmetros'!$B$4,'Importação Contabilidade'!$B$7:$B$500,$A76))</x:f>
      </x:c>
      <x:c r="AX76" t="str">
        <x:f>IF($A76="","",SUMIFS('Importação Contabilidade'!$S$7:$S$500,'Importação Contabilidade'!$A$7:$A$500,'Parâmetros'!$B$4,'Importação Contabilidade'!$B$7:$B$500,$A76))</x:f>
      </x:c>
    </x:row>
    <x:row r="77">
      <x:c r="C77" t="str">
        <x:f>'Conferência'!AI73</x:f>
      </x:c>
      <x:c r="E77" t="str">
        <x:f>IF($A77="","",SUMIFS('Importação Contabilidade'!$D$7:$D$500,'Importação Contabilidade'!$A$7:$A$500,'Parâmetros'!$B$4,'Importação Contabilidade'!$B$7:$B$500,$A77))</x:f>
      </x:c>
      <x:c r="H77" t="str">
        <x:f>IF($A77="","",SUMIFS('Importação Contabilidade'!$E$7:$E$500,'Importação Contabilidade'!$A$7:$A$500,'Parâmetros'!$B$4,'Importação Contabilidade'!$B$7:$B$500,$A77))</x:f>
      </x:c>
      <x:c r="K77" t="str">
        <x:f>IF($A77="","",SUMIFS('Importação Contabilidade'!$F$7:$F$500,'Importação Contabilidade'!$A$7:$A$500,'Parâmetros'!$B$4,'Importação Contabilidade'!$B$7:$B$500,$A77))</x:f>
      </x:c>
      <x:c r="N77" t="str">
        <x:f>IF($A77="","",SUMIFS('Importação Contabilidade'!$G$7:$G$500,'Importação Contabilidade'!$A$7:$A$500,'Parâmetros'!$B$4,'Importação Contabilidade'!$B$7:$B$500,$A77))</x:f>
      </x:c>
      <x:c r="Q77" t="str">
        <x:f>IF($A77="","",SUMIFS('Importação Contabilidade'!$H$7:$H$500,'Importação Contabilidade'!$A$7:$A$500,'Parâmetros'!$B$4,'Importação Contabilidade'!$B$7:$B$500,$A77))</x:f>
      </x:c>
      <x:c r="T77" t="str">
        <x:f>IF($A77="","",SUMIFS('Importação Contabilidade'!$I$7:$I$500,'Importação Contabilidade'!$A$7:$A$500,'Parâmetros'!$B$4,'Importação Contabilidade'!$B$7:$B$500,$A77))</x:f>
      </x:c>
      <x:c r="W77" t="str">
        <x:f>IF($A77="","",SUMIFS('Importação Contabilidade'!$J$7:$J$500,'Importação Contabilidade'!$A$7:$A$500,'Parâmetros'!$B$4,'Importação Contabilidade'!$B$7:$B$500,$A77))</x:f>
      </x:c>
      <x:c r="Z77" t="str">
        <x:f>IF($A77="","",SUMIFS('Importação Contabilidade'!$K$7:$K$500,'Importação Contabilidade'!$A$7:$A$500,'Parâmetros'!$B$4,'Importação Contabilidade'!$B$7:$B$500,$A77))</x:f>
      </x:c>
      <x:c r="AC77" t="str">
        <x:f>IF($A77="","",SUMIFS('Importação Contabilidade'!$L$7:$L$500,'Importação Contabilidade'!$A$7:$A$500,'Parâmetros'!$B$4,'Importação Contabilidade'!$B$7:$B$500,$A77))</x:f>
      </x:c>
      <x:c r="AF77" t="str">
        <x:f>IF($A77="","",SUMIFS('Importação Contabilidade'!$M$7:$M$500,'Importação Contabilidade'!$A$7:$A$500,'Parâmetros'!$B$4,'Importação Contabilidade'!$B$7:$B$500,$A77))</x:f>
      </x:c>
      <x:c r="AI77" t="str">
        <x:f>IF($A77="","",SUMIFS('Importação Contabilidade'!$N$7:$N$500,'Importação Contabilidade'!$A$7:$A$500,'Parâmetros'!$B$4,'Importação Contabilidade'!$B$7:$B$500,$A77))</x:f>
      </x:c>
      <x:c r="AL77" t="str">
        <x:f>IF($A77="","",SUMIFS('Importação Contabilidade'!$O$7:$O$500,'Importação Contabilidade'!$A$7:$A$500,'Parâmetros'!$B$4,'Importação Contabilidade'!$B$7:$B$500,$A77))</x:f>
      </x:c>
      <x:c r="AO77" t="str">
        <x:f>IF($A77="","",SUMIFS('Importação Contabilidade'!$P$7:$P$500,'Importação Contabilidade'!$A$7:$A$500,'Parâmetros'!$B$4,'Importação Contabilidade'!$B$7:$B$500,$A77))</x:f>
      </x:c>
      <x:c r="AR77" t="str">
        <x:f>IF($A77="","",SUMIFS('Importação Contabilidade'!$Q$7:$Q$500,'Importação Contabilidade'!$A$7:$A$500,'Parâmetros'!$B$4,'Importação Contabilidade'!$B$7:$B$500,$A77))</x:f>
      </x:c>
      <x:c r="AU77" t="str">
        <x:f>IF($A77="","",SUMIFS('Importação Contabilidade'!$R$7:$R$500,'Importação Contabilidade'!$A$7:$A$500,'Parâmetros'!$B$4,'Importação Contabilidade'!$B$7:$B$500,$A77))</x:f>
      </x:c>
      <x:c r="AX77" t="str">
        <x:f>IF($A77="","",SUMIFS('Importação Contabilidade'!$S$7:$S$500,'Importação Contabilidade'!$A$7:$A$500,'Parâmetros'!$B$4,'Importação Contabilidade'!$B$7:$B$500,$A77))</x:f>
      </x:c>
    </x:row>
    <x:row r="78">
      <x:c r="C78" t="str">
        <x:f>'Conferência'!AI74</x:f>
      </x:c>
      <x:c r="E78" t="str">
        <x:f>IF($A78="","",SUMIFS('Importação Contabilidade'!$D$7:$D$500,'Importação Contabilidade'!$A$7:$A$500,'Parâmetros'!$B$4,'Importação Contabilidade'!$B$7:$B$500,$A78))</x:f>
      </x:c>
      <x:c r="H78" t="str">
        <x:f>IF($A78="","",SUMIFS('Importação Contabilidade'!$E$7:$E$500,'Importação Contabilidade'!$A$7:$A$500,'Parâmetros'!$B$4,'Importação Contabilidade'!$B$7:$B$500,$A78))</x:f>
      </x:c>
      <x:c r="K78" t="str">
        <x:f>IF($A78="","",SUMIFS('Importação Contabilidade'!$F$7:$F$500,'Importação Contabilidade'!$A$7:$A$500,'Parâmetros'!$B$4,'Importação Contabilidade'!$B$7:$B$500,$A78))</x:f>
      </x:c>
      <x:c r="N78" t="str">
        <x:f>IF($A78="","",SUMIFS('Importação Contabilidade'!$G$7:$G$500,'Importação Contabilidade'!$A$7:$A$500,'Parâmetros'!$B$4,'Importação Contabilidade'!$B$7:$B$500,$A78))</x:f>
      </x:c>
      <x:c r="Q78" t="str">
        <x:f>IF($A78="","",SUMIFS('Importação Contabilidade'!$H$7:$H$500,'Importação Contabilidade'!$A$7:$A$500,'Parâmetros'!$B$4,'Importação Contabilidade'!$B$7:$B$500,$A78))</x:f>
      </x:c>
      <x:c r="T78" t="str">
        <x:f>IF($A78="","",SUMIFS('Importação Contabilidade'!$I$7:$I$500,'Importação Contabilidade'!$A$7:$A$500,'Parâmetros'!$B$4,'Importação Contabilidade'!$B$7:$B$500,$A78))</x:f>
      </x:c>
      <x:c r="W78" t="str">
        <x:f>IF($A78="","",SUMIFS('Importação Contabilidade'!$J$7:$J$500,'Importação Contabilidade'!$A$7:$A$500,'Parâmetros'!$B$4,'Importação Contabilidade'!$B$7:$B$500,$A78))</x:f>
      </x:c>
      <x:c r="Z78" t="str">
        <x:f>IF($A78="","",SUMIFS('Importação Contabilidade'!$K$7:$K$500,'Importação Contabilidade'!$A$7:$A$500,'Parâmetros'!$B$4,'Importação Contabilidade'!$B$7:$B$500,$A78))</x:f>
      </x:c>
      <x:c r="AC78" t="str">
        <x:f>IF($A78="","",SUMIFS('Importação Contabilidade'!$L$7:$L$500,'Importação Contabilidade'!$A$7:$A$500,'Parâmetros'!$B$4,'Importação Contabilidade'!$B$7:$B$500,$A78))</x:f>
      </x:c>
      <x:c r="AF78" t="str">
        <x:f>IF($A78="","",SUMIFS('Importação Contabilidade'!$M$7:$M$500,'Importação Contabilidade'!$A$7:$A$500,'Parâmetros'!$B$4,'Importação Contabilidade'!$B$7:$B$500,$A78))</x:f>
      </x:c>
      <x:c r="AI78" t="str">
        <x:f>IF($A78="","",SUMIFS('Importação Contabilidade'!$N$7:$N$500,'Importação Contabilidade'!$A$7:$A$500,'Parâmetros'!$B$4,'Importação Contabilidade'!$B$7:$B$500,$A78))</x:f>
      </x:c>
      <x:c r="AL78" t="str">
        <x:f>IF($A78="","",SUMIFS('Importação Contabilidade'!$O$7:$O$500,'Importação Contabilidade'!$A$7:$A$500,'Parâmetros'!$B$4,'Importação Contabilidade'!$B$7:$B$500,$A78))</x:f>
      </x:c>
      <x:c r="AO78" t="str">
        <x:f>IF($A78="","",SUMIFS('Importação Contabilidade'!$P$7:$P$500,'Importação Contabilidade'!$A$7:$A$500,'Parâmetros'!$B$4,'Importação Contabilidade'!$B$7:$B$500,$A78))</x:f>
      </x:c>
      <x:c r="AR78" t="str">
        <x:f>IF($A78="","",SUMIFS('Importação Contabilidade'!$Q$7:$Q$500,'Importação Contabilidade'!$A$7:$A$500,'Parâmetros'!$B$4,'Importação Contabilidade'!$B$7:$B$500,$A78))</x:f>
      </x:c>
      <x:c r="AU78" t="str">
        <x:f>IF($A78="","",SUMIFS('Importação Contabilidade'!$R$7:$R$500,'Importação Contabilidade'!$A$7:$A$500,'Parâmetros'!$B$4,'Importação Contabilidade'!$B$7:$B$500,$A78))</x:f>
      </x:c>
      <x:c r="AX78" t="str">
        <x:f>IF($A78="","",SUMIFS('Importação Contabilidade'!$S$7:$S$500,'Importação Contabilidade'!$A$7:$A$500,'Parâmetros'!$B$4,'Importação Contabilidade'!$B$7:$B$500,$A78))</x:f>
      </x:c>
    </x:row>
    <x:row r="79">
      <x:c r="C79" t="str">
        <x:f>'Conferência'!AI75</x:f>
      </x:c>
      <x:c r="E79" t="str">
        <x:f>IF($A79="","",SUMIFS('Importação Contabilidade'!$D$7:$D$500,'Importação Contabilidade'!$A$7:$A$500,'Parâmetros'!$B$4,'Importação Contabilidade'!$B$7:$B$500,$A79))</x:f>
      </x:c>
      <x:c r="H79" t="str">
        <x:f>IF($A79="","",SUMIFS('Importação Contabilidade'!$E$7:$E$500,'Importação Contabilidade'!$A$7:$A$500,'Parâmetros'!$B$4,'Importação Contabilidade'!$B$7:$B$500,$A79))</x:f>
      </x:c>
      <x:c r="K79" t="str">
        <x:f>IF($A79="","",SUMIFS('Importação Contabilidade'!$F$7:$F$500,'Importação Contabilidade'!$A$7:$A$500,'Parâmetros'!$B$4,'Importação Contabilidade'!$B$7:$B$500,$A79))</x:f>
      </x:c>
      <x:c r="N79" t="str">
        <x:f>IF($A79="","",SUMIFS('Importação Contabilidade'!$G$7:$G$500,'Importação Contabilidade'!$A$7:$A$500,'Parâmetros'!$B$4,'Importação Contabilidade'!$B$7:$B$500,$A79))</x:f>
      </x:c>
      <x:c r="Q79" t="str">
        <x:f>IF($A79="","",SUMIFS('Importação Contabilidade'!$H$7:$H$500,'Importação Contabilidade'!$A$7:$A$500,'Parâmetros'!$B$4,'Importação Contabilidade'!$B$7:$B$500,$A79))</x:f>
      </x:c>
      <x:c r="T79" t="str">
        <x:f>IF($A79="","",SUMIFS('Importação Contabilidade'!$I$7:$I$500,'Importação Contabilidade'!$A$7:$A$500,'Parâmetros'!$B$4,'Importação Contabilidade'!$B$7:$B$500,$A79))</x:f>
      </x:c>
      <x:c r="W79" t="str">
        <x:f>IF($A79="","",SUMIFS('Importação Contabilidade'!$J$7:$J$500,'Importação Contabilidade'!$A$7:$A$500,'Parâmetros'!$B$4,'Importação Contabilidade'!$B$7:$B$500,$A79))</x:f>
      </x:c>
      <x:c r="Z79" t="str">
        <x:f>IF($A79="","",SUMIFS('Importação Contabilidade'!$K$7:$K$500,'Importação Contabilidade'!$A$7:$A$500,'Parâmetros'!$B$4,'Importação Contabilidade'!$B$7:$B$500,$A79))</x:f>
      </x:c>
      <x:c r="AC79" t="str">
        <x:f>IF($A79="","",SUMIFS('Importação Contabilidade'!$L$7:$L$500,'Importação Contabilidade'!$A$7:$A$500,'Parâmetros'!$B$4,'Importação Contabilidade'!$B$7:$B$500,$A79))</x:f>
      </x:c>
      <x:c r="AF79" t="str">
        <x:f>IF($A79="","",SUMIFS('Importação Contabilidade'!$M$7:$M$500,'Importação Contabilidade'!$A$7:$A$500,'Parâmetros'!$B$4,'Importação Contabilidade'!$B$7:$B$500,$A79))</x:f>
      </x:c>
      <x:c r="AI79" t="str">
        <x:f>IF($A79="","",SUMIFS('Importação Contabilidade'!$N$7:$N$500,'Importação Contabilidade'!$A$7:$A$500,'Parâmetros'!$B$4,'Importação Contabilidade'!$B$7:$B$500,$A79))</x:f>
      </x:c>
      <x:c r="AL79" t="str">
        <x:f>IF($A79="","",SUMIFS('Importação Contabilidade'!$O$7:$O$500,'Importação Contabilidade'!$A$7:$A$500,'Parâmetros'!$B$4,'Importação Contabilidade'!$B$7:$B$500,$A79))</x:f>
      </x:c>
      <x:c r="AO79" t="str">
        <x:f>IF($A79="","",SUMIFS('Importação Contabilidade'!$P$7:$P$500,'Importação Contabilidade'!$A$7:$A$500,'Parâmetros'!$B$4,'Importação Contabilidade'!$B$7:$B$500,$A79))</x:f>
      </x:c>
      <x:c r="AR79" t="str">
        <x:f>IF($A79="","",SUMIFS('Importação Contabilidade'!$Q$7:$Q$500,'Importação Contabilidade'!$A$7:$A$500,'Parâmetros'!$B$4,'Importação Contabilidade'!$B$7:$B$500,$A79))</x:f>
      </x:c>
      <x:c r="AU79" t="str">
        <x:f>IF($A79="","",SUMIFS('Importação Contabilidade'!$R$7:$R$500,'Importação Contabilidade'!$A$7:$A$500,'Parâmetros'!$B$4,'Importação Contabilidade'!$B$7:$B$500,$A79))</x:f>
      </x:c>
      <x:c r="AX79" t="str">
        <x:f>IF($A79="","",SUMIFS('Importação Contabilidade'!$S$7:$S$500,'Importação Contabilidade'!$A$7:$A$500,'Parâmetros'!$B$4,'Importação Contabilidade'!$B$7:$B$500,$A79))</x:f>
      </x:c>
    </x:row>
    <x:row r="80">
      <x:c r="C80" t="str">
        <x:f>'Conferência'!AI76</x:f>
      </x:c>
      <x:c r="E80" t="str">
        <x:f>IF($A80="","",SUMIFS('Importação Contabilidade'!$D$7:$D$500,'Importação Contabilidade'!$A$7:$A$500,'Parâmetros'!$B$4,'Importação Contabilidade'!$B$7:$B$500,$A80))</x:f>
      </x:c>
      <x:c r="H80" t="str">
        <x:f>IF($A80="","",SUMIFS('Importação Contabilidade'!$E$7:$E$500,'Importação Contabilidade'!$A$7:$A$500,'Parâmetros'!$B$4,'Importação Contabilidade'!$B$7:$B$500,$A80))</x:f>
      </x:c>
      <x:c r="K80" t="str">
        <x:f>IF($A80="","",SUMIFS('Importação Contabilidade'!$F$7:$F$500,'Importação Contabilidade'!$A$7:$A$500,'Parâmetros'!$B$4,'Importação Contabilidade'!$B$7:$B$500,$A80))</x:f>
      </x:c>
      <x:c r="N80" t="str">
        <x:f>IF($A80="","",SUMIFS('Importação Contabilidade'!$G$7:$G$500,'Importação Contabilidade'!$A$7:$A$500,'Parâmetros'!$B$4,'Importação Contabilidade'!$B$7:$B$500,$A80))</x:f>
      </x:c>
      <x:c r="Q80" t="str">
        <x:f>IF($A80="","",SUMIFS('Importação Contabilidade'!$H$7:$H$500,'Importação Contabilidade'!$A$7:$A$500,'Parâmetros'!$B$4,'Importação Contabilidade'!$B$7:$B$500,$A80))</x:f>
      </x:c>
      <x:c r="T80" t="str">
        <x:f>IF($A80="","",SUMIFS('Importação Contabilidade'!$I$7:$I$500,'Importação Contabilidade'!$A$7:$A$500,'Parâmetros'!$B$4,'Importação Contabilidade'!$B$7:$B$500,$A80))</x:f>
      </x:c>
      <x:c r="W80" t="str">
        <x:f>IF($A80="","",SUMIFS('Importação Contabilidade'!$J$7:$J$500,'Importação Contabilidade'!$A$7:$A$500,'Parâmetros'!$B$4,'Importação Contabilidade'!$B$7:$B$500,$A80))</x:f>
      </x:c>
      <x:c r="Z80" t="str">
        <x:f>IF($A80="","",SUMIFS('Importação Contabilidade'!$K$7:$K$500,'Importação Contabilidade'!$A$7:$A$500,'Parâmetros'!$B$4,'Importação Contabilidade'!$B$7:$B$500,$A80))</x:f>
      </x:c>
      <x:c r="AC80" t="str">
        <x:f>IF($A80="","",SUMIFS('Importação Contabilidade'!$L$7:$L$500,'Importação Contabilidade'!$A$7:$A$500,'Parâmetros'!$B$4,'Importação Contabilidade'!$B$7:$B$500,$A80))</x:f>
      </x:c>
      <x:c r="AF80" t="str">
        <x:f>IF($A80="","",SUMIFS('Importação Contabilidade'!$M$7:$M$500,'Importação Contabilidade'!$A$7:$A$500,'Parâmetros'!$B$4,'Importação Contabilidade'!$B$7:$B$500,$A80))</x:f>
      </x:c>
      <x:c r="AI80" t="str">
        <x:f>IF($A80="","",SUMIFS('Importação Contabilidade'!$N$7:$N$500,'Importação Contabilidade'!$A$7:$A$500,'Parâmetros'!$B$4,'Importação Contabilidade'!$B$7:$B$500,$A80))</x:f>
      </x:c>
      <x:c r="AL80" t="str">
        <x:f>IF($A80="","",SUMIFS('Importação Contabilidade'!$O$7:$O$500,'Importação Contabilidade'!$A$7:$A$500,'Parâmetros'!$B$4,'Importação Contabilidade'!$B$7:$B$500,$A80))</x:f>
      </x:c>
      <x:c r="AO80" t="str">
        <x:f>IF($A80="","",SUMIFS('Importação Contabilidade'!$P$7:$P$500,'Importação Contabilidade'!$A$7:$A$500,'Parâmetros'!$B$4,'Importação Contabilidade'!$B$7:$B$500,$A80))</x:f>
      </x:c>
      <x:c r="AR80" t="str">
        <x:f>IF($A80="","",SUMIFS('Importação Contabilidade'!$Q$7:$Q$500,'Importação Contabilidade'!$A$7:$A$500,'Parâmetros'!$B$4,'Importação Contabilidade'!$B$7:$B$500,$A80))</x:f>
      </x:c>
      <x:c r="AU80" t="str">
        <x:f>IF($A80="","",SUMIFS('Importação Contabilidade'!$R$7:$R$500,'Importação Contabilidade'!$A$7:$A$500,'Parâmetros'!$B$4,'Importação Contabilidade'!$B$7:$B$500,$A80))</x:f>
      </x:c>
      <x:c r="AX80" t="str">
        <x:f>IF($A80="","",SUMIFS('Importação Contabilidade'!$S$7:$S$500,'Importação Contabilidade'!$A$7:$A$500,'Parâmetros'!$B$4,'Importação Contabilidade'!$B$7:$B$500,$A80))</x:f>
      </x:c>
    </x:row>
    <x:row r="81">
      <x:c r="C81" t="str">
        <x:f>'Conferência'!AI77</x:f>
      </x:c>
      <x:c r="E81" t="str">
        <x:f>IF($A81="","",SUMIFS('Importação Contabilidade'!$D$7:$D$500,'Importação Contabilidade'!$A$7:$A$500,'Parâmetros'!$B$4,'Importação Contabilidade'!$B$7:$B$500,$A81))</x:f>
      </x:c>
      <x:c r="H81" t="str">
        <x:f>IF($A81="","",SUMIFS('Importação Contabilidade'!$E$7:$E$500,'Importação Contabilidade'!$A$7:$A$500,'Parâmetros'!$B$4,'Importação Contabilidade'!$B$7:$B$500,$A81))</x:f>
      </x:c>
      <x:c r="K81" t="str">
        <x:f>IF($A81="","",SUMIFS('Importação Contabilidade'!$F$7:$F$500,'Importação Contabilidade'!$A$7:$A$500,'Parâmetros'!$B$4,'Importação Contabilidade'!$B$7:$B$500,$A81))</x:f>
      </x:c>
      <x:c r="N81" t="str">
        <x:f>IF($A81="","",SUMIFS('Importação Contabilidade'!$G$7:$G$500,'Importação Contabilidade'!$A$7:$A$500,'Parâmetros'!$B$4,'Importação Contabilidade'!$B$7:$B$500,$A81))</x:f>
      </x:c>
      <x:c r="Q81" t="str">
        <x:f>IF($A81="","",SUMIFS('Importação Contabilidade'!$H$7:$H$500,'Importação Contabilidade'!$A$7:$A$500,'Parâmetros'!$B$4,'Importação Contabilidade'!$B$7:$B$500,$A81))</x:f>
      </x:c>
      <x:c r="T81" t="str">
        <x:f>IF($A81="","",SUMIFS('Importação Contabilidade'!$I$7:$I$500,'Importação Contabilidade'!$A$7:$A$500,'Parâmetros'!$B$4,'Importação Contabilidade'!$B$7:$B$500,$A81))</x:f>
      </x:c>
      <x:c r="W81" t="str">
        <x:f>IF($A81="","",SUMIFS('Importação Contabilidade'!$J$7:$J$500,'Importação Contabilidade'!$A$7:$A$500,'Parâmetros'!$B$4,'Importação Contabilidade'!$B$7:$B$500,$A81))</x:f>
      </x:c>
      <x:c r="Z81" t="str">
        <x:f>IF($A81="","",SUMIFS('Importação Contabilidade'!$K$7:$K$500,'Importação Contabilidade'!$A$7:$A$500,'Parâmetros'!$B$4,'Importação Contabilidade'!$B$7:$B$500,$A81))</x:f>
      </x:c>
      <x:c r="AC81" t="str">
        <x:f>IF($A81="","",SUMIFS('Importação Contabilidade'!$L$7:$L$500,'Importação Contabilidade'!$A$7:$A$500,'Parâmetros'!$B$4,'Importação Contabilidade'!$B$7:$B$500,$A81))</x:f>
      </x:c>
      <x:c r="AF81" t="str">
        <x:f>IF($A81="","",SUMIFS('Importação Contabilidade'!$M$7:$M$500,'Importação Contabilidade'!$A$7:$A$500,'Parâmetros'!$B$4,'Importação Contabilidade'!$B$7:$B$500,$A81))</x:f>
      </x:c>
      <x:c r="AI81" t="str">
        <x:f>IF($A81="","",SUMIFS('Importação Contabilidade'!$N$7:$N$500,'Importação Contabilidade'!$A$7:$A$500,'Parâmetros'!$B$4,'Importação Contabilidade'!$B$7:$B$500,$A81))</x:f>
      </x:c>
      <x:c r="AL81" t="str">
        <x:f>IF($A81="","",SUMIFS('Importação Contabilidade'!$O$7:$O$500,'Importação Contabilidade'!$A$7:$A$500,'Parâmetros'!$B$4,'Importação Contabilidade'!$B$7:$B$500,$A81))</x:f>
      </x:c>
      <x:c r="AO81" t="str">
        <x:f>IF($A81="","",SUMIFS('Importação Contabilidade'!$P$7:$P$500,'Importação Contabilidade'!$A$7:$A$500,'Parâmetros'!$B$4,'Importação Contabilidade'!$B$7:$B$500,$A81))</x:f>
      </x:c>
      <x:c r="AR81" t="str">
        <x:f>IF($A81="","",SUMIFS('Importação Contabilidade'!$Q$7:$Q$500,'Importação Contabilidade'!$A$7:$A$500,'Parâmetros'!$B$4,'Importação Contabilidade'!$B$7:$B$500,$A81))</x:f>
      </x:c>
      <x:c r="AU81" t="str">
        <x:f>IF($A81="","",SUMIFS('Importação Contabilidade'!$R$7:$R$500,'Importação Contabilidade'!$A$7:$A$500,'Parâmetros'!$B$4,'Importação Contabilidade'!$B$7:$B$500,$A81))</x:f>
      </x:c>
      <x:c r="AX81" t="str">
        <x:f>IF($A81="","",SUMIFS('Importação Contabilidade'!$S$7:$S$500,'Importação Contabilidade'!$A$7:$A$500,'Parâmetros'!$B$4,'Importação Contabilidade'!$B$7:$B$500,$A81))</x:f>
      </x:c>
    </x:row>
    <x:row r="82">
      <x:c r="C82" t="str">
        <x:f>'Conferência'!AI78</x:f>
      </x:c>
      <x:c r="E82" t="str">
        <x:f>IF($A82="","",SUMIFS('Importação Contabilidade'!$D$7:$D$500,'Importação Contabilidade'!$A$7:$A$500,'Parâmetros'!$B$4,'Importação Contabilidade'!$B$7:$B$500,$A82))</x:f>
      </x:c>
      <x:c r="H82" t="str">
        <x:f>IF($A82="","",SUMIFS('Importação Contabilidade'!$E$7:$E$500,'Importação Contabilidade'!$A$7:$A$500,'Parâmetros'!$B$4,'Importação Contabilidade'!$B$7:$B$500,$A82))</x:f>
      </x:c>
      <x:c r="K82" t="str">
        <x:f>IF($A82="","",SUMIFS('Importação Contabilidade'!$F$7:$F$500,'Importação Contabilidade'!$A$7:$A$500,'Parâmetros'!$B$4,'Importação Contabilidade'!$B$7:$B$500,$A82))</x:f>
      </x:c>
      <x:c r="N82" t="str">
        <x:f>IF($A82="","",SUMIFS('Importação Contabilidade'!$G$7:$G$500,'Importação Contabilidade'!$A$7:$A$500,'Parâmetros'!$B$4,'Importação Contabilidade'!$B$7:$B$500,$A82))</x:f>
      </x:c>
      <x:c r="Q82" t="str">
        <x:f>IF($A82="","",SUMIFS('Importação Contabilidade'!$H$7:$H$500,'Importação Contabilidade'!$A$7:$A$500,'Parâmetros'!$B$4,'Importação Contabilidade'!$B$7:$B$500,$A82))</x:f>
      </x:c>
      <x:c r="T82" t="str">
        <x:f>IF($A82="","",SUMIFS('Importação Contabilidade'!$I$7:$I$500,'Importação Contabilidade'!$A$7:$A$500,'Parâmetros'!$B$4,'Importação Contabilidade'!$B$7:$B$500,$A82))</x:f>
      </x:c>
      <x:c r="W82" t="str">
        <x:f>IF($A82="","",SUMIFS('Importação Contabilidade'!$J$7:$J$500,'Importação Contabilidade'!$A$7:$A$500,'Parâmetros'!$B$4,'Importação Contabilidade'!$B$7:$B$500,$A82))</x:f>
      </x:c>
      <x:c r="Z82" t="str">
        <x:f>IF($A82="","",SUMIFS('Importação Contabilidade'!$K$7:$K$500,'Importação Contabilidade'!$A$7:$A$500,'Parâmetros'!$B$4,'Importação Contabilidade'!$B$7:$B$500,$A82))</x:f>
      </x:c>
      <x:c r="AC82" t="str">
        <x:f>IF($A82="","",SUMIFS('Importação Contabilidade'!$L$7:$L$500,'Importação Contabilidade'!$A$7:$A$500,'Parâmetros'!$B$4,'Importação Contabilidade'!$B$7:$B$500,$A82))</x:f>
      </x:c>
      <x:c r="AF82" t="str">
        <x:f>IF($A82="","",SUMIFS('Importação Contabilidade'!$M$7:$M$500,'Importação Contabilidade'!$A$7:$A$500,'Parâmetros'!$B$4,'Importação Contabilidade'!$B$7:$B$500,$A82))</x:f>
      </x:c>
      <x:c r="AI82" t="str">
        <x:f>IF($A82="","",SUMIFS('Importação Contabilidade'!$N$7:$N$500,'Importação Contabilidade'!$A$7:$A$500,'Parâmetros'!$B$4,'Importação Contabilidade'!$B$7:$B$500,$A82))</x:f>
      </x:c>
      <x:c r="AL82" t="str">
        <x:f>IF($A82="","",SUMIFS('Importação Contabilidade'!$O$7:$O$500,'Importação Contabilidade'!$A$7:$A$500,'Parâmetros'!$B$4,'Importação Contabilidade'!$B$7:$B$500,$A82))</x:f>
      </x:c>
      <x:c r="AO82" t="str">
        <x:f>IF($A82="","",SUMIFS('Importação Contabilidade'!$P$7:$P$500,'Importação Contabilidade'!$A$7:$A$500,'Parâmetros'!$B$4,'Importação Contabilidade'!$B$7:$B$500,$A82))</x:f>
      </x:c>
      <x:c r="AR82" t="str">
        <x:f>IF($A82="","",SUMIFS('Importação Contabilidade'!$Q$7:$Q$500,'Importação Contabilidade'!$A$7:$A$500,'Parâmetros'!$B$4,'Importação Contabilidade'!$B$7:$B$500,$A82))</x:f>
      </x:c>
      <x:c r="AU82" t="str">
        <x:f>IF($A82="","",SUMIFS('Importação Contabilidade'!$R$7:$R$500,'Importação Contabilidade'!$A$7:$A$500,'Parâmetros'!$B$4,'Importação Contabilidade'!$B$7:$B$500,$A82))</x:f>
      </x:c>
      <x:c r="AX82" t="str">
        <x:f>IF($A82="","",SUMIFS('Importação Contabilidade'!$S$7:$S$500,'Importação Contabilidade'!$A$7:$A$500,'Parâmetros'!$B$4,'Importação Contabilidade'!$B$7:$B$500,$A82))</x:f>
      </x:c>
    </x:row>
    <x:row r="83">
      <x:c r="C83" t="str">
        <x:f>'Conferência'!AI79</x:f>
      </x:c>
      <x:c r="E83" t="str">
        <x:f>IF($A83="","",SUMIFS('Importação Contabilidade'!$D$7:$D$500,'Importação Contabilidade'!$A$7:$A$500,'Parâmetros'!$B$4,'Importação Contabilidade'!$B$7:$B$500,$A83))</x:f>
      </x:c>
      <x:c r="H83" t="str">
        <x:f>IF($A83="","",SUMIFS('Importação Contabilidade'!$E$7:$E$500,'Importação Contabilidade'!$A$7:$A$500,'Parâmetros'!$B$4,'Importação Contabilidade'!$B$7:$B$500,$A83))</x:f>
      </x:c>
      <x:c r="K83" t="str">
        <x:f>IF($A83="","",SUMIFS('Importação Contabilidade'!$F$7:$F$500,'Importação Contabilidade'!$A$7:$A$500,'Parâmetros'!$B$4,'Importação Contabilidade'!$B$7:$B$500,$A83))</x:f>
      </x:c>
      <x:c r="N83" t="str">
        <x:f>IF($A83="","",SUMIFS('Importação Contabilidade'!$G$7:$G$500,'Importação Contabilidade'!$A$7:$A$500,'Parâmetros'!$B$4,'Importação Contabilidade'!$B$7:$B$500,$A83))</x:f>
      </x:c>
      <x:c r="Q83" t="str">
        <x:f>IF($A83="","",SUMIFS('Importação Contabilidade'!$H$7:$H$500,'Importação Contabilidade'!$A$7:$A$500,'Parâmetros'!$B$4,'Importação Contabilidade'!$B$7:$B$500,$A83))</x:f>
      </x:c>
      <x:c r="T83" t="str">
        <x:f>IF($A83="","",SUMIFS('Importação Contabilidade'!$I$7:$I$500,'Importação Contabilidade'!$A$7:$A$500,'Parâmetros'!$B$4,'Importação Contabilidade'!$B$7:$B$500,$A83))</x:f>
      </x:c>
      <x:c r="W83" t="str">
        <x:f>IF($A83="","",SUMIFS('Importação Contabilidade'!$J$7:$J$500,'Importação Contabilidade'!$A$7:$A$500,'Parâmetros'!$B$4,'Importação Contabilidade'!$B$7:$B$500,$A83))</x:f>
      </x:c>
      <x:c r="Z83" t="str">
        <x:f>IF($A83="","",SUMIFS('Importação Contabilidade'!$K$7:$K$500,'Importação Contabilidade'!$A$7:$A$500,'Parâmetros'!$B$4,'Importação Contabilidade'!$B$7:$B$500,$A83))</x:f>
      </x:c>
      <x:c r="AC83" t="str">
        <x:f>IF($A83="","",SUMIFS('Importação Contabilidade'!$L$7:$L$500,'Importação Contabilidade'!$A$7:$A$500,'Parâmetros'!$B$4,'Importação Contabilidade'!$B$7:$B$500,$A83))</x:f>
      </x:c>
      <x:c r="AF83" t="str">
        <x:f>IF($A83="","",SUMIFS('Importação Contabilidade'!$M$7:$M$500,'Importação Contabilidade'!$A$7:$A$500,'Parâmetros'!$B$4,'Importação Contabilidade'!$B$7:$B$500,$A83))</x:f>
      </x:c>
      <x:c r="AI83" t="str">
        <x:f>IF($A83="","",SUMIFS('Importação Contabilidade'!$N$7:$N$500,'Importação Contabilidade'!$A$7:$A$500,'Parâmetros'!$B$4,'Importação Contabilidade'!$B$7:$B$500,$A83))</x:f>
      </x:c>
      <x:c r="AL83" t="str">
        <x:f>IF($A83="","",SUMIFS('Importação Contabilidade'!$O$7:$O$500,'Importação Contabilidade'!$A$7:$A$500,'Parâmetros'!$B$4,'Importação Contabilidade'!$B$7:$B$500,$A83))</x:f>
      </x:c>
      <x:c r="AO83" t="str">
        <x:f>IF($A83="","",SUMIFS('Importação Contabilidade'!$P$7:$P$500,'Importação Contabilidade'!$A$7:$A$500,'Parâmetros'!$B$4,'Importação Contabilidade'!$B$7:$B$500,$A83))</x:f>
      </x:c>
      <x:c r="AR83" t="str">
        <x:f>IF($A83="","",SUMIFS('Importação Contabilidade'!$Q$7:$Q$500,'Importação Contabilidade'!$A$7:$A$500,'Parâmetros'!$B$4,'Importação Contabilidade'!$B$7:$B$500,$A83))</x:f>
      </x:c>
      <x:c r="AU83" t="str">
        <x:f>IF($A83="","",SUMIFS('Importação Contabilidade'!$R$7:$R$500,'Importação Contabilidade'!$A$7:$A$500,'Parâmetros'!$B$4,'Importação Contabilidade'!$B$7:$B$500,$A83))</x:f>
      </x:c>
      <x:c r="AX83" t="str">
        <x:f>IF($A83="","",SUMIFS('Importação Contabilidade'!$S$7:$S$500,'Importação Contabilidade'!$A$7:$A$500,'Parâmetros'!$B$4,'Importação Contabilidade'!$B$7:$B$500,$A83))</x:f>
      </x:c>
    </x:row>
    <x:row r="84">
      <x:c r="C84" t="str">
        <x:f>'Conferência'!AI80</x:f>
      </x:c>
      <x:c r="E84" t="str">
        <x:f>IF($A84="","",SUMIFS('Importação Contabilidade'!$D$7:$D$500,'Importação Contabilidade'!$A$7:$A$500,'Parâmetros'!$B$4,'Importação Contabilidade'!$B$7:$B$500,$A84))</x:f>
      </x:c>
      <x:c r="H84" t="str">
        <x:f>IF($A84="","",SUMIFS('Importação Contabilidade'!$E$7:$E$500,'Importação Contabilidade'!$A$7:$A$500,'Parâmetros'!$B$4,'Importação Contabilidade'!$B$7:$B$500,$A84))</x:f>
      </x:c>
      <x:c r="K84" t="str">
        <x:f>IF($A84="","",SUMIFS('Importação Contabilidade'!$F$7:$F$500,'Importação Contabilidade'!$A$7:$A$500,'Parâmetros'!$B$4,'Importação Contabilidade'!$B$7:$B$500,$A84))</x:f>
      </x:c>
      <x:c r="N84" t="str">
        <x:f>IF($A84="","",SUMIFS('Importação Contabilidade'!$G$7:$G$500,'Importação Contabilidade'!$A$7:$A$500,'Parâmetros'!$B$4,'Importação Contabilidade'!$B$7:$B$500,$A84))</x:f>
      </x:c>
      <x:c r="Q84" t="str">
        <x:f>IF($A84="","",SUMIFS('Importação Contabilidade'!$H$7:$H$500,'Importação Contabilidade'!$A$7:$A$500,'Parâmetros'!$B$4,'Importação Contabilidade'!$B$7:$B$500,$A84))</x:f>
      </x:c>
      <x:c r="T84" t="str">
        <x:f>IF($A84="","",SUMIFS('Importação Contabilidade'!$I$7:$I$500,'Importação Contabilidade'!$A$7:$A$500,'Parâmetros'!$B$4,'Importação Contabilidade'!$B$7:$B$500,$A84))</x:f>
      </x:c>
      <x:c r="W84" t="str">
        <x:f>IF($A84="","",SUMIFS('Importação Contabilidade'!$J$7:$J$500,'Importação Contabilidade'!$A$7:$A$500,'Parâmetros'!$B$4,'Importação Contabilidade'!$B$7:$B$500,$A84))</x:f>
      </x:c>
      <x:c r="Z84" t="str">
        <x:f>IF($A84="","",SUMIFS('Importação Contabilidade'!$K$7:$K$500,'Importação Contabilidade'!$A$7:$A$500,'Parâmetros'!$B$4,'Importação Contabilidade'!$B$7:$B$500,$A84))</x:f>
      </x:c>
      <x:c r="AC84" t="str">
        <x:f>IF($A84="","",SUMIFS('Importação Contabilidade'!$L$7:$L$500,'Importação Contabilidade'!$A$7:$A$500,'Parâmetros'!$B$4,'Importação Contabilidade'!$B$7:$B$500,$A84))</x:f>
      </x:c>
      <x:c r="AF84" t="str">
        <x:f>IF($A84="","",SUMIFS('Importação Contabilidade'!$M$7:$M$500,'Importação Contabilidade'!$A$7:$A$500,'Parâmetros'!$B$4,'Importação Contabilidade'!$B$7:$B$500,$A84))</x:f>
      </x:c>
      <x:c r="AI84" t="str">
        <x:f>IF($A84="","",SUMIFS('Importação Contabilidade'!$N$7:$N$500,'Importação Contabilidade'!$A$7:$A$500,'Parâmetros'!$B$4,'Importação Contabilidade'!$B$7:$B$500,$A84))</x:f>
      </x:c>
      <x:c r="AL84" t="str">
        <x:f>IF($A84="","",SUMIFS('Importação Contabilidade'!$O$7:$O$500,'Importação Contabilidade'!$A$7:$A$500,'Parâmetros'!$B$4,'Importação Contabilidade'!$B$7:$B$500,$A84))</x:f>
      </x:c>
      <x:c r="AO84" t="str">
        <x:f>IF($A84="","",SUMIFS('Importação Contabilidade'!$P$7:$P$500,'Importação Contabilidade'!$A$7:$A$500,'Parâmetros'!$B$4,'Importação Contabilidade'!$B$7:$B$500,$A84))</x:f>
      </x:c>
      <x:c r="AR84" t="str">
        <x:f>IF($A84="","",SUMIFS('Importação Contabilidade'!$Q$7:$Q$500,'Importação Contabilidade'!$A$7:$A$500,'Parâmetros'!$B$4,'Importação Contabilidade'!$B$7:$B$500,$A84))</x:f>
      </x:c>
      <x:c r="AU84" t="str">
        <x:f>IF($A84="","",SUMIFS('Importação Contabilidade'!$R$7:$R$500,'Importação Contabilidade'!$A$7:$A$500,'Parâmetros'!$B$4,'Importação Contabilidade'!$B$7:$B$500,$A84))</x:f>
      </x:c>
      <x:c r="AX84" t="str">
        <x:f>IF($A84="","",SUMIFS('Importação Contabilidade'!$S$7:$S$500,'Importação Contabilidade'!$A$7:$A$500,'Parâmetros'!$B$4,'Importação Contabilidade'!$B$7:$B$500,$A84))</x:f>
      </x:c>
    </x:row>
    <x:row r="85">
      <x:c r="C85" t="str">
        <x:f>'Conferência'!AI81</x:f>
      </x:c>
      <x:c r="E85" t="str">
        <x:f>IF($A85="","",SUMIFS('Importação Contabilidade'!$D$7:$D$500,'Importação Contabilidade'!$A$7:$A$500,'Parâmetros'!$B$4,'Importação Contabilidade'!$B$7:$B$500,$A85))</x:f>
      </x:c>
      <x:c r="H85" t="str">
        <x:f>IF($A85="","",SUMIFS('Importação Contabilidade'!$E$7:$E$500,'Importação Contabilidade'!$A$7:$A$500,'Parâmetros'!$B$4,'Importação Contabilidade'!$B$7:$B$500,$A85))</x:f>
      </x:c>
      <x:c r="K85" t="str">
        <x:f>IF($A85="","",SUMIFS('Importação Contabilidade'!$F$7:$F$500,'Importação Contabilidade'!$A$7:$A$500,'Parâmetros'!$B$4,'Importação Contabilidade'!$B$7:$B$500,$A85))</x:f>
      </x:c>
      <x:c r="N85" t="str">
        <x:f>IF($A85="","",SUMIFS('Importação Contabilidade'!$G$7:$G$500,'Importação Contabilidade'!$A$7:$A$500,'Parâmetros'!$B$4,'Importação Contabilidade'!$B$7:$B$500,$A85))</x:f>
      </x:c>
      <x:c r="Q85" t="str">
        <x:f>IF($A85="","",SUMIFS('Importação Contabilidade'!$H$7:$H$500,'Importação Contabilidade'!$A$7:$A$500,'Parâmetros'!$B$4,'Importação Contabilidade'!$B$7:$B$500,$A85))</x:f>
      </x:c>
      <x:c r="T85" t="str">
        <x:f>IF($A85="","",SUMIFS('Importação Contabilidade'!$I$7:$I$500,'Importação Contabilidade'!$A$7:$A$500,'Parâmetros'!$B$4,'Importação Contabilidade'!$B$7:$B$500,$A85))</x:f>
      </x:c>
      <x:c r="W85" t="str">
        <x:f>IF($A85="","",SUMIFS('Importação Contabilidade'!$J$7:$J$500,'Importação Contabilidade'!$A$7:$A$500,'Parâmetros'!$B$4,'Importação Contabilidade'!$B$7:$B$500,$A85))</x:f>
      </x:c>
      <x:c r="Z85" t="str">
        <x:f>IF($A85="","",SUMIFS('Importação Contabilidade'!$K$7:$K$500,'Importação Contabilidade'!$A$7:$A$500,'Parâmetros'!$B$4,'Importação Contabilidade'!$B$7:$B$500,$A85))</x:f>
      </x:c>
      <x:c r="AC85" t="str">
        <x:f>IF($A85="","",SUMIFS('Importação Contabilidade'!$L$7:$L$500,'Importação Contabilidade'!$A$7:$A$500,'Parâmetros'!$B$4,'Importação Contabilidade'!$B$7:$B$500,$A85))</x:f>
      </x:c>
      <x:c r="AF85" t="str">
        <x:f>IF($A85="","",SUMIFS('Importação Contabilidade'!$M$7:$M$500,'Importação Contabilidade'!$A$7:$A$500,'Parâmetros'!$B$4,'Importação Contabilidade'!$B$7:$B$500,$A85))</x:f>
      </x:c>
      <x:c r="AI85" t="str">
        <x:f>IF($A85="","",SUMIFS('Importação Contabilidade'!$N$7:$N$500,'Importação Contabilidade'!$A$7:$A$500,'Parâmetros'!$B$4,'Importação Contabilidade'!$B$7:$B$500,$A85))</x:f>
      </x:c>
      <x:c r="AL85" t="str">
        <x:f>IF($A85="","",SUMIFS('Importação Contabilidade'!$O$7:$O$500,'Importação Contabilidade'!$A$7:$A$500,'Parâmetros'!$B$4,'Importação Contabilidade'!$B$7:$B$500,$A85))</x:f>
      </x:c>
      <x:c r="AO85" t="str">
        <x:f>IF($A85="","",SUMIFS('Importação Contabilidade'!$P$7:$P$500,'Importação Contabilidade'!$A$7:$A$500,'Parâmetros'!$B$4,'Importação Contabilidade'!$B$7:$B$500,$A85))</x:f>
      </x:c>
      <x:c r="AR85" t="str">
        <x:f>IF($A85="","",SUMIFS('Importação Contabilidade'!$Q$7:$Q$500,'Importação Contabilidade'!$A$7:$A$500,'Parâmetros'!$B$4,'Importação Contabilidade'!$B$7:$B$500,$A85))</x:f>
      </x:c>
      <x:c r="AU85" t="str">
        <x:f>IF($A85="","",SUMIFS('Importação Contabilidade'!$R$7:$R$500,'Importação Contabilidade'!$A$7:$A$500,'Parâmetros'!$B$4,'Importação Contabilidade'!$B$7:$B$500,$A85))</x:f>
      </x:c>
      <x:c r="AX85" t="str">
        <x:f>IF($A85="","",SUMIFS('Importação Contabilidade'!$S$7:$S$500,'Importação Contabilidade'!$A$7:$A$500,'Parâmetros'!$B$4,'Importação Contabilidade'!$B$7:$B$500,$A85))</x:f>
      </x:c>
    </x:row>
    <x:row r="86">
      <x:c r="C86" t="str">
        <x:f>'Conferência'!AI82</x:f>
      </x:c>
      <x:c r="E86" t="str">
        <x:f>IF($A86="","",SUMIFS('Importação Contabilidade'!$D$7:$D$500,'Importação Contabilidade'!$A$7:$A$500,'Parâmetros'!$B$4,'Importação Contabilidade'!$B$7:$B$500,$A86))</x:f>
      </x:c>
      <x:c r="H86" t="str">
        <x:f>IF($A86="","",SUMIFS('Importação Contabilidade'!$E$7:$E$500,'Importação Contabilidade'!$A$7:$A$500,'Parâmetros'!$B$4,'Importação Contabilidade'!$B$7:$B$500,$A86))</x:f>
      </x:c>
      <x:c r="K86" t="str">
        <x:f>IF($A86="","",SUMIFS('Importação Contabilidade'!$F$7:$F$500,'Importação Contabilidade'!$A$7:$A$500,'Parâmetros'!$B$4,'Importação Contabilidade'!$B$7:$B$500,$A86))</x:f>
      </x:c>
      <x:c r="N86" t="str">
        <x:f>IF($A86="","",SUMIFS('Importação Contabilidade'!$G$7:$G$500,'Importação Contabilidade'!$A$7:$A$500,'Parâmetros'!$B$4,'Importação Contabilidade'!$B$7:$B$500,$A86))</x:f>
      </x:c>
      <x:c r="Q86" t="str">
        <x:f>IF($A86="","",SUMIFS('Importação Contabilidade'!$H$7:$H$500,'Importação Contabilidade'!$A$7:$A$500,'Parâmetros'!$B$4,'Importação Contabilidade'!$B$7:$B$500,$A86))</x:f>
      </x:c>
      <x:c r="T86" t="str">
        <x:f>IF($A86="","",SUMIFS('Importação Contabilidade'!$I$7:$I$500,'Importação Contabilidade'!$A$7:$A$500,'Parâmetros'!$B$4,'Importação Contabilidade'!$B$7:$B$500,$A86))</x:f>
      </x:c>
      <x:c r="W86" t="str">
        <x:f>IF($A86="","",SUMIFS('Importação Contabilidade'!$J$7:$J$500,'Importação Contabilidade'!$A$7:$A$500,'Parâmetros'!$B$4,'Importação Contabilidade'!$B$7:$B$500,$A86))</x:f>
      </x:c>
      <x:c r="Z86" t="str">
        <x:f>IF($A86="","",SUMIFS('Importação Contabilidade'!$K$7:$K$500,'Importação Contabilidade'!$A$7:$A$500,'Parâmetros'!$B$4,'Importação Contabilidade'!$B$7:$B$500,$A86))</x:f>
      </x:c>
      <x:c r="AC86" t="str">
        <x:f>IF($A86="","",SUMIFS('Importação Contabilidade'!$L$7:$L$500,'Importação Contabilidade'!$A$7:$A$500,'Parâmetros'!$B$4,'Importação Contabilidade'!$B$7:$B$500,$A86))</x:f>
      </x:c>
      <x:c r="AF86" t="str">
        <x:f>IF($A86="","",SUMIFS('Importação Contabilidade'!$M$7:$M$500,'Importação Contabilidade'!$A$7:$A$500,'Parâmetros'!$B$4,'Importação Contabilidade'!$B$7:$B$500,$A86))</x:f>
      </x:c>
      <x:c r="AI86" t="str">
        <x:f>IF($A86="","",SUMIFS('Importação Contabilidade'!$N$7:$N$500,'Importação Contabilidade'!$A$7:$A$500,'Parâmetros'!$B$4,'Importação Contabilidade'!$B$7:$B$500,$A86))</x:f>
      </x:c>
      <x:c r="AL86" t="str">
        <x:f>IF($A86="","",SUMIFS('Importação Contabilidade'!$O$7:$O$500,'Importação Contabilidade'!$A$7:$A$500,'Parâmetros'!$B$4,'Importação Contabilidade'!$B$7:$B$500,$A86))</x:f>
      </x:c>
      <x:c r="AO86" t="str">
        <x:f>IF($A86="","",SUMIFS('Importação Contabilidade'!$P$7:$P$500,'Importação Contabilidade'!$A$7:$A$500,'Parâmetros'!$B$4,'Importação Contabilidade'!$B$7:$B$500,$A86))</x:f>
      </x:c>
      <x:c r="AR86" t="str">
        <x:f>IF($A86="","",SUMIFS('Importação Contabilidade'!$Q$7:$Q$500,'Importação Contabilidade'!$A$7:$A$500,'Parâmetros'!$B$4,'Importação Contabilidade'!$B$7:$B$500,$A86))</x:f>
      </x:c>
      <x:c r="AU86" t="str">
        <x:f>IF($A86="","",SUMIFS('Importação Contabilidade'!$R$7:$R$500,'Importação Contabilidade'!$A$7:$A$500,'Parâmetros'!$B$4,'Importação Contabilidade'!$B$7:$B$500,$A86))</x:f>
      </x:c>
      <x:c r="AX86" t="str">
        <x:f>IF($A86="","",SUMIFS('Importação Contabilidade'!$S$7:$S$500,'Importação Contabilidade'!$A$7:$A$500,'Parâmetros'!$B$4,'Importação Contabilidade'!$B$7:$B$500,$A86))</x:f>
      </x:c>
    </x:row>
    <x:row r="87">
      <x:c r="C87" t="str">
        <x:f>'Conferência'!AI83</x:f>
      </x:c>
      <x:c r="E87" t="str">
        <x:f>IF($A87="","",SUMIFS('Importação Contabilidade'!$D$7:$D$500,'Importação Contabilidade'!$A$7:$A$500,'Parâmetros'!$B$4,'Importação Contabilidade'!$B$7:$B$500,$A87))</x:f>
      </x:c>
      <x:c r="H87" t="str">
        <x:f>IF($A87="","",SUMIFS('Importação Contabilidade'!$E$7:$E$500,'Importação Contabilidade'!$A$7:$A$500,'Parâmetros'!$B$4,'Importação Contabilidade'!$B$7:$B$500,$A87))</x:f>
      </x:c>
      <x:c r="K87" t="str">
        <x:f>IF($A87="","",SUMIFS('Importação Contabilidade'!$F$7:$F$500,'Importação Contabilidade'!$A$7:$A$500,'Parâmetros'!$B$4,'Importação Contabilidade'!$B$7:$B$500,$A87))</x:f>
      </x:c>
      <x:c r="N87" t="str">
        <x:f>IF($A87="","",SUMIFS('Importação Contabilidade'!$G$7:$G$500,'Importação Contabilidade'!$A$7:$A$500,'Parâmetros'!$B$4,'Importação Contabilidade'!$B$7:$B$500,$A87))</x:f>
      </x:c>
      <x:c r="Q87" t="str">
        <x:f>IF($A87="","",SUMIFS('Importação Contabilidade'!$H$7:$H$500,'Importação Contabilidade'!$A$7:$A$500,'Parâmetros'!$B$4,'Importação Contabilidade'!$B$7:$B$500,$A87))</x:f>
      </x:c>
      <x:c r="T87" t="str">
        <x:f>IF($A87="","",SUMIFS('Importação Contabilidade'!$I$7:$I$500,'Importação Contabilidade'!$A$7:$A$500,'Parâmetros'!$B$4,'Importação Contabilidade'!$B$7:$B$500,$A87))</x:f>
      </x:c>
      <x:c r="W87" t="str">
        <x:f>IF($A87="","",SUMIFS('Importação Contabilidade'!$J$7:$J$500,'Importação Contabilidade'!$A$7:$A$500,'Parâmetros'!$B$4,'Importação Contabilidade'!$B$7:$B$500,$A87))</x:f>
      </x:c>
      <x:c r="Z87" t="str">
        <x:f>IF($A87="","",SUMIFS('Importação Contabilidade'!$K$7:$K$500,'Importação Contabilidade'!$A$7:$A$500,'Parâmetros'!$B$4,'Importação Contabilidade'!$B$7:$B$500,$A87))</x:f>
      </x:c>
      <x:c r="AC87" t="str">
        <x:f>IF($A87="","",SUMIFS('Importação Contabilidade'!$L$7:$L$500,'Importação Contabilidade'!$A$7:$A$500,'Parâmetros'!$B$4,'Importação Contabilidade'!$B$7:$B$500,$A87))</x:f>
      </x:c>
      <x:c r="AF87" t="str">
        <x:f>IF($A87="","",SUMIFS('Importação Contabilidade'!$M$7:$M$500,'Importação Contabilidade'!$A$7:$A$500,'Parâmetros'!$B$4,'Importação Contabilidade'!$B$7:$B$500,$A87))</x:f>
      </x:c>
      <x:c r="AI87" t="str">
        <x:f>IF($A87="","",SUMIFS('Importação Contabilidade'!$N$7:$N$500,'Importação Contabilidade'!$A$7:$A$500,'Parâmetros'!$B$4,'Importação Contabilidade'!$B$7:$B$500,$A87))</x:f>
      </x:c>
      <x:c r="AL87" t="str">
        <x:f>IF($A87="","",SUMIFS('Importação Contabilidade'!$O$7:$O$500,'Importação Contabilidade'!$A$7:$A$500,'Parâmetros'!$B$4,'Importação Contabilidade'!$B$7:$B$500,$A87))</x:f>
      </x:c>
      <x:c r="AO87" t="str">
        <x:f>IF($A87="","",SUMIFS('Importação Contabilidade'!$P$7:$P$500,'Importação Contabilidade'!$A$7:$A$500,'Parâmetros'!$B$4,'Importação Contabilidade'!$B$7:$B$500,$A87))</x:f>
      </x:c>
      <x:c r="AR87" t="str">
        <x:f>IF($A87="","",SUMIFS('Importação Contabilidade'!$Q$7:$Q$500,'Importação Contabilidade'!$A$7:$A$500,'Parâmetros'!$B$4,'Importação Contabilidade'!$B$7:$B$500,$A87))</x:f>
      </x:c>
      <x:c r="AU87" t="str">
        <x:f>IF($A87="","",SUMIFS('Importação Contabilidade'!$R$7:$R$500,'Importação Contabilidade'!$A$7:$A$500,'Parâmetros'!$B$4,'Importação Contabilidade'!$B$7:$B$500,$A87))</x:f>
      </x:c>
      <x:c r="AX87" t="str">
        <x:f>IF($A87="","",SUMIFS('Importação Contabilidade'!$S$7:$S$500,'Importação Contabilidade'!$A$7:$A$500,'Parâmetros'!$B$4,'Importação Contabilidade'!$B$7:$B$500,$A87))</x:f>
      </x:c>
    </x:row>
    <x:row r="88">
      <x:c r="C88" t="str">
        <x:f>'Conferência'!AI84</x:f>
      </x:c>
      <x:c r="E88" t="str">
        <x:f>IF($A88="","",SUMIFS('Importação Contabilidade'!$D$7:$D$500,'Importação Contabilidade'!$A$7:$A$500,'Parâmetros'!$B$4,'Importação Contabilidade'!$B$7:$B$500,$A88))</x:f>
      </x:c>
      <x:c r="H88" t="str">
        <x:f>IF($A88="","",SUMIFS('Importação Contabilidade'!$E$7:$E$500,'Importação Contabilidade'!$A$7:$A$500,'Parâmetros'!$B$4,'Importação Contabilidade'!$B$7:$B$500,$A88))</x:f>
      </x:c>
      <x:c r="K88" t="str">
        <x:f>IF($A88="","",SUMIFS('Importação Contabilidade'!$F$7:$F$500,'Importação Contabilidade'!$A$7:$A$500,'Parâmetros'!$B$4,'Importação Contabilidade'!$B$7:$B$500,$A88))</x:f>
      </x:c>
      <x:c r="N88" t="str">
        <x:f>IF($A88="","",SUMIFS('Importação Contabilidade'!$G$7:$G$500,'Importação Contabilidade'!$A$7:$A$500,'Parâmetros'!$B$4,'Importação Contabilidade'!$B$7:$B$500,$A88))</x:f>
      </x:c>
      <x:c r="Q88" t="str">
        <x:f>IF($A88="","",SUMIFS('Importação Contabilidade'!$H$7:$H$500,'Importação Contabilidade'!$A$7:$A$500,'Parâmetros'!$B$4,'Importação Contabilidade'!$B$7:$B$500,$A88))</x:f>
      </x:c>
      <x:c r="T88" t="str">
        <x:f>IF($A88="","",SUMIFS('Importação Contabilidade'!$I$7:$I$500,'Importação Contabilidade'!$A$7:$A$500,'Parâmetros'!$B$4,'Importação Contabilidade'!$B$7:$B$500,$A88))</x:f>
      </x:c>
      <x:c r="W88" t="str">
        <x:f>IF($A88="","",SUMIFS('Importação Contabilidade'!$J$7:$J$500,'Importação Contabilidade'!$A$7:$A$500,'Parâmetros'!$B$4,'Importação Contabilidade'!$B$7:$B$500,$A88))</x:f>
      </x:c>
      <x:c r="Z88" t="str">
        <x:f>IF($A88="","",SUMIFS('Importação Contabilidade'!$K$7:$K$500,'Importação Contabilidade'!$A$7:$A$500,'Parâmetros'!$B$4,'Importação Contabilidade'!$B$7:$B$500,$A88))</x:f>
      </x:c>
      <x:c r="AC88" t="str">
        <x:f>IF($A88="","",SUMIFS('Importação Contabilidade'!$L$7:$L$500,'Importação Contabilidade'!$A$7:$A$500,'Parâmetros'!$B$4,'Importação Contabilidade'!$B$7:$B$500,$A88))</x:f>
      </x:c>
      <x:c r="AF88" t="str">
        <x:f>IF($A88="","",SUMIFS('Importação Contabilidade'!$M$7:$M$500,'Importação Contabilidade'!$A$7:$A$500,'Parâmetros'!$B$4,'Importação Contabilidade'!$B$7:$B$500,$A88))</x:f>
      </x:c>
      <x:c r="AI88" t="str">
        <x:f>IF($A88="","",SUMIFS('Importação Contabilidade'!$N$7:$N$500,'Importação Contabilidade'!$A$7:$A$500,'Parâmetros'!$B$4,'Importação Contabilidade'!$B$7:$B$500,$A88))</x:f>
      </x:c>
      <x:c r="AL88" t="str">
        <x:f>IF($A88="","",SUMIFS('Importação Contabilidade'!$O$7:$O$500,'Importação Contabilidade'!$A$7:$A$500,'Parâmetros'!$B$4,'Importação Contabilidade'!$B$7:$B$500,$A88))</x:f>
      </x:c>
      <x:c r="AO88" t="str">
        <x:f>IF($A88="","",SUMIFS('Importação Contabilidade'!$P$7:$P$500,'Importação Contabilidade'!$A$7:$A$500,'Parâmetros'!$B$4,'Importação Contabilidade'!$B$7:$B$500,$A88))</x:f>
      </x:c>
      <x:c r="AR88" t="str">
        <x:f>IF($A88="","",SUMIFS('Importação Contabilidade'!$Q$7:$Q$500,'Importação Contabilidade'!$A$7:$A$500,'Parâmetros'!$B$4,'Importação Contabilidade'!$B$7:$B$500,$A88))</x:f>
      </x:c>
      <x:c r="AU88" t="str">
        <x:f>IF($A88="","",SUMIFS('Importação Contabilidade'!$R$7:$R$500,'Importação Contabilidade'!$A$7:$A$500,'Parâmetros'!$B$4,'Importação Contabilidade'!$B$7:$B$500,$A88))</x:f>
      </x:c>
      <x:c r="AX88" t="str">
        <x:f>IF($A88="","",SUMIFS('Importação Contabilidade'!$S$7:$S$500,'Importação Contabilidade'!$A$7:$A$500,'Parâmetros'!$B$4,'Importação Contabilidade'!$B$7:$B$500,$A88))</x:f>
      </x:c>
    </x:row>
    <x:row r="89">
      <x:c r="C89" t="str">
        <x:f>'Conferência'!AI85</x:f>
      </x:c>
      <x:c r="E89" t="str">
        <x:f>IF($A89="","",SUMIFS('Importação Contabilidade'!$D$7:$D$500,'Importação Contabilidade'!$A$7:$A$500,'Parâmetros'!$B$4,'Importação Contabilidade'!$B$7:$B$500,$A89))</x:f>
      </x:c>
      <x:c r="H89" t="str">
        <x:f>IF($A89="","",SUMIFS('Importação Contabilidade'!$E$7:$E$500,'Importação Contabilidade'!$A$7:$A$500,'Parâmetros'!$B$4,'Importação Contabilidade'!$B$7:$B$500,$A89))</x:f>
      </x:c>
      <x:c r="K89" t="str">
        <x:f>IF($A89="","",SUMIFS('Importação Contabilidade'!$F$7:$F$500,'Importação Contabilidade'!$A$7:$A$500,'Parâmetros'!$B$4,'Importação Contabilidade'!$B$7:$B$500,$A89))</x:f>
      </x:c>
      <x:c r="N89" t="str">
        <x:f>IF($A89="","",SUMIFS('Importação Contabilidade'!$G$7:$G$500,'Importação Contabilidade'!$A$7:$A$500,'Parâmetros'!$B$4,'Importação Contabilidade'!$B$7:$B$500,$A89))</x:f>
      </x:c>
      <x:c r="Q89" t="str">
        <x:f>IF($A89="","",SUMIFS('Importação Contabilidade'!$H$7:$H$500,'Importação Contabilidade'!$A$7:$A$500,'Parâmetros'!$B$4,'Importação Contabilidade'!$B$7:$B$500,$A89))</x:f>
      </x:c>
      <x:c r="T89" t="str">
        <x:f>IF($A89="","",SUMIFS('Importação Contabilidade'!$I$7:$I$500,'Importação Contabilidade'!$A$7:$A$500,'Parâmetros'!$B$4,'Importação Contabilidade'!$B$7:$B$500,$A89))</x:f>
      </x:c>
      <x:c r="W89" t="str">
        <x:f>IF($A89="","",SUMIFS('Importação Contabilidade'!$J$7:$J$500,'Importação Contabilidade'!$A$7:$A$500,'Parâmetros'!$B$4,'Importação Contabilidade'!$B$7:$B$500,$A89))</x:f>
      </x:c>
      <x:c r="Z89" t="str">
        <x:f>IF($A89="","",SUMIFS('Importação Contabilidade'!$K$7:$K$500,'Importação Contabilidade'!$A$7:$A$500,'Parâmetros'!$B$4,'Importação Contabilidade'!$B$7:$B$500,$A89))</x:f>
      </x:c>
      <x:c r="AC89" t="str">
        <x:f>IF($A89="","",SUMIFS('Importação Contabilidade'!$L$7:$L$500,'Importação Contabilidade'!$A$7:$A$500,'Parâmetros'!$B$4,'Importação Contabilidade'!$B$7:$B$500,$A89))</x:f>
      </x:c>
      <x:c r="AF89" t="str">
        <x:f>IF($A89="","",SUMIFS('Importação Contabilidade'!$M$7:$M$500,'Importação Contabilidade'!$A$7:$A$500,'Parâmetros'!$B$4,'Importação Contabilidade'!$B$7:$B$500,$A89))</x:f>
      </x:c>
      <x:c r="AI89" t="str">
        <x:f>IF($A89="","",SUMIFS('Importação Contabilidade'!$N$7:$N$500,'Importação Contabilidade'!$A$7:$A$500,'Parâmetros'!$B$4,'Importação Contabilidade'!$B$7:$B$500,$A89))</x:f>
      </x:c>
      <x:c r="AL89" t="str">
        <x:f>IF($A89="","",SUMIFS('Importação Contabilidade'!$O$7:$O$500,'Importação Contabilidade'!$A$7:$A$500,'Parâmetros'!$B$4,'Importação Contabilidade'!$B$7:$B$500,$A89))</x:f>
      </x:c>
      <x:c r="AO89" t="str">
        <x:f>IF($A89="","",SUMIFS('Importação Contabilidade'!$P$7:$P$500,'Importação Contabilidade'!$A$7:$A$500,'Parâmetros'!$B$4,'Importação Contabilidade'!$B$7:$B$500,$A89))</x:f>
      </x:c>
      <x:c r="AR89" t="str">
        <x:f>IF($A89="","",SUMIFS('Importação Contabilidade'!$Q$7:$Q$500,'Importação Contabilidade'!$A$7:$A$500,'Parâmetros'!$B$4,'Importação Contabilidade'!$B$7:$B$500,$A89))</x:f>
      </x:c>
      <x:c r="AU89" t="str">
        <x:f>IF($A89="","",SUMIFS('Importação Contabilidade'!$R$7:$R$500,'Importação Contabilidade'!$A$7:$A$500,'Parâmetros'!$B$4,'Importação Contabilidade'!$B$7:$B$500,$A89))</x:f>
      </x:c>
      <x:c r="AX89" t="str">
        <x:f>IF($A89="","",SUMIFS('Importação Contabilidade'!$S$7:$S$500,'Importação Contabilidade'!$A$7:$A$500,'Parâmetros'!$B$4,'Importação Contabilidade'!$B$7:$B$500,$A89))</x:f>
      </x:c>
    </x:row>
    <x:row r="90">
      <x:c r="C90" t="str">
        <x:f>'Conferência'!AI86</x:f>
      </x:c>
      <x:c r="E90" t="str">
        <x:f>IF($A90="","",SUMIFS('Importação Contabilidade'!$D$7:$D$500,'Importação Contabilidade'!$A$7:$A$500,'Parâmetros'!$B$4,'Importação Contabilidade'!$B$7:$B$500,$A90))</x:f>
      </x:c>
      <x:c r="H90" t="str">
        <x:f>IF($A90="","",SUMIFS('Importação Contabilidade'!$E$7:$E$500,'Importação Contabilidade'!$A$7:$A$500,'Parâmetros'!$B$4,'Importação Contabilidade'!$B$7:$B$500,$A90))</x:f>
      </x:c>
      <x:c r="K90" t="str">
        <x:f>IF($A90="","",SUMIFS('Importação Contabilidade'!$F$7:$F$500,'Importação Contabilidade'!$A$7:$A$500,'Parâmetros'!$B$4,'Importação Contabilidade'!$B$7:$B$500,$A90))</x:f>
      </x:c>
      <x:c r="N90" t="str">
        <x:f>IF($A90="","",SUMIFS('Importação Contabilidade'!$G$7:$G$500,'Importação Contabilidade'!$A$7:$A$500,'Parâmetros'!$B$4,'Importação Contabilidade'!$B$7:$B$500,$A90))</x:f>
      </x:c>
      <x:c r="Q90" t="str">
        <x:f>IF($A90="","",SUMIFS('Importação Contabilidade'!$H$7:$H$500,'Importação Contabilidade'!$A$7:$A$500,'Parâmetros'!$B$4,'Importação Contabilidade'!$B$7:$B$500,$A90))</x:f>
      </x:c>
      <x:c r="T90" t="str">
        <x:f>IF($A90="","",SUMIFS('Importação Contabilidade'!$I$7:$I$500,'Importação Contabilidade'!$A$7:$A$500,'Parâmetros'!$B$4,'Importação Contabilidade'!$B$7:$B$500,$A90))</x:f>
      </x:c>
      <x:c r="W90" t="str">
        <x:f>IF($A90="","",SUMIFS('Importação Contabilidade'!$J$7:$J$500,'Importação Contabilidade'!$A$7:$A$500,'Parâmetros'!$B$4,'Importação Contabilidade'!$B$7:$B$500,$A90))</x:f>
      </x:c>
      <x:c r="Z90" t="str">
        <x:f>IF($A90="","",SUMIFS('Importação Contabilidade'!$K$7:$K$500,'Importação Contabilidade'!$A$7:$A$500,'Parâmetros'!$B$4,'Importação Contabilidade'!$B$7:$B$500,$A90))</x:f>
      </x:c>
      <x:c r="AC90" t="str">
        <x:f>IF($A90="","",SUMIFS('Importação Contabilidade'!$L$7:$L$500,'Importação Contabilidade'!$A$7:$A$500,'Parâmetros'!$B$4,'Importação Contabilidade'!$B$7:$B$500,$A90))</x:f>
      </x:c>
      <x:c r="AF90" t="str">
        <x:f>IF($A90="","",SUMIFS('Importação Contabilidade'!$M$7:$M$500,'Importação Contabilidade'!$A$7:$A$500,'Parâmetros'!$B$4,'Importação Contabilidade'!$B$7:$B$500,$A90))</x:f>
      </x:c>
      <x:c r="AI90" t="str">
        <x:f>IF($A90="","",SUMIFS('Importação Contabilidade'!$N$7:$N$500,'Importação Contabilidade'!$A$7:$A$500,'Parâmetros'!$B$4,'Importação Contabilidade'!$B$7:$B$500,$A90))</x:f>
      </x:c>
      <x:c r="AL90" t="str">
        <x:f>IF($A90="","",SUMIFS('Importação Contabilidade'!$O$7:$O$500,'Importação Contabilidade'!$A$7:$A$500,'Parâmetros'!$B$4,'Importação Contabilidade'!$B$7:$B$500,$A90))</x:f>
      </x:c>
      <x:c r="AO90" t="str">
        <x:f>IF($A90="","",SUMIFS('Importação Contabilidade'!$P$7:$P$500,'Importação Contabilidade'!$A$7:$A$500,'Parâmetros'!$B$4,'Importação Contabilidade'!$B$7:$B$500,$A90))</x:f>
      </x:c>
      <x:c r="AR90" t="str">
        <x:f>IF($A90="","",SUMIFS('Importação Contabilidade'!$Q$7:$Q$500,'Importação Contabilidade'!$A$7:$A$500,'Parâmetros'!$B$4,'Importação Contabilidade'!$B$7:$B$500,$A90))</x:f>
      </x:c>
      <x:c r="AU90" t="str">
        <x:f>IF($A90="","",SUMIFS('Importação Contabilidade'!$R$7:$R$500,'Importação Contabilidade'!$A$7:$A$500,'Parâmetros'!$B$4,'Importação Contabilidade'!$B$7:$B$500,$A90))</x:f>
      </x:c>
      <x:c r="AX90" t="str">
        <x:f>IF($A90="","",SUMIFS('Importação Contabilidade'!$S$7:$S$500,'Importação Contabilidade'!$A$7:$A$500,'Parâmetros'!$B$4,'Importação Contabilidade'!$B$7:$B$500,$A90))</x:f>
      </x:c>
    </x:row>
    <x:row r="91">
      <x:c r="C91" t="str">
        <x:f>'Conferência'!AI87</x:f>
      </x:c>
      <x:c r="E91" t="str">
        <x:f>IF($A91="","",SUMIFS('Importação Contabilidade'!$D$7:$D$500,'Importação Contabilidade'!$A$7:$A$500,'Parâmetros'!$B$4,'Importação Contabilidade'!$B$7:$B$500,$A91))</x:f>
      </x:c>
      <x:c r="H91" t="str">
        <x:f>IF($A91="","",SUMIFS('Importação Contabilidade'!$E$7:$E$500,'Importação Contabilidade'!$A$7:$A$500,'Parâmetros'!$B$4,'Importação Contabilidade'!$B$7:$B$500,$A91))</x:f>
      </x:c>
      <x:c r="K91" t="str">
        <x:f>IF($A91="","",SUMIFS('Importação Contabilidade'!$F$7:$F$500,'Importação Contabilidade'!$A$7:$A$500,'Parâmetros'!$B$4,'Importação Contabilidade'!$B$7:$B$500,$A91))</x:f>
      </x:c>
      <x:c r="N91" t="str">
        <x:f>IF($A91="","",SUMIFS('Importação Contabilidade'!$G$7:$G$500,'Importação Contabilidade'!$A$7:$A$500,'Parâmetros'!$B$4,'Importação Contabilidade'!$B$7:$B$500,$A91))</x:f>
      </x:c>
      <x:c r="Q91" t="str">
        <x:f>IF($A91="","",SUMIFS('Importação Contabilidade'!$H$7:$H$500,'Importação Contabilidade'!$A$7:$A$500,'Parâmetros'!$B$4,'Importação Contabilidade'!$B$7:$B$500,$A91))</x:f>
      </x:c>
      <x:c r="T91" t="str">
        <x:f>IF($A91="","",SUMIFS('Importação Contabilidade'!$I$7:$I$500,'Importação Contabilidade'!$A$7:$A$500,'Parâmetros'!$B$4,'Importação Contabilidade'!$B$7:$B$500,$A91))</x:f>
      </x:c>
      <x:c r="W91" t="str">
        <x:f>IF($A91="","",SUMIFS('Importação Contabilidade'!$J$7:$J$500,'Importação Contabilidade'!$A$7:$A$500,'Parâmetros'!$B$4,'Importação Contabilidade'!$B$7:$B$500,$A91))</x:f>
      </x:c>
      <x:c r="Z91" t="str">
        <x:f>IF($A91="","",SUMIFS('Importação Contabilidade'!$K$7:$K$500,'Importação Contabilidade'!$A$7:$A$500,'Parâmetros'!$B$4,'Importação Contabilidade'!$B$7:$B$500,$A91))</x:f>
      </x:c>
      <x:c r="AC91" t="str">
        <x:f>IF($A91="","",SUMIFS('Importação Contabilidade'!$L$7:$L$500,'Importação Contabilidade'!$A$7:$A$500,'Parâmetros'!$B$4,'Importação Contabilidade'!$B$7:$B$500,$A91))</x:f>
      </x:c>
      <x:c r="AF91" t="str">
        <x:f>IF($A91="","",SUMIFS('Importação Contabilidade'!$M$7:$M$500,'Importação Contabilidade'!$A$7:$A$500,'Parâmetros'!$B$4,'Importação Contabilidade'!$B$7:$B$500,$A91))</x:f>
      </x:c>
      <x:c r="AI91" t="str">
        <x:f>IF($A91="","",SUMIFS('Importação Contabilidade'!$N$7:$N$500,'Importação Contabilidade'!$A$7:$A$500,'Parâmetros'!$B$4,'Importação Contabilidade'!$B$7:$B$500,$A91))</x:f>
      </x:c>
      <x:c r="AL91" t="str">
        <x:f>IF($A91="","",SUMIFS('Importação Contabilidade'!$O$7:$O$500,'Importação Contabilidade'!$A$7:$A$500,'Parâmetros'!$B$4,'Importação Contabilidade'!$B$7:$B$500,$A91))</x:f>
      </x:c>
      <x:c r="AO91" t="str">
        <x:f>IF($A91="","",SUMIFS('Importação Contabilidade'!$P$7:$P$500,'Importação Contabilidade'!$A$7:$A$500,'Parâmetros'!$B$4,'Importação Contabilidade'!$B$7:$B$500,$A91))</x:f>
      </x:c>
      <x:c r="AR91" t="str">
        <x:f>IF($A91="","",SUMIFS('Importação Contabilidade'!$Q$7:$Q$500,'Importação Contabilidade'!$A$7:$A$500,'Parâmetros'!$B$4,'Importação Contabilidade'!$B$7:$B$500,$A91))</x:f>
      </x:c>
      <x:c r="AU91" t="str">
        <x:f>IF($A91="","",SUMIFS('Importação Contabilidade'!$R$7:$R$500,'Importação Contabilidade'!$A$7:$A$500,'Parâmetros'!$B$4,'Importação Contabilidade'!$B$7:$B$500,$A91))</x:f>
      </x:c>
      <x:c r="AX91" t="str">
        <x:f>IF($A91="","",SUMIFS('Importação Contabilidade'!$S$7:$S$500,'Importação Contabilidade'!$A$7:$A$500,'Parâmetros'!$B$4,'Importação Contabilidade'!$B$7:$B$500,$A91))</x:f>
      </x:c>
    </x:row>
    <x:row r="92">
      <x:c r="C92" t="str">
        <x:f>'Conferência'!AI88</x:f>
      </x:c>
      <x:c r="E92" t="str">
        <x:f>IF($A92="","",SUMIFS('Importação Contabilidade'!$D$7:$D$500,'Importação Contabilidade'!$A$7:$A$500,'Parâmetros'!$B$4,'Importação Contabilidade'!$B$7:$B$500,$A92))</x:f>
      </x:c>
      <x:c r="H92" t="str">
        <x:f>IF($A92="","",SUMIFS('Importação Contabilidade'!$E$7:$E$500,'Importação Contabilidade'!$A$7:$A$500,'Parâmetros'!$B$4,'Importação Contabilidade'!$B$7:$B$500,$A92))</x:f>
      </x:c>
      <x:c r="K92" t="str">
        <x:f>IF($A92="","",SUMIFS('Importação Contabilidade'!$F$7:$F$500,'Importação Contabilidade'!$A$7:$A$500,'Parâmetros'!$B$4,'Importação Contabilidade'!$B$7:$B$500,$A92))</x:f>
      </x:c>
      <x:c r="N92" t="str">
        <x:f>IF($A92="","",SUMIFS('Importação Contabilidade'!$G$7:$G$500,'Importação Contabilidade'!$A$7:$A$500,'Parâmetros'!$B$4,'Importação Contabilidade'!$B$7:$B$500,$A92))</x:f>
      </x:c>
      <x:c r="Q92" t="str">
        <x:f>IF($A92="","",SUMIFS('Importação Contabilidade'!$H$7:$H$500,'Importação Contabilidade'!$A$7:$A$500,'Parâmetros'!$B$4,'Importação Contabilidade'!$B$7:$B$500,$A92))</x:f>
      </x:c>
      <x:c r="T92" t="str">
        <x:f>IF($A92="","",SUMIFS('Importação Contabilidade'!$I$7:$I$500,'Importação Contabilidade'!$A$7:$A$500,'Parâmetros'!$B$4,'Importação Contabilidade'!$B$7:$B$500,$A92))</x:f>
      </x:c>
      <x:c r="W92" t="str">
        <x:f>IF($A92="","",SUMIFS('Importação Contabilidade'!$J$7:$J$500,'Importação Contabilidade'!$A$7:$A$500,'Parâmetros'!$B$4,'Importação Contabilidade'!$B$7:$B$500,$A92))</x:f>
      </x:c>
      <x:c r="Z92" t="str">
        <x:f>IF($A92="","",SUMIFS('Importação Contabilidade'!$K$7:$K$500,'Importação Contabilidade'!$A$7:$A$500,'Parâmetros'!$B$4,'Importação Contabilidade'!$B$7:$B$500,$A92))</x:f>
      </x:c>
      <x:c r="AC92" t="str">
        <x:f>IF($A92="","",SUMIFS('Importação Contabilidade'!$L$7:$L$500,'Importação Contabilidade'!$A$7:$A$500,'Parâmetros'!$B$4,'Importação Contabilidade'!$B$7:$B$500,$A92))</x:f>
      </x:c>
      <x:c r="AF92" t="str">
        <x:f>IF($A92="","",SUMIFS('Importação Contabilidade'!$M$7:$M$500,'Importação Contabilidade'!$A$7:$A$500,'Parâmetros'!$B$4,'Importação Contabilidade'!$B$7:$B$500,$A92))</x:f>
      </x:c>
      <x:c r="AI92" t="str">
        <x:f>IF($A92="","",SUMIFS('Importação Contabilidade'!$N$7:$N$500,'Importação Contabilidade'!$A$7:$A$500,'Parâmetros'!$B$4,'Importação Contabilidade'!$B$7:$B$500,$A92))</x:f>
      </x:c>
      <x:c r="AL92" t="str">
        <x:f>IF($A92="","",SUMIFS('Importação Contabilidade'!$O$7:$O$500,'Importação Contabilidade'!$A$7:$A$500,'Parâmetros'!$B$4,'Importação Contabilidade'!$B$7:$B$500,$A92))</x:f>
      </x:c>
      <x:c r="AO92" t="str">
        <x:f>IF($A92="","",SUMIFS('Importação Contabilidade'!$P$7:$P$500,'Importação Contabilidade'!$A$7:$A$500,'Parâmetros'!$B$4,'Importação Contabilidade'!$B$7:$B$500,$A92))</x:f>
      </x:c>
      <x:c r="AR92" t="str">
        <x:f>IF($A92="","",SUMIFS('Importação Contabilidade'!$Q$7:$Q$500,'Importação Contabilidade'!$A$7:$A$500,'Parâmetros'!$B$4,'Importação Contabilidade'!$B$7:$B$500,$A92))</x:f>
      </x:c>
      <x:c r="AU92" t="str">
        <x:f>IF($A92="","",SUMIFS('Importação Contabilidade'!$R$7:$R$500,'Importação Contabilidade'!$A$7:$A$500,'Parâmetros'!$B$4,'Importação Contabilidade'!$B$7:$B$500,$A92))</x:f>
      </x:c>
      <x:c r="AX92" t="str">
        <x:f>IF($A92="","",SUMIFS('Importação Contabilidade'!$S$7:$S$500,'Importação Contabilidade'!$A$7:$A$500,'Parâmetros'!$B$4,'Importação Contabilidade'!$B$7:$B$500,$A92))</x:f>
      </x:c>
    </x:row>
    <x:row r="93">
      <x:c r="C93" t="str">
        <x:f>'Conferência'!AI89</x:f>
      </x:c>
      <x:c r="E93" t="str">
        <x:f>IF($A93="","",SUMIFS('Importação Contabilidade'!$D$7:$D$500,'Importação Contabilidade'!$A$7:$A$500,'Parâmetros'!$B$4,'Importação Contabilidade'!$B$7:$B$500,$A93))</x:f>
      </x:c>
      <x:c r="H93" t="str">
        <x:f>IF($A93="","",SUMIFS('Importação Contabilidade'!$E$7:$E$500,'Importação Contabilidade'!$A$7:$A$500,'Parâmetros'!$B$4,'Importação Contabilidade'!$B$7:$B$500,$A93))</x:f>
      </x:c>
      <x:c r="K93" t="str">
        <x:f>IF($A93="","",SUMIFS('Importação Contabilidade'!$F$7:$F$500,'Importação Contabilidade'!$A$7:$A$500,'Parâmetros'!$B$4,'Importação Contabilidade'!$B$7:$B$500,$A93))</x:f>
      </x:c>
      <x:c r="N93" t="str">
        <x:f>IF($A93="","",SUMIFS('Importação Contabilidade'!$G$7:$G$500,'Importação Contabilidade'!$A$7:$A$500,'Parâmetros'!$B$4,'Importação Contabilidade'!$B$7:$B$500,$A93))</x:f>
      </x:c>
      <x:c r="Q93" t="str">
        <x:f>IF($A93="","",SUMIFS('Importação Contabilidade'!$H$7:$H$500,'Importação Contabilidade'!$A$7:$A$500,'Parâmetros'!$B$4,'Importação Contabilidade'!$B$7:$B$500,$A93))</x:f>
      </x:c>
      <x:c r="T93" t="str">
        <x:f>IF($A93="","",SUMIFS('Importação Contabilidade'!$I$7:$I$500,'Importação Contabilidade'!$A$7:$A$500,'Parâmetros'!$B$4,'Importação Contabilidade'!$B$7:$B$500,$A93))</x:f>
      </x:c>
      <x:c r="W93" t="str">
        <x:f>IF($A93="","",SUMIFS('Importação Contabilidade'!$J$7:$J$500,'Importação Contabilidade'!$A$7:$A$500,'Parâmetros'!$B$4,'Importação Contabilidade'!$B$7:$B$500,$A93))</x:f>
      </x:c>
      <x:c r="Z93" t="str">
        <x:f>IF($A93="","",SUMIFS('Importação Contabilidade'!$K$7:$K$500,'Importação Contabilidade'!$A$7:$A$500,'Parâmetros'!$B$4,'Importação Contabilidade'!$B$7:$B$500,$A93))</x:f>
      </x:c>
      <x:c r="AC93" t="str">
        <x:f>IF($A93="","",SUMIFS('Importação Contabilidade'!$L$7:$L$500,'Importação Contabilidade'!$A$7:$A$500,'Parâmetros'!$B$4,'Importação Contabilidade'!$B$7:$B$500,$A93))</x:f>
      </x:c>
      <x:c r="AF93" t="str">
        <x:f>IF($A93="","",SUMIFS('Importação Contabilidade'!$M$7:$M$500,'Importação Contabilidade'!$A$7:$A$500,'Parâmetros'!$B$4,'Importação Contabilidade'!$B$7:$B$500,$A93))</x:f>
      </x:c>
      <x:c r="AI93" t="str">
        <x:f>IF($A93="","",SUMIFS('Importação Contabilidade'!$N$7:$N$500,'Importação Contabilidade'!$A$7:$A$500,'Parâmetros'!$B$4,'Importação Contabilidade'!$B$7:$B$500,$A93))</x:f>
      </x:c>
      <x:c r="AL93" t="str">
        <x:f>IF($A93="","",SUMIFS('Importação Contabilidade'!$O$7:$O$500,'Importação Contabilidade'!$A$7:$A$500,'Parâmetros'!$B$4,'Importação Contabilidade'!$B$7:$B$500,$A93))</x:f>
      </x:c>
      <x:c r="AO93" t="str">
        <x:f>IF($A93="","",SUMIFS('Importação Contabilidade'!$P$7:$P$500,'Importação Contabilidade'!$A$7:$A$500,'Parâmetros'!$B$4,'Importação Contabilidade'!$B$7:$B$500,$A93))</x:f>
      </x:c>
      <x:c r="AR93" t="str">
        <x:f>IF($A93="","",SUMIFS('Importação Contabilidade'!$Q$7:$Q$500,'Importação Contabilidade'!$A$7:$A$500,'Parâmetros'!$B$4,'Importação Contabilidade'!$B$7:$B$500,$A93))</x:f>
      </x:c>
      <x:c r="AU93" t="str">
        <x:f>IF($A93="","",SUMIFS('Importação Contabilidade'!$R$7:$R$500,'Importação Contabilidade'!$A$7:$A$500,'Parâmetros'!$B$4,'Importação Contabilidade'!$B$7:$B$500,$A93))</x:f>
      </x:c>
      <x:c r="AX93" t="str">
        <x:f>IF($A93="","",SUMIFS('Importação Contabilidade'!$S$7:$S$500,'Importação Contabilidade'!$A$7:$A$500,'Parâmetros'!$B$4,'Importação Contabilidade'!$B$7:$B$500,$A93))</x:f>
      </x:c>
    </x:row>
    <x:row r="94">
      <x:c r="C94" t="str">
        <x:f>'Conferência'!AI90</x:f>
      </x:c>
      <x:c r="E94" t="str">
        <x:f>IF($A94="","",SUMIFS('Importação Contabilidade'!$D$7:$D$500,'Importação Contabilidade'!$A$7:$A$500,'Parâmetros'!$B$4,'Importação Contabilidade'!$B$7:$B$500,$A94))</x:f>
      </x:c>
      <x:c r="H94" t="str">
        <x:f>IF($A94="","",SUMIFS('Importação Contabilidade'!$E$7:$E$500,'Importação Contabilidade'!$A$7:$A$500,'Parâmetros'!$B$4,'Importação Contabilidade'!$B$7:$B$500,$A94))</x:f>
      </x:c>
      <x:c r="K94" t="str">
        <x:f>IF($A94="","",SUMIFS('Importação Contabilidade'!$F$7:$F$500,'Importação Contabilidade'!$A$7:$A$500,'Parâmetros'!$B$4,'Importação Contabilidade'!$B$7:$B$500,$A94))</x:f>
      </x:c>
      <x:c r="N94" t="str">
        <x:f>IF($A94="","",SUMIFS('Importação Contabilidade'!$G$7:$G$500,'Importação Contabilidade'!$A$7:$A$500,'Parâmetros'!$B$4,'Importação Contabilidade'!$B$7:$B$500,$A94))</x:f>
      </x:c>
      <x:c r="Q94" t="str">
        <x:f>IF($A94="","",SUMIFS('Importação Contabilidade'!$H$7:$H$500,'Importação Contabilidade'!$A$7:$A$500,'Parâmetros'!$B$4,'Importação Contabilidade'!$B$7:$B$500,$A94))</x:f>
      </x:c>
      <x:c r="T94" t="str">
        <x:f>IF($A94="","",SUMIFS('Importação Contabilidade'!$I$7:$I$500,'Importação Contabilidade'!$A$7:$A$500,'Parâmetros'!$B$4,'Importação Contabilidade'!$B$7:$B$500,$A94))</x:f>
      </x:c>
      <x:c r="W94" t="str">
        <x:f>IF($A94="","",SUMIFS('Importação Contabilidade'!$J$7:$J$500,'Importação Contabilidade'!$A$7:$A$500,'Parâmetros'!$B$4,'Importação Contabilidade'!$B$7:$B$500,$A94))</x:f>
      </x:c>
      <x:c r="Z94" t="str">
        <x:f>IF($A94="","",SUMIFS('Importação Contabilidade'!$K$7:$K$500,'Importação Contabilidade'!$A$7:$A$500,'Parâmetros'!$B$4,'Importação Contabilidade'!$B$7:$B$500,$A94))</x:f>
      </x:c>
      <x:c r="AC94" t="str">
        <x:f>IF($A94="","",SUMIFS('Importação Contabilidade'!$L$7:$L$500,'Importação Contabilidade'!$A$7:$A$500,'Parâmetros'!$B$4,'Importação Contabilidade'!$B$7:$B$500,$A94))</x:f>
      </x:c>
      <x:c r="AF94" t="str">
        <x:f>IF($A94="","",SUMIFS('Importação Contabilidade'!$M$7:$M$500,'Importação Contabilidade'!$A$7:$A$500,'Parâmetros'!$B$4,'Importação Contabilidade'!$B$7:$B$500,$A94))</x:f>
      </x:c>
      <x:c r="AI94" t="str">
        <x:f>IF($A94="","",SUMIFS('Importação Contabilidade'!$N$7:$N$500,'Importação Contabilidade'!$A$7:$A$500,'Parâmetros'!$B$4,'Importação Contabilidade'!$B$7:$B$500,$A94))</x:f>
      </x:c>
      <x:c r="AL94" t="str">
        <x:f>IF($A94="","",SUMIFS('Importação Contabilidade'!$O$7:$O$500,'Importação Contabilidade'!$A$7:$A$500,'Parâmetros'!$B$4,'Importação Contabilidade'!$B$7:$B$500,$A94))</x:f>
      </x:c>
      <x:c r="AO94" t="str">
        <x:f>IF($A94="","",SUMIFS('Importação Contabilidade'!$P$7:$P$500,'Importação Contabilidade'!$A$7:$A$500,'Parâmetros'!$B$4,'Importação Contabilidade'!$B$7:$B$500,$A94))</x:f>
      </x:c>
      <x:c r="AR94" t="str">
        <x:f>IF($A94="","",SUMIFS('Importação Contabilidade'!$Q$7:$Q$500,'Importação Contabilidade'!$A$7:$A$500,'Parâmetros'!$B$4,'Importação Contabilidade'!$B$7:$B$500,$A94))</x:f>
      </x:c>
      <x:c r="AU94" t="str">
        <x:f>IF($A94="","",SUMIFS('Importação Contabilidade'!$R$7:$R$500,'Importação Contabilidade'!$A$7:$A$500,'Parâmetros'!$B$4,'Importação Contabilidade'!$B$7:$B$500,$A94))</x:f>
      </x:c>
      <x:c r="AX94" t="str">
        <x:f>IF($A94="","",SUMIFS('Importação Contabilidade'!$S$7:$S$500,'Importação Contabilidade'!$A$7:$A$500,'Parâmetros'!$B$4,'Importação Contabilidade'!$B$7:$B$500,$A94))</x:f>
      </x:c>
    </x:row>
    <x:row r="95">
      <x:c r="C95" t="str">
        <x:f>'Conferência'!AI91</x:f>
      </x:c>
      <x:c r="E95" t="str">
        <x:f>IF($A95="","",SUMIFS('Importação Contabilidade'!$D$7:$D$500,'Importação Contabilidade'!$A$7:$A$500,'Parâmetros'!$B$4,'Importação Contabilidade'!$B$7:$B$500,$A95))</x:f>
      </x:c>
      <x:c r="H95" t="str">
        <x:f>IF($A95="","",SUMIFS('Importação Contabilidade'!$E$7:$E$500,'Importação Contabilidade'!$A$7:$A$500,'Parâmetros'!$B$4,'Importação Contabilidade'!$B$7:$B$500,$A95))</x:f>
      </x:c>
      <x:c r="K95" t="str">
        <x:f>IF($A95="","",SUMIFS('Importação Contabilidade'!$F$7:$F$500,'Importação Contabilidade'!$A$7:$A$500,'Parâmetros'!$B$4,'Importação Contabilidade'!$B$7:$B$500,$A95))</x:f>
      </x:c>
      <x:c r="N95" t="str">
        <x:f>IF($A95="","",SUMIFS('Importação Contabilidade'!$G$7:$G$500,'Importação Contabilidade'!$A$7:$A$500,'Parâmetros'!$B$4,'Importação Contabilidade'!$B$7:$B$500,$A95))</x:f>
      </x:c>
      <x:c r="Q95" t="str">
        <x:f>IF($A95="","",SUMIFS('Importação Contabilidade'!$H$7:$H$500,'Importação Contabilidade'!$A$7:$A$500,'Parâmetros'!$B$4,'Importação Contabilidade'!$B$7:$B$500,$A95))</x:f>
      </x:c>
      <x:c r="T95" t="str">
        <x:f>IF($A95="","",SUMIFS('Importação Contabilidade'!$I$7:$I$500,'Importação Contabilidade'!$A$7:$A$500,'Parâmetros'!$B$4,'Importação Contabilidade'!$B$7:$B$500,$A95))</x:f>
      </x:c>
      <x:c r="W95" t="str">
        <x:f>IF($A95="","",SUMIFS('Importação Contabilidade'!$J$7:$J$500,'Importação Contabilidade'!$A$7:$A$500,'Parâmetros'!$B$4,'Importação Contabilidade'!$B$7:$B$500,$A95))</x:f>
      </x:c>
      <x:c r="Z95" t="str">
        <x:f>IF($A95="","",SUMIFS('Importação Contabilidade'!$K$7:$K$500,'Importação Contabilidade'!$A$7:$A$500,'Parâmetros'!$B$4,'Importação Contabilidade'!$B$7:$B$500,$A95))</x:f>
      </x:c>
      <x:c r="AC95" t="str">
        <x:f>IF($A95="","",SUMIFS('Importação Contabilidade'!$L$7:$L$500,'Importação Contabilidade'!$A$7:$A$500,'Parâmetros'!$B$4,'Importação Contabilidade'!$B$7:$B$500,$A95))</x:f>
      </x:c>
      <x:c r="AF95" t="str">
        <x:f>IF($A95="","",SUMIFS('Importação Contabilidade'!$M$7:$M$500,'Importação Contabilidade'!$A$7:$A$500,'Parâmetros'!$B$4,'Importação Contabilidade'!$B$7:$B$500,$A95))</x:f>
      </x:c>
      <x:c r="AI95" t="str">
        <x:f>IF($A95="","",SUMIFS('Importação Contabilidade'!$N$7:$N$500,'Importação Contabilidade'!$A$7:$A$500,'Parâmetros'!$B$4,'Importação Contabilidade'!$B$7:$B$500,$A95))</x:f>
      </x:c>
      <x:c r="AL95" t="str">
        <x:f>IF($A95="","",SUMIFS('Importação Contabilidade'!$O$7:$O$500,'Importação Contabilidade'!$A$7:$A$500,'Parâmetros'!$B$4,'Importação Contabilidade'!$B$7:$B$500,$A95))</x:f>
      </x:c>
      <x:c r="AO95" t="str">
        <x:f>IF($A95="","",SUMIFS('Importação Contabilidade'!$P$7:$P$500,'Importação Contabilidade'!$A$7:$A$500,'Parâmetros'!$B$4,'Importação Contabilidade'!$B$7:$B$500,$A95))</x:f>
      </x:c>
      <x:c r="AR95" t="str">
        <x:f>IF($A95="","",SUMIFS('Importação Contabilidade'!$Q$7:$Q$500,'Importação Contabilidade'!$A$7:$A$500,'Parâmetros'!$B$4,'Importação Contabilidade'!$B$7:$B$500,$A95))</x:f>
      </x:c>
      <x:c r="AU95" t="str">
        <x:f>IF($A95="","",SUMIFS('Importação Contabilidade'!$R$7:$R$500,'Importação Contabilidade'!$A$7:$A$500,'Parâmetros'!$B$4,'Importação Contabilidade'!$B$7:$B$500,$A95))</x:f>
      </x:c>
      <x:c r="AX95" t="str">
        <x:f>IF($A95="","",SUMIFS('Importação Contabilidade'!$S$7:$S$500,'Importação Contabilidade'!$A$7:$A$500,'Parâmetros'!$B$4,'Importação Contabilidade'!$B$7:$B$500,$A95))</x:f>
      </x:c>
    </x:row>
    <x:row r="96">
      <x:c r="C96" t="str">
        <x:f>'Conferência'!AI92</x:f>
      </x:c>
      <x:c r="E96" t="str">
        <x:f>IF($A96="","",SUMIFS('Importação Contabilidade'!$D$7:$D$500,'Importação Contabilidade'!$A$7:$A$500,'Parâmetros'!$B$4,'Importação Contabilidade'!$B$7:$B$500,$A96))</x:f>
      </x:c>
      <x:c r="H96" t="str">
        <x:f>IF($A96="","",SUMIFS('Importação Contabilidade'!$E$7:$E$500,'Importação Contabilidade'!$A$7:$A$500,'Parâmetros'!$B$4,'Importação Contabilidade'!$B$7:$B$500,$A96))</x:f>
      </x:c>
      <x:c r="K96" t="str">
        <x:f>IF($A96="","",SUMIFS('Importação Contabilidade'!$F$7:$F$500,'Importação Contabilidade'!$A$7:$A$500,'Parâmetros'!$B$4,'Importação Contabilidade'!$B$7:$B$500,$A96))</x:f>
      </x:c>
      <x:c r="N96" t="str">
        <x:f>IF($A96="","",SUMIFS('Importação Contabilidade'!$G$7:$G$500,'Importação Contabilidade'!$A$7:$A$500,'Parâmetros'!$B$4,'Importação Contabilidade'!$B$7:$B$500,$A96))</x:f>
      </x:c>
      <x:c r="Q96" t="str">
        <x:f>IF($A96="","",SUMIFS('Importação Contabilidade'!$H$7:$H$500,'Importação Contabilidade'!$A$7:$A$500,'Parâmetros'!$B$4,'Importação Contabilidade'!$B$7:$B$500,$A96))</x:f>
      </x:c>
      <x:c r="T96" t="str">
        <x:f>IF($A96="","",SUMIFS('Importação Contabilidade'!$I$7:$I$500,'Importação Contabilidade'!$A$7:$A$500,'Parâmetros'!$B$4,'Importação Contabilidade'!$B$7:$B$500,$A96))</x:f>
      </x:c>
      <x:c r="W96" t="str">
        <x:f>IF($A96="","",SUMIFS('Importação Contabilidade'!$J$7:$J$500,'Importação Contabilidade'!$A$7:$A$500,'Parâmetros'!$B$4,'Importação Contabilidade'!$B$7:$B$500,$A96))</x:f>
      </x:c>
      <x:c r="Z96" t="str">
        <x:f>IF($A96="","",SUMIFS('Importação Contabilidade'!$K$7:$K$500,'Importação Contabilidade'!$A$7:$A$500,'Parâmetros'!$B$4,'Importação Contabilidade'!$B$7:$B$500,$A96))</x:f>
      </x:c>
      <x:c r="AC96" t="str">
        <x:f>IF($A96="","",SUMIFS('Importação Contabilidade'!$L$7:$L$500,'Importação Contabilidade'!$A$7:$A$500,'Parâmetros'!$B$4,'Importação Contabilidade'!$B$7:$B$500,$A96))</x:f>
      </x:c>
      <x:c r="AF96" t="str">
        <x:f>IF($A96="","",SUMIFS('Importação Contabilidade'!$M$7:$M$500,'Importação Contabilidade'!$A$7:$A$500,'Parâmetros'!$B$4,'Importação Contabilidade'!$B$7:$B$500,$A96))</x:f>
      </x:c>
      <x:c r="AI96" t="str">
        <x:f>IF($A96="","",SUMIFS('Importação Contabilidade'!$N$7:$N$500,'Importação Contabilidade'!$A$7:$A$500,'Parâmetros'!$B$4,'Importação Contabilidade'!$B$7:$B$500,$A96))</x:f>
      </x:c>
      <x:c r="AL96" t="str">
        <x:f>IF($A96="","",SUMIFS('Importação Contabilidade'!$O$7:$O$500,'Importação Contabilidade'!$A$7:$A$500,'Parâmetros'!$B$4,'Importação Contabilidade'!$B$7:$B$500,$A96))</x:f>
      </x:c>
      <x:c r="AO96" t="str">
        <x:f>IF($A96="","",SUMIFS('Importação Contabilidade'!$P$7:$P$500,'Importação Contabilidade'!$A$7:$A$500,'Parâmetros'!$B$4,'Importação Contabilidade'!$B$7:$B$500,$A96))</x:f>
      </x:c>
      <x:c r="AR96" t="str">
        <x:f>IF($A96="","",SUMIFS('Importação Contabilidade'!$Q$7:$Q$500,'Importação Contabilidade'!$A$7:$A$500,'Parâmetros'!$B$4,'Importação Contabilidade'!$B$7:$B$500,$A96))</x:f>
      </x:c>
      <x:c r="AU96" t="str">
        <x:f>IF($A96="","",SUMIFS('Importação Contabilidade'!$R$7:$R$500,'Importação Contabilidade'!$A$7:$A$500,'Parâmetros'!$B$4,'Importação Contabilidade'!$B$7:$B$500,$A96))</x:f>
      </x:c>
      <x:c r="AX96" t="str">
        <x:f>IF($A96="","",SUMIFS('Importação Contabilidade'!$S$7:$S$500,'Importação Contabilidade'!$A$7:$A$500,'Parâmetros'!$B$4,'Importação Contabilidade'!$B$7:$B$500,$A96))</x:f>
      </x:c>
    </x:row>
    <x:row r="97">
      <x:c r="C97" t="str">
        <x:f>'Conferência'!AI93</x:f>
      </x:c>
      <x:c r="E97" t="str">
        <x:f>IF($A97="","",SUMIFS('Importação Contabilidade'!$D$7:$D$500,'Importação Contabilidade'!$A$7:$A$500,'Parâmetros'!$B$4,'Importação Contabilidade'!$B$7:$B$500,$A97))</x:f>
      </x:c>
      <x:c r="H97" t="str">
        <x:f>IF($A97="","",SUMIFS('Importação Contabilidade'!$E$7:$E$500,'Importação Contabilidade'!$A$7:$A$500,'Parâmetros'!$B$4,'Importação Contabilidade'!$B$7:$B$500,$A97))</x:f>
      </x:c>
      <x:c r="K97" t="str">
        <x:f>IF($A97="","",SUMIFS('Importação Contabilidade'!$F$7:$F$500,'Importação Contabilidade'!$A$7:$A$500,'Parâmetros'!$B$4,'Importação Contabilidade'!$B$7:$B$500,$A97))</x:f>
      </x:c>
      <x:c r="N97" t="str">
        <x:f>IF($A97="","",SUMIFS('Importação Contabilidade'!$G$7:$G$500,'Importação Contabilidade'!$A$7:$A$500,'Parâmetros'!$B$4,'Importação Contabilidade'!$B$7:$B$500,$A97))</x:f>
      </x:c>
      <x:c r="Q97" t="str">
        <x:f>IF($A97="","",SUMIFS('Importação Contabilidade'!$H$7:$H$500,'Importação Contabilidade'!$A$7:$A$500,'Parâmetros'!$B$4,'Importação Contabilidade'!$B$7:$B$500,$A97))</x:f>
      </x:c>
      <x:c r="T97" t="str">
        <x:f>IF($A97="","",SUMIFS('Importação Contabilidade'!$I$7:$I$500,'Importação Contabilidade'!$A$7:$A$500,'Parâmetros'!$B$4,'Importação Contabilidade'!$B$7:$B$500,$A97))</x:f>
      </x:c>
      <x:c r="W97" t="str">
        <x:f>IF($A97="","",SUMIFS('Importação Contabilidade'!$J$7:$J$500,'Importação Contabilidade'!$A$7:$A$500,'Parâmetros'!$B$4,'Importação Contabilidade'!$B$7:$B$500,$A97))</x:f>
      </x:c>
      <x:c r="Z97" t="str">
        <x:f>IF($A97="","",SUMIFS('Importação Contabilidade'!$K$7:$K$500,'Importação Contabilidade'!$A$7:$A$500,'Parâmetros'!$B$4,'Importação Contabilidade'!$B$7:$B$500,$A97))</x:f>
      </x:c>
      <x:c r="AC97" t="str">
        <x:f>IF($A97="","",SUMIFS('Importação Contabilidade'!$L$7:$L$500,'Importação Contabilidade'!$A$7:$A$500,'Parâmetros'!$B$4,'Importação Contabilidade'!$B$7:$B$500,$A97))</x:f>
      </x:c>
      <x:c r="AF97" t="str">
        <x:f>IF($A97="","",SUMIFS('Importação Contabilidade'!$M$7:$M$500,'Importação Contabilidade'!$A$7:$A$500,'Parâmetros'!$B$4,'Importação Contabilidade'!$B$7:$B$500,$A97))</x:f>
      </x:c>
      <x:c r="AI97" t="str">
        <x:f>IF($A97="","",SUMIFS('Importação Contabilidade'!$N$7:$N$500,'Importação Contabilidade'!$A$7:$A$500,'Parâmetros'!$B$4,'Importação Contabilidade'!$B$7:$B$500,$A97))</x:f>
      </x:c>
      <x:c r="AL97" t="str">
        <x:f>IF($A97="","",SUMIFS('Importação Contabilidade'!$O$7:$O$500,'Importação Contabilidade'!$A$7:$A$500,'Parâmetros'!$B$4,'Importação Contabilidade'!$B$7:$B$500,$A97))</x:f>
      </x:c>
      <x:c r="AO97" t="str">
        <x:f>IF($A97="","",SUMIFS('Importação Contabilidade'!$P$7:$P$500,'Importação Contabilidade'!$A$7:$A$500,'Parâmetros'!$B$4,'Importação Contabilidade'!$B$7:$B$500,$A97))</x:f>
      </x:c>
      <x:c r="AR97" t="str">
        <x:f>IF($A97="","",SUMIFS('Importação Contabilidade'!$Q$7:$Q$500,'Importação Contabilidade'!$A$7:$A$500,'Parâmetros'!$B$4,'Importação Contabilidade'!$B$7:$B$500,$A97))</x:f>
      </x:c>
      <x:c r="AU97" t="str">
        <x:f>IF($A97="","",SUMIFS('Importação Contabilidade'!$R$7:$R$500,'Importação Contabilidade'!$A$7:$A$500,'Parâmetros'!$B$4,'Importação Contabilidade'!$B$7:$B$500,$A97))</x:f>
      </x:c>
      <x:c r="AX97" t="str">
        <x:f>IF($A97="","",SUMIFS('Importação Contabilidade'!$S$7:$S$500,'Importação Contabilidade'!$A$7:$A$500,'Parâmetros'!$B$4,'Importação Contabilidade'!$B$7:$B$500,$A97))</x:f>
      </x:c>
    </x:row>
    <x:row r="98">
      <x:c r="C98" t="str">
        <x:f>'Conferência'!AI94</x:f>
      </x:c>
      <x:c r="E98" t="str">
        <x:f>IF($A98="","",SUMIFS('Importação Contabilidade'!$D$7:$D$500,'Importação Contabilidade'!$A$7:$A$500,'Parâmetros'!$B$4,'Importação Contabilidade'!$B$7:$B$500,$A98))</x:f>
      </x:c>
      <x:c r="H98" t="str">
        <x:f>IF($A98="","",SUMIFS('Importação Contabilidade'!$E$7:$E$500,'Importação Contabilidade'!$A$7:$A$500,'Parâmetros'!$B$4,'Importação Contabilidade'!$B$7:$B$500,$A98))</x:f>
      </x:c>
      <x:c r="K98" t="str">
        <x:f>IF($A98="","",SUMIFS('Importação Contabilidade'!$F$7:$F$500,'Importação Contabilidade'!$A$7:$A$500,'Parâmetros'!$B$4,'Importação Contabilidade'!$B$7:$B$500,$A98))</x:f>
      </x:c>
      <x:c r="N98" t="str">
        <x:f>IF($A98="","",SUMIFS('Importação Contabilidade'!$G$7:$G$500,'Importação Contabilidade'!$A$7:$A$500,'Parâmetros'!$B$4,'Importação Contabilidade'!$B$7:$B$500,$A98))</x:f>
      </x:c>
      <x:c r="Q98" t="str">
        <x:f>IF($A98="","",SUMIFS('Importação Contabilidade'!$H$7:$H$500,'Importação Contabilidade'!$A$7:$A$500,'Parâmetros'!$B$4,'Importação Contabilidade'!$B$7:$B$500,$A98))</x:f>
      </x:c>
      <x:c r="T98" t="str">
        <x:f>IF($A98="","",SUMIFS('Importação Contabilidade'!$I$7:$I$500,'Importação Contabilidade'!$A$7:$A$500,'Parâmetros'!$B$4,'Importação Contabilidade'!$B$7:$B$500,$A98))</x:f>
      </x:c>
      <x:c r="W98" t="str">
        <x:f>IF($A98="","",SUMIFS('Importação Contabilidade'!$J$7:$J$500,'Importação Contabilidade'!$A$7:$A$500,'Parâmetros'!$B$4,'Importação Contabilidade'!$B$7:$B$500,$A98))</x:f>
      </x:c>
      <x:c r="Z98" t="str">
        <x:f>IF($A98="","",SUMIFS('Importação Contabilidade'!$K$7:$K$500,'Importação Contabilidade'!$A$7:$A$500,'Parâmetros'!$B$4,'Importação Contabilidade'!$B$7:$B$500,$A98))</x:f>
      </x:c>
      <x:c r="AC98" t="str">
        <x:f>IF($A98="","",SUMIFS('Importação Contabilidade'!$L$7:$L$500,'Importação Contabilidade'!$A$7:$A$500,'Parâmetros'!$B$4,'Importação Contabilidade'!$B$7:$B$500,$A98))</x:f>
      </x:c>
      <x:c r="AF98" t="str">
        <x:f>IF($A98="","",SUMIFS('Importação Contabilidade'!$M$7:$M$500,'Importação Contabilidade'!$A$7:$A$500,'Parâmetros'!$B$4,'Importação Contabilidade'!$B$7:$B$500,$A98))</x:f>
      </x:c>
      <x:c r="AI98" t="str">
        <x:f>IF($A98="","",SUMIFS('Importação Contabilidade'!$N$7:$N$500,'Importação Contabilidade'!$A$7:$A$500,'Parâmetros'!$B$4,'Importação Contabilidade'!$B$7:$B$500,$A98))</x:f>
      </x:c>
      <x:c r="AL98" t="str">
        <x:f>IF($A98="","",SUMIFS('Importação Contabilidade'!$O$7:$O$500,'Importação Contabilidade'!$A$7:$A$500,'Parâmetros'!$B$4,'Importação Contabilidade'!$B$7:$B$500,$A98))</x:f>
      </x:c>
      <x:c r="AO98" t="str">
        <x:f>IF($A98="","",SUMIFS('Importação Contabilidade'!$P$7:$P$500,'Importação Contabilidade'!$A$7:$A$500,'Parâmetros'!$B$4,'Importação Contabilidade'!$B$7:$B$500,$A98))</x:f>
      </x:c>
      <x:c r="AR98" t="str">
        <x:f>IF($A98="","",SUMIFS('Importação Contabilidade'!$Q$7:$Q$500,'Importação Contabilidade'!$A$7:$A$500,'Parâmetros'!$B$4,'Importação Contabilidade'!$B$7:$B$500,$A98))</x:f>
      </x:c>
      <x:c r="AU98" t="str">
        <x:f>IF($A98="","",SUMIFS('Importação Contabilidade'!$R$7:$R$500,'Importação Contabilidade'!$A$7:$A$500,'Parâmetros'!$B$4,'Importação Contabilidade'!$B$7:$B$500,$A98))</x:f>
      </x:c>
      <x:c r="AX98" t="str">
        <x:f>IF($A98="","",SUMIFS('Importação Contabilidade'!$S$7:$S$500,'Importação Contabilidade'!$A$7:$A$500,'Parâmetros'!$B$4,'Importação Contabilidade'!$B$7:$B$500,$A98))</x:f>
      </x:c>
    </x:row>
    <x:row r="99">
      <x:c r="C99" t="str">
        <x:f>'Conferência'!AI95</x:f>
      </x:c>
      <x:c r="E99" t="str">
        <x:f>IF($A99="","",SUMIFS('Importação Contabilidade'!$D$7:$D$500,'Importação Contabilidade'!$A$7:$A$500,'Parâmetros'!$B$4,'Importação Contabilidade'!$B$7:$B$500,$A99))</x:f>
      </x:c>
      <x:c r="H99" t="str">
        <x:f>IF($A99="","",SUMIFS('Importação Contabilidade'!$E$7:$E$500,'Importação Contabilidade'!$A$7:$A$500,'Parâmetros'!$B$4,'Importação Contabilidade'!$B$7:$B$500,$A99))</x:f>
      </x:c>
      <x:c r="K99" t="str">
        <x:f>IF($A99="","",SUMIFS('Importação Contabilidade'!$F$7:$F$500,'Importação Contabilidade'!$A$7:$A$500,'Parâmetros'!$B$4,'Importação Contabilidade'!$B$7:$B$500,$A99))</x:f>
      </x:c>
      <x:c r="N99" t="str">
        <x:f>IF($A99="","",SUMIFS('Importação Contabilidade'!$G$7:$G$500,'Importação Contabilidade'!$A$7:$A$500,'Parâmetros'!$B$4,'Importação Contabilidade'!$B$7:$B$500,$A99))</x:f>
      </x:c>
      <x:c r="Q99" t="str">
        <x:f>IF($A99="","",SUMIFS('Importação Contabilidade'!$H$7:$H$500,'Importação Contabilidade'!$A$7:$A$500,'Parâmetros'!$B$4,'Importação Contabilidade'!$B$7:$B$500,$A99))</x:f>
      </x:c>
      <x:c r="T99" t="str">
        <x:f>IF($A99="","",SUMIFS('Importação Contabilidade'!$I$7:$I$500,'Importação Contabilidade'!$A$7:$A$500,'Parâmetros'!$B$4,'Importação Contabilidade'!$B$7:$B$500,$A99))</x:f>
      </x:c>
      <x:c r="W99" t="str">
        <x:f>IF($A99="","",SUMIFS('Importação Contabilidade'!$J$7:$J$500,'Importação Contabilidade'!$A$7:$A$500,'Parâmetros'!$B$4,'Importação Contabilidade'!$B$7:$B$500,$A99))</x:f>
      </x:c>
      <x:c r="Z99" t="str">
        <x:f>IF($A99="","",SUMIFS('Importação Contabilidade'!$K$7:$K$500,'Importação Contabilidade'!$A$7:$A$500,'Parâmetros'!$B$4,'Importação Contabilidade'!$B$7:$B$500,$A99))</x:f>
      </x:c>
      <x:c r="AC99" t="str">
        <x:f>IF($A99="","",SUMIFS('Importação Contabilidade'!$L$7:$L$500,'Importação Contabilidade'!$A$7:$A$500,'Parâmetros'!$B$4,'Importação Contabilidade'!$B$7:$B$500,$A99))</x:f>
      </x:c>
      <x:c r="AF99" t="str">
        <x:f>IF($A99="","",SUMIFS('Importação Contabilidade'!$M$7:$M$500,'Importação Contabilidade'!$A$7:$A$500,'Parâmetros'!$B$4,'Importação Contabilidade'!$B$7:$B$500,$A99))</x:f>
      </x:c>
      <x:c r="AI99" t="str">
        <x:f>IF($A99="","",SUMIFS('Importação Contabilidade'!$N$7:$N$500,'Importação Contabilidade'!$A$7:$A$500,'Parâmetros'!$B$4,'Importação Contabilidade'!$B$7:$B$500,$A99))</x:f>
      </x:c>
      <x:c r="AL99" t="str">
        <x:f>IF($A99="","",SUMIFS('Importação Contabilidade'!$O$7:$O$500,'Importação Contabilidade'!$A$7:$A$500,'Parâmetros'!$B$4,'Importação Contabilidade'!$B$7:$B$500,$A99))</x:f>
      </x:c>
      <x:c r="AO99" t="str">
        <x:f>IF($A99="","",SUMIFS('Importação Contabilidade'!$P$7:$P$500,'Importação Contabilidade'!$A$7:$A$500,'Parâmetros'!$B$4,'Importação Contabilidade'!$B$7:$B$500,$A99))</x:f>
      </x:c>
      <x:c r="AR99" t="str">
        <x:f>IF($A99="","",SUMIFS('Importação Contabilidade'!$Q$7:$Q$500,'Importação Contabilidade'!$A$7:$A$500,'Parâmetros'!$B$4,'Importação Contabilidade'!$B$7:$B$500,$A99))</x:f>
      </x:c>
      <x:c r="AU99" t="str">
        <x:f>IF($A99="","",SUMIFS('Importação Contabilidade'!$R$7:$R$500,'Importação Contabilidade'!$A$7:$A$500,'Parâmetros'!$B$4,'Importação Contabilidade'!$B$7:$B$500,$A99))</x:f>
      </x:c>
      <x:c r="AX99" t="str">
        <x:f>IF($A99="","",SUMIFS('Importação Contabilidade'!$S$7:$S$500,'Importação Contabilidade'!$A$7:$A$500,'Parâmetros'!$B$4,'Importação Contabilidade'!$B$7:$B$500,$A99))</x:f>
      </x:c>
    </x:row>
    <x:row r="100">
      <x:c r="C100" t="str">
        <x:f>'Conferência'!AI96</x:f>
      </x:c>
      <x:c r="E100" t="str">
        <x:f>IF($A100="","",SUMIFS('Importação Contabilidade'!$D$7:$D$500,'Importação Contabilidade'!$A$7:$A$500,'Parâmetros'!$B$4,'Importação Contabilidade'!$B$7:$B$500,$A100))</x:f>
      </x:c>
      <x:c r="H100" t="str">
        <x:f>IF($A100="","",SUMIFS('Importação Contabilidade'!$E$7:$E$500,'Importação Contabilidade'!$A$7:$A$500,'Parâmetros'!$B$4,'Importação Contabilidade'!$B$7:$B$500,$A100))</x:f>
      </x:c>
      <x:c r="K100" t="str">
        <x:f>IF($A100="","",SUMIFS('Importação Contabilidade'!$F$7:$F$500,'Importação Contabilidade'!$A$7:$A$500,'Parâmetros'!$B$4,'Importação Contabilidade'!$B$7:$B$500,$A100))</x:f>
      </x:c>
      <x:c r="N100" t="str">
        <x:f>IF($A100="","",SUMIFS('Importação Contabilidade'!$G$7:$G$500,'Importação Contabilidade'!$A$7:$A$500,'Parâmetros'!$B$4,'Importação Contabilidade'!$B$7:$B$500,$A100))</x:f>
      </x:c>
      <x:c r="Q100" t="str">
        <x:f>IF($A100="","",SUMIFS('Importação Contabilidade'!$H$7:$H$500,'Importação Contabilidade'!$A$7:$A$500,'Parâmetros'!$B$4,'Importação Contabilidade'!$B$7:$B$500,$A100))</x:f>
      </x:c>
      <x:c r="T100" t="str">
        <x:f>IF($A100="","",SUMIFS('Importação Contabilidade'!$I$7:$I$500,'Importação Contabilidade'!$A$7:$A$500,'Parâmetros'!$B$4,'Importação Contabilidade'!$B$7:$B$500,$A100))</x:f>
      </x:c>
      <x:c r="W100" t="str">
        <x:f>IF($A100="","",SUMIFS('Importação Contabilidade'!$J$7:$J$500,'Importação Contabilidade'!$A$7:$A$500,'Parâmetros'!$B$4,'Importação Contabilidade'!$B$7:$B$500,$A100))</x:f>
      </x:c>
      <x:c r="Z100" t="str">
        <x:f>IF($A100="","",SUMIFS('Importação Contabilidade'!$K$7:$K$500,'Importação Contabilidade'!$A$7:$A$500,'Parâmetros'!$B$4,'Importação Contabilidade'!$B$7:$B$500,$A100))</x:f>
      </x:c>
      <x:c r="AC100" t="str">
        <x:f>IF($A100="","",SUMIFS('Importação Contabilidade'!$L$7:$L$500,'Importação Contabilidade'!$A$7:$A$500,'Parâmetros'!$B$4,'Importação Contabilidade'!$B$7:$B$500,$A100))</x:f>
      </x:c>
      <x:c r="AF100" t="str">
        <x:f>IF($A100="","",SUMIFS('Importação Contabilidade'!$M$7:$M$500,'Importação Contabilidade'!$A$7:$A$500,'Parâmetros'!$B$4,'Importação Contabilidade'!$B$7:$B$500,$A100))</x:f>
      </x:c>
      <x:c r="AI100" t="str">
        <x:f>IF($A100="","",SUMIFS('Importação Contabilidade'!$N$7:$N$500,'Importação Contabilidade'!$A$7:$A$500,'Parâmetros'!$B$4,'Importação Contabilidade'!$B$7:$B$500,$A100))</x:f>
      </x:c>
      <x:c r="AL100" t="str">
        <x:f>IF($A100="","",SUMIFS('Importação Contabilidade'!$O$7:$O$500,'Importação Contabilidade'!$A$7:$A$500,'Parâmetros'!$B$4,'Importação Contabilidade'!$B$7:$B$500,$A100))</x:f>
      </x:c>
      <x:c r="AO100" t="str">
        <x:f>IF($A100="","",SUMIFS('Importação Contabilidade'!$P$7:$P$500,'Importação Contabilidade'!$A$7:$A$500,'Parâmetros'!$B$4,'Importação Contabilidade'!$B$7:$B$500,$A100))</x:f>
      </x:c>
      <x:c r="AR100" t="str">
        <x:f>IF($A100="","",SUMIFS('Importação Contabilidade'!$Q$7:$Q$500,'Importação Contabilidade'!$A$7:$A$500,'Parâmetros'!$B$4,'Importação Contabilidade'!$B$7:$B$500,$A100))</x:f>
      </x:c>
      <x:c r="AU100" t="str">
        <x:f>IF($A100="","",SUMIFS('Importação Contabilidade'!$R$7:$R$500,'Importação Contabilidade'!$A$7:$A$500,'Parâmetros'!$B$4,'Importação Contabilidade'!$B$7:$B$500,$A100))</x:f>
      </x:c>
      <x:c r="AX100" t="str">
        <x:f>IF($A100="","",SUMIFS('Importação Contabilidade'!$S$7:$S$500,'Importação Contabilidade'!$A$7:$A$500,'Parâmetros'!$B$4,'Importação Contabilidade'!$B$7:$B$500,$A100))</x:f>
      </x:c>
    </x:row>
    <x:row r="101">
      <x:c r="C101" t="str">
        <x:f>'Conferência'!AI97</x:f>
      </x:c>
      <x:c r="E101" t="str">
        <x:f>IF($A101="","",SUMIFS('Importação Contabilidade'!$D$7:$D$500,'Importação Contabilidade'!$A$7:$A$500,'Parâmetros'!$B$4,'Importação Contabilidade'!$B$7:$B$500,$A101))</x:f>
      </x:c>
      <x:c r="H101" t="str">
        <x:f>IF($A101="","",SUMIFS('Importação Contabilidade'!$E$7:$E$500,'Importação Contabilidade'!$A$7:$A$500,'Parâmetros'!$B$4,'Importação Contabilidade'!$B$7:$B$500,$A101))</x:f>
      </x:c>
      <x:c r="K101" t="str">
        <x:f>IF($A101="","",SUMIFS('Importação Contabilidade'!$F$7:$F$500,'Importação Contabilidade'!$A$7:$A$500,'Parâmetros'!$B$4,'Importação Contabilidade'!$B$7:$B$500,$A101))</x:f>
      </x:c>
      <x:c r="N101" t="str">
        <x:f>IF($A101="","",SUMIFS('Importação Contabilidade'!$G$7:$G$500,'Importação Contabilidade'!$A$7:$A$500,'Parâmetros'!$B$4,'Importação Contabilidade'!$B$7:$B$500,$A101))</x:f>
      </x:c>
      <x:c r="Q101" t="str">
        <x:f>IF($A101="","",SUMIFS('Importação Contabilidade'!$H$7:$H$500,'Importação Contabilidade'!$A$7:$A$500,'Parâmetros'!$B$4,'Importação Contabilidade'!$B$7:$B$500,$A101))</x:f>
      </x:c>
      <x:c r="T101" t="str">
        <x:f>IF($A101="","",SUMIFS('Importação Contabilidade'!$I$7:$I$500,'Importação Contabilidade'!$A$7:$A$500,'Parâmetros'!$B$4,'Importação Contabilidade'!$B$7:$B$500,$A101))</x:f>
      </x:c>
      <x:c r="W101" t="str">
        <x:f>IF($A101="","",SUMIFS('Importação Contabilidade'!$J$7:$J$500,'Importação Contabilidade'!$A$7:$A$500,'Parâmetros'!$B$4,'Importação Contabilidade'!$B$7:$B$500,$A101))</x:f>
      </x:c>
      <x:c r="Z101" t="str">
        <x:f>IF($A101="","",SUMIFS('Importação Contabilidade'!$K$7:$K$500,'Importação Contabilidade'!$A$7:$A$500,'Parâmetros'!$B$4,'Importação Contabilidade'!$B$7:$B$500,$A101))</x:f>
      </x:c>
      <x:c r="AC101" t="str">
        <x:f>IF($A101="","",SUMIFS('Importação Contabilidade'!$L$7:$L$500,'Importação Contabilidade'!$A$7:$A$500,'Parâmetros'!$B$4,'Importação Contabilidade'!$B$7:$B$500,$A101))</x:f>
      </x:c>
      <x:c r="AF101" t="str">
        <x:f>IF($A101="","",SUMIFS('Importação Contabilidade'!$M$7:$M$500,'Importação Contabilidade'!$A$7:$A$500,'Parâmetros'!$B$4,'Importação Contabilidade'!$B$7:$B$500,$A101))</x:f>
      </x:c>
      <x:c r="AI101" t="str">
        <x:f>IF($A101="","",SUMIFS('Importação Contabilidade'!$N$7:$N$500,'Importação Contabilidade'!$A$7:$A$500,'Parâmetros'!$B$4,'Importação Contabilidade'!$B$7:$B$500,$A101))</x:f>
      </x:c>
      <x:c r="AL101" t="str">
        <x:f>IF($A101="","",SUMIFS('Importação Contabilidade'!$O$7:$O$500,'Importação Contabilidade'!$A$7:$A$500,'Parâmetros'!$B$4,'Importação Contabilidade'!$B$7:$B$500,$A101))</x:f>
      </x:c>
      <x:c r="AO101" t="str">
        <x:f>IF($A101="","",SUMIFS('Importação Contabilidade'!$P$7:$P$500,'Importação Contabilidade'!$A$7:$A$500,'Parâmetros'!$B$4,'Importação Contabilidade'!$B$7:$B$500,$A101))</x:f>
      </x:c>
      <x:c r="AR101" t="str">
        <x:f>IF($A101="","",SUMIFS('Importação Contabilidade'!$Q$7:$Q$500,'Importação Contabilidade'!$A$7:$A$500,'Parâmetros'!$B$4,'Importação Contabilidade'!$B$7:$B$500,$A101))</x:f>
      </x:c>
      <x:c r="AU101" t="str">
        <x:f>IF($A101="","",SUMIFS('Importação Contabilidade'!$R$7:$R$500,'Importação Contabilidade'!$A$7:$A$500,'Parâmetros'!$B$4,'Importação Contabilidade'!$B$7:$B$500,$A101))</x:f>
      </x:c>
      <x:c r="AX101" t="str">
        <x:f>IF($A101="","",SUMIFS('Importação Contabilidade'!$S$7:$S$500,'Importação Contabilidade'!$A$7:$A$500,'Parâmetros'!$B$4,'Importação Contabilidade'!$B$7:$B$500,$A101))</x:f>
      </x:c>
    </x:row>
    <x:row r="102">
      <x:c r="C102" t="str">
        <x:f>'Conferência'!AI98</x:f>
      </x:c>
      <x:c r="E102" t="str">
        <x:f>IF($A102="","",SUMIFS('Importação Contabilidade'!$D$7:$D$500,'Importação Contabilidade'!$A$7:$A$500,'Parâmetros'!$B$4,'Importação Contabilidade'!$B$7:$B$500,$A102))</x:f>
      </x:c>
      <x:c r="H102" t="str">
        <x:f>IF($A102="","",SUMIFS('Importação Contabilidade'!$E$7:$E$500,'Importação Contabilidade'!$A$7:$A$500,'Parâmetros'!$B$4,'Importação Contabilidade'!$B$7:$B$500,$A102))</x:f>
      </x:c>
      <x:c r="K102" t="str">
        <x:f>IF($A102="","",SUMIFS('Importação Contabilidade'!$F$7:$F$500,'Importação Contabilidade'!$A$7:$A$500,'Parâmetros'!$B$4,'Importação Contabilidade'!$B$7:$B$500,$A102))</x:f>
      </x:c>
      <x:c r="N102" t="str">
        <x:f>IF($A102="","",SUMIFS('Importação Contabilidade'!$G$7:$G$500,'Importação Contabilidade'!$A$7:$A$500,'Parâmetros'!$B$4,'Importação Contabilidade'!$B$7:$B$500,$A102))</x:f>
      </x:c>
      <x:c r="Q102" t="str">
        <x:f>IF($A102="","",SUMIFS('Importação Contabilidade'!$H$7:$H$500,'Importação Contabilidade'!$A$7:$A$500,'Parâmetros'!$B$4,'Importação Contabilidade'!$B$7:$B$500,$A102))</x:f>
      </x:c>
      <x:c r="T102" t="str">
        <x:f>IF($A102="","",SUMIFS('Importação Contabilidade'!$I$7:$I$500,'Importação Contabilidade'!$A$7:$A$500,'Parâmetros'!$B$4,'Importação Contabilidade'!$B$7:$B$500,$A102))</x:f>
      </x:c>
      <x:c r="W102" t="str">
        <x:f>IF($A102="","",SUMIFS('Importação Contabilidade'!$J$7:$J$500,'Importação Contabilidade'!$A$7:$A$500,'Parâmetros'!$B$4,'Importação Contabilidade'!$B$7:$B$500,$A102))</x:f>
      </x:c>
      <x:c r="Z102" t="str">
        <x:f>IF($A102="","",SUMIFS('Importação Contabilidade'!$K$7:$K$500,'Importação Contabilidade'!$A$7:$A$500,'Parâmetros'!$B$4,'Importação Contabilidade'!$B$7:$B$500,$A102))</x:f>
      </x:c>
      <x:c r="AC102" t="str">
        <x:f>IF($A102="","",SUMIFS('Importação Contabilidade'!$L$7:$L$500,'Importação Contabilidade'!$A$7:$A$500,'Parâmetros'!$B$4,'Importação Contabilidade'!$B$7:$B$500,$A102))</x:f>
      </x:c>
      <x:c r="AF102" t="str">
        <x:f>IF($A102="","",SUMIFS('Importação Contabilidade'!$M$7:$M$500,'Importação Contabilidade'!$A$7:$A$500,'Parâmetros'!$B$4,'Importação Contabilidade'!$B$7:$B$500,$A102))</x:f>
      </x:c>
      <x:c r="AI102" t="str">
        <x:f>IF($A102="","",SUMIFS('Importação Contabilidade'!$N$7:$N$500,'Importação Contabilidade'!$A$7:$A$500,'Parâmetros'!$B$4,'Importação Contabilidade'!$B$7:$B$500,$A102))</x:f>
      </x:c>
      <x:c r="AL102" t="str">
        <x:f>IF($A102="","",SUMIFS('Importação Contabilidade'!$O$7:$O$500,'Importação Contabilidade'!$A$7:$A$500,'Parâmetros'!$B$4,'Importação Contabilidade'!$B$7:$B$500,$A102))</x:f>
      </x:c>
      <x:c r="AO102" t="str">
        <x:f>IF($A102="","",SUMIFS('Importação Contabilidade'!$P$7:$P$500,'Importação Contabilidade'!$A$7:$A$500,'Parâmetros'!$B$4,'Importação Contabilidade'!$B$7:$B$500,$A102))</x:f>
      </x:c>
      <x:c r="AR102" t="str">
        <x:f>IF($A102="","",SUMIFS('Importação Contabilidade'!$Q$7:$Q$500,'Importação Contabilidade'!$A$7:$A$500,'Parâmetros'!$B$4,'Importação Contabilidade'!$B$7:$B$500,$A102))</x:f>
      </x:c>
      <x:c r="AU102" t="str">
        <x:f>IF($A102="","",SUMIFS('Importação Contabilidade'!$R$7:$R$500,'Importação Contabilidade'!$A$7:$A$500,'Parâmetros'!$B$4,'Importação Contabilidade'!$B$7:$B$500,$A102))</x:f>
      </x:c>
      <x:c r="AX102" t="str">
        <x:f>IF($A102="","",SUMIFS('Importação Contabilidade'!$S$7:$S$500,'Importação Contabilidade'!$A$7:$A$500,'Parâmetros'!$B$4,'Importação Contabilidade'!$B$7:$B$500,$A102))</x:f>
      </x:c>
    </x:row>
    <x:row r="103">
      <x:c r="C103" t="str">
        <x:f>'Conferência'!AI99</x:f>
      </x:c>
      <x:c r="E103" t="str">
        <x:f>IF($A103="","",SUMIFS('Importação Contabilidade'!$D$7:$D$500,'Importação Contabilidade'!$A$7:$A$500,'Parâmetros'!$B$4,'Importação Contabilidade'!$B$7:$B$500,$A103))</x:f>
      </x:c>
      <x:c r="H103" t="str">
        <x:f>IF($A103="","",SUMIFS('Importação Contabilidade'!$E$7:$E$500,'Importação Contabilidade'!$A$7:$A$500,'Parâmetros'!$B$4,'Importação Contabilidade'!$B$7:$B$500,$A103))</x:f>
      </x:c>
      <x:c r="K103" t="str">
        <x:f>IF($A103="","",SUMIFS('Importação Contabilidade'!$F$7:$F$500,'Importação Contabilidade'!$A$7:$A$500,'Parâmetros'!$B$4,'Importação Contabilidade'!$B$7:$B$500,$A103))</x:f>
      </x:c>
      <x:c r="N103" t="str">
        <x:f>IF($A103="","",SUMIFS('Importação Contabilidade'!$G$7:$G$500,'Importação Contabilidade'!$A$7:$A$500,'Parâmetros'!$B$4,'Importação Contabilidade'!$B$7:$B$500,$A103))</x:f>
      </x:c>
      <x:c r="Q103" t="str">
        <x:f>IF($A103="","",SUMIFS('Importação Contabilidade'!$H$7:$H$500,'Importação Contabilidade'!$A$7:$A$500,'Parâmetros'!$B$4,'Importação Contabilidade'!$B$7:$B$500,$A103))</x:f>
      </x:c>
      <x:c r="T103" t="str">
        <x:f>IF($A103="","",SUMIFS('Importação Contabilidade'!$I$7:$I$500,'Importação Contabilidade'!$A$7:$A$500,'Parâmetros'!$B$4,'Importação Contabilidade'!$B$7:$B$500,$A103))</x:f>
      </x:c>
      <x:c r="W103" t="str">
        <x:f>IF($A103="","",SUMIFS('Importação Contabilidade'!$J$7:$J$500,'Importação Contabilidade'!$A$7:$A$500,'Parâmetros'!$B$4,'Importação Contabilidade'!$B$7:$B$500,$A103))</x:f>
      </x:c>
      <x:c r="Z103" t="str">
        <x:f>IF($A103="","",SUMIFS('Importação Contabilidade'!$K$7:$K$500,'Importação Contabilidade'!$A$7:$A$500,'Parâmetros'!$B$4,'Importação Contabilidade'!$B$7:$B$500,$A103))</x:f>
      </x:c>
      <x:c r="AC103" t="str">
        <x:f>IF($A103="","",SUMIFS('Importação Contabilidade'!$L$7:$L$500,'Importação Contabilidade'!$A$7:$A$500,'Parâmetros'!$B$4,'Importação Contabilidade'!$B$7:$B$500,$A103))</x:f>
      </x:c>
      <x:c r="AF103" t="str">
        <x:f>IF($A103="","",SUMIFS('Importação Contabilidade'!$M$7:$M$500,'Importação Contabilidade'!$A$7:$A$500,'Parâmetros'!$B$4,'Importação Contabilidade'!$B$7:$B$500,$A103))</x:f>
      </x:c>
      <x:c r="AI103" t="str">
        <x:f>IF($A103="","",SUMIFS('Importação Contabilidade'!$N$7:$N$500,'Importação Contabilidade'!$A$7:$A$500,'Parâmetros'!$B$4,'Importação Contabilidade'!$B$7:$B$500,$A103))</x:f>
      </x:c>
      <x:c r="AL103" t="str">
        <x:f>IF($A103="","",SUMIFS('Importação Contabilidade'!$O$7:$O$500,'Importação Contabilidade'!$A$7:$A$500,'Parâmetros'!$B$4,'Importação Contabilidade'!$B$7:$B$500,$A103))</x:f>
      </x:c>
      <x:c r="AO103" t="str">
        <x:f>IF($A103="","",SUMIFS('Importação Contabilidade'!$P$7:$P$500,'Importação Contabilidade'!$A$7:$A$500,'Parâmetros'!$B$4,'Importação Contabilidade'!$B$7:$B$500,$A103))</x:f>
      </x:c>
      <x:c r="AR103" t="str">
        <x:f>IF($A103="","",SUMIFS('Importação Contabilidade'!$Q$7:$Q$500,'Importação Contabilidade'!$A$7:$A$500,'Parâmetros'!$B$4,'Importação Contabilidade'!$B$7:$B$500,$A103))</x:f>
      </x:c>
      <x:c r="AU103" t="str">
        <x:f>IF($A103="","",SUMIFS('Importação Contabilidade'!$R$7:$R$500,'Importação Contabilidade'!$A$7:$A$500,'Parâmetros'!$B$4,'Importação Contabilidade'!$B$7:$B$500,$A103))</x:f>
      </x:c>
      <x:c r="AX103" t="str">
        <x:f>IF($A103="","",SUMIFS('Importação Contabilidade'!$S$7:$S$500,'Importação Contabilidade'!$A$7:$A$500,'Parâmetros'!$B$4,'Importação Contabilidade'!$B$7:$B$500,$A103))</x:f>
      </x:c>
    </x:row>
    <x:row r="104">
      <x:c r="C104" t="str">
        <x:f>'Conferência'!AI100</x:f>
      </x:c>
      <x:c r="E104" t="str">
        <x:f>IF($A104="","",SUMIFS('Importação Contabilidade'!$D$7:$D$500,'Importação Contabilidade'!$A$7:$A$500,'Parâmetros'!$B$4,'Importação Contabilidade'!$B$7:$B$500,$A104))</x:f>
      </x:c>
      <x:c r="H104" t="str">
        <x:f>IF($A104="","",SUMIFS('Importação Contabilidade'!$E$7:$E$500,'Importação Contabilidade'!$A$7:$A$500,'Parâmetros'!$B$4,'Importação Contabilidade'!$B$7:$B$500,$A104))</x:f>
      </x:c>
      <x:c r="K104" t="str">
        <x:f>IF($A104="","",SUMIFS('Importação Contabilidade'!$F$7:$F$500,'Importação Contabilidade'!$A$7:$A$500,'Parâmetros'!$B$4,'Importação Contabilidade'!$B$7:$B$500,$A104))</x:f>
      </x:c>
      <x:c r="N104" t="str">
        <x:f>IF($A104="","",SUMIFS('Importação Contabilidade'!$G$7:$G$500,'Importação Contabilidade'!$A$7:$A$500,'Parâmetros'!$B$4,'Importação Contabilidade'!$B$7:$B$500,$A104))</x:f>
      </x:c>
      <x:c r="Q104" t="str">
        <x:f>IF($A104="","",SUMIFS('Importação Contabilidade'!$H$7:$H$500,'Importação Contabilidade'!$A$7:$A$500,'Parâmetros'!$B$4,'Importação Contabilidade'!$B$7:$B$500,$A104))</x:f>
      </x:c>
      <x:c r="T104" t="str">
        <x:f>IF($A104="","",SUMIFS('Importação Contabilidade'!$I$7:$I$500,'Importação Contabilidade'!$A$7:$A$500,'Parâmetros'!$B$4,'Importação Contabilidade'!$B$7:$B$500,$A104))</x:f>
      </x:c>
      <x:c r="W104" t="str">
        <x:f>IF($A104="","",SUMIFS('Importação Contabilidade'!$J$7:$J$500,'Importação Contabilidade'!$A$7:$A$500,'Parâmetros'!$B$4,'Importação Contabilidade'!$B$7:$B$500,$A104))</x:f>
      </x:c>
      <x:c r="Z104" t="str">
        <x:f>IF($A104="","",SUMIFS('Importação Contabilidade'!$K$7:$K$500,'Importação Contabilidade'!$A$7:$A$500,'Parâmetros'!$B$4,'Importação Contabilidade'!$B$7:$B$500,$A104))</x:f>
      </x:c>
      <x:c r="AC104" t="str">
        <x:f>IF($A104="","",SUMIFS('Importação Contabilidade'!$L$7:$L$500,'Importação Contabilidade'!$A$7:$A$500,'Parâmetros'!$B$4,'Importação Contabilidade'!$B$7:$B$500,$A104))</x:f>
      </x:c>
      <x:c r="AF104" t="str">
        <x:f>IF($A104="","",SUMIFS('Importação Contabilidade'!$M$7:$M$500,'Importação Contabilidade'!$A$7:$A$500,'Parâmetros'!$B$4,'Importação Contabilidade'!$B$7:$B$500,$A104))</x:f>
      </x:c>
      <x:c r="AI104" t="str">
        <x:f>IF($A104="","",SUMIFS('Importação Contabilidade'!$N$7:$N$500,'Importação Contabilidade'!$A$7:$A$500,'Parâmetros'!$B$4,'Importação Contabilidade'!$B$7:$B$500,$A104))</x:f>
      </x:c>
      <x:c r="AL104" t="str">
        <x:f>IF($A104="","",SUMIFS('Importação Contabilidade'!$O$7:$O$500,'Importação Contabilidade'!$A$7:$A$500,'Parâmetros'!$B$4,'Importação Contabilidade'!$B$7:$B$500,$A104))</x:f>
      </x:c>
      <x:c r="AO104" t="str">
        <x:f>IF($A104="","",SUMIFS('Importação Contabilidade'!$P$7:$P$500,'Importação Contabilidade'!$A$7:$A$500,'Parâmetros'!$B$4,'Importação Contabilidade'!$B$7:$B$500,$A104))</x:f>
      </x:c>
      <x:c r="AR104" t="str">
        <x:f>IF($A104="","",SUMIFS('Importação Contabilidade'!$Q$7:$Q$500,'Importação Contabilidade'!$A$7:$A$500,'Parâmetros'!$B$4,'Importação Contabilidade'!$B$7:$B$500,$A104))</x:f>
      </x:c>
      <x:c r="AU104" t="str">
        <x:f>IF($A104="","",SUMIFS('Importação Contabilidade'!$R$7:$R$500,'Importação Contabilidade'!$A$7:$A$500,'Parâmetros'!$B$4,'Importação Contabilidade'!$B$7:$B$500,$A104))</x:f>
      </x:c>
      <x:c r="AX104" t="str">
        <x:f>IF($A104="","",SUMIFS('Importação Contabilidade'!$S$7:$S$500,'Importação Contabilidade'!$A$7:$A$500,'Parâmetros'!$B$4,'Importação Contabilidade'!$B$7:$B$500,$A104))</x:f>
      </x:c>
    </x:row>
    <x:row r="105">
      <x:c r="C105" t="n">
        <x:f>'Conferência'!AI101</x:f>
        <x:v>0</x:v>
      </x:c>
      <x:c r="E105" t="str">
        <x:f>IF($A105="","",SUMIFS('Importação Contabilidade'!$D$7:$D$500,'Importação Contabilidade'!$A$7:$A$500,'Parâmetros'!$B$4,'Importação Contabilidade'!$B$7:$B$500,$A105))</x:f>
      </x:c>
      <x:c r="H105" t="str">
        <x:f>IF($A105="","",SUMIFS('Importação Contabilidade'!$E$7:$E$500,'Importação Contabilidade'!$A$7:$A$500,'Parâmetros'!$B$4,'Importação Contabilidade'!$B$7:$B$500,$A105))</x:f>
      </x:c>
      <x:c r="K105" t="str">
        <x:f>IF($A105="","",SUMIFS('Importação Contabilidade'!$F$7:$F$500,'Importação Contabilidade'!$A$7:$A$500,'Parâmetros'!$B$4,'Importação Contabilidade'!$B$7:$B$500,$A105))</x:f>
      </x:c>
      <x:c r="N105" t="str">
        <x:f>IF($A105="","",SUMIFS('Importação Contabilidade'!$G$7:$G$500,'Importação Contabilidade'!$A$7:$A$500,'Parâmetros'!$B$4,'Importação Contabilidade'!$B$7:$B$500,$A105))</x:f>
      </x:c>
      <x:c r="Q105" t="str">
        <x:f>IF($A105="","",SUMIFS('Importação Contabilidade'!$H$7:$H$500,'Importação Contabilidade'!$A$7:$A$500,'Parâmetros'!$B$4,'Importação Contabilidade'!$B$7:$B$500,$A105))</x:f>
      </x:c>
      <x:c r="T105" t="str">
        <x:f>IF($A105="","",SUMIFS('Importação Contabilidade'!$I$7:$I$500,'Importação Contabilidade'!$A$7:$A$500,'Parâmetros'!$B$4,'Importação Contabilidade'!$B$7:$B$500,$A105))</x:f>
      </x:c>
      <x:c r="W105" t="str">
        <x:f>IF($A105="","",SUMIFS('Importação Contabilidade'!$J$7:$J$500,'Importação Contabilidade'!$A$7:$A$500,'Parâmetros'!$B$4,'Importação Contabilidade'!$B$7:$B$500,$A105))</x:f>
      </x:c>
      <x:c r="Z105" t="str">
        <x:f>IF($A105="","",SUMIFS('Importação Contabilidade'!$K$7:$K$500,'Importação Contabilidade'!$A$7:$A$500,'Parâmetros'!$B$4,'Importação Contabilidade'!$B$7:$B$500,$A105))</x:f>
      </x:c>
      <x:c r="AC105" t="str">
        <x:f>IF($A105="","",SUMIFS('Importação Contabilidade'!$L$7:$L$500,'Importação Contabilidade'!$A$7:$A$500,'Parâmetros'!$B$4,'Importação Contabilidade'!$B$7:$B$500,$A105))</x:f>
      </x:c>
      <x:c r="AF105" t="str">
        <x:f>IF($A105="","",SUMIFS('Importação Contabilidade'!$M$7:$M$500,'Importação Contabilidade'!$A$7:$A$500,'Parâmetros'!$B$4,'Importação Contabilidade'!$B$7:$B$500,$A105))</x:f>
      </x:c>
      <x:c r="AI105" t="str">
        <x:f>IF($A105="","",SUMIFS('Importação Contabilidade'!$N$7:$N$500,'Importação Contabilidade'!$A$7:$A$500,'Parâmetros'!$B$4,'Importação Contabilidade'!$B$7:$B$500,$A105))</x:f>
      </x:c>
      <x:c r="AL105" t="str">
        <x:f>IF($A105="","",SUMIFS('Importação Contabilidade'!$O$7:$O$500,'Importação Contabilidade'!$A$7:$A$500,'Parâmetros'!$B$4,'Importação Contabilidade'!$B$7:$B$500,$A105))</x:f>
      </x:c>
      <x:c r="AO105" t="str">
        <x:f>IF($A105="","",SUMIFS('Importação Contabilidade'!$P$7:$P$500,'Importação Contabilidade'!$A$7:$A$500,'Parâmetros'!$B$4,'Importação Contabilidade'!$B$7:$B$500,$A105))</x:f>
      </x:c>
      <x:c r="AR105" t="str">
        <x:f>IF($A105="","",SUMIFS('Importação Contabilidade'!$Q$7:$Q$500,'Importação Contabilidade'!$A$7:$A$500,'Parâmetros'!$B$4,'Importação Contabilidade'!$B$7:$B$500,$A105))</x:f>
      </x:c>
      <x:c r="AU105" t="str">
        <x:f>IF($A105="","",SUMIFS('Importação Contabilidade'!$R$7:$R$500,'Importação Contabilidade'!$A$7:$A$500,'Parâmetros'!$B$4,'Importação Contabilidade'!$B$7:$B$500,$A105))</x:f>
      </x:c>
      <x:c r="AX105" t="str">
        <x:f>IF($A105="","",SUMIFS('Importação Contabilidade'!$S$7:$S$500,'Importação Contabilidade'!$A$7:$A$500,'Parâmetros'!$B$4,'Importação Contabilidade'!$B$7:$B$500,$A105))</x:f>
      </x:c>
    </x:row>
  </x:sheetData>
  <x:conditionalFormatting sqref="C6:C25">
    <x:cfRule type="expression" dxfId="11" priority="1">
      <x:formula>C6="OK"</x:formula>
    </x:cfRule>
    <x:cfRule type="expression" dxfId="12" priority="2">
      <x:formula>C6="REVISAR"</x:formula>
    </x:cfRule>
  </x:conditionalFormatting>
  <x:conditionalFormatting sqref="BA6:BB25">
    <x:cfRule type="expression" dxfId="13" priority="3">
      <x:formula>$C6="REVISAR"</x:formula>
    </x:cfRule>
    <x:cfRule type="expression" dxfId="14" priority="4">
      <x:formula>$C6="OK"</x:formula>
    </x:cfRule>
  </x:conditionalFormatting>
  <x:conditionalFormatting sqref="F6:F25">
    <x:cfRule type="expression" dxfId="15" priority="5">
      <x:formula>ABS(F6)&gt;'Parâmetros'!$B$8</x:formula>
    </x:cfRule>
  </x:conditionalFormatting>
  <x:conditionalFormatting sqref="I6:I25">
    <x:cfRule type="expression" dxfId="16" priority="6">
      <x:formula>ABS(I6)&gt;'Parâmetros'!$B$8</x:formula>
    </x:cfRule>
  </x:conditionalFormatting>
  <x:conditionalFormatting sqref="L6:L25">
    <x:cfRule type="expression" dxfId="17" priority="7">
      <x:formula>ABS(L6)&gt;'Parâmetros'!$B$8</x:formula>
    </x:cfRule>
  </x:conditionalFormatting>
  <x:conditionalFormatting sqref="O6:O25">
    <x:cfRule type="expression" dxfId="18" priority="8">
      <x:formula>ABS(O6)&gt;'Parâmetros'!$B$8</x:formula>
    </x:cfRule>
  </x:conditionalFormatting>
  <x:conditionalFormatting sqref="R6:R25">
    <x:cfRule type="expression" dxfId="19" priority="9">
      <x:formula>ABS(R6)&gt;'Parâmetros'!$B$8</x:formula>
    </x:cfRule>
  </x:conditionalFormatting>
  <x:conditionalFormatting sqref="U6:U25">
    <x:cfRule type="expression" dxfId="20" priority="10">
      <x:formula>ABS(U6)&gt;'Parâmetros'!$B$8</x:formula>
    </x:cfRule>
  </x:conditionalFormatting>
  <x:conditionalFormatting sqref="X6:X25">
    <x:cfRule type="expression" dxfId="21" priority="11">
      <x:formula>ABS(X6)&gt;'Parâmetros'!$B$8</x:formula>
    </x:cfRule>
  </x:conditionalFormatting>
  <x:conditionalFormatting sqref="AA6:AA25">
    <x:cfRule type="expression" dxfId="22" priority="12">
      <x:formula>ABS(AA6)&gt;'Parâmetros'!$B$8</x:formula>
    </x:cfRule>
  </x:conditionalFormatting>
  <x:conditionalFormatting sqref="AD6:AD25">
    <x:cfRule type="expression" dxfId="23" priority="13">
      <x:formula>ABS(AD6)&gt;'Parâmetros'!$B$8</x:formula>
    </x:cfRule>
  </x:conditionalFormatting>
  <x:conditionalFormatting sqref="AG6:AG25">
    <x:cfRule type="expression" dxfId="24" priority="14">
      <x:formula>ABS(AG6)&gt;'Parâmetros'!$B$8</x:formula>
    </x:cfRule>
  </x:conditionalFormatting>
  <x:conditionalFormatting sqref="AJ6:AJ25">
    <x:cfRule type="expression" dxfId="25" priority="15">
      <x:formula>ABS(AJ6)&gt;'Parâmetros'!$B$8</x:formula>
    </x:cfRule>
  </x:conditionalFormatting>
  <x:conditionalFormatting sqref="AM6:AM25">
    <x:cfRule type="expression" dxfId="26" priority="16">
      <x:formula>ABS(AM6)&gt;'Parâmetros'!$B$8</x:formula>
    </x:cfRule>
  </x:conditionalFormatting>
  <x:conditionalFormatting sqref="AP6:AP25">
    <x:cfRule type="expression" dxfId="27" priority="17">
      <x:formula>ABS(AP6)&gt;'Parâmetros'!$B$8</x:formula>
    </x:cfRule>
  </x:conditionalFormatting>
  <x:conditionalFormatting sqref="AS6:AS25">
    <x:cfRule type="expression" dxfId="28" priority="18">
      <x:formula>ABS(AS6)&gt;'Parâmetros'!$B$8</x:formula>
    </x:cfRule>
  </x:conditionalFormatting>
  <x:conditionalFormatting sqref="AV6:AV25">
    <x:cfRule type="expression" dxfId="29" priority="19">
      <x:formula>ABS(AV6)&gt;'Parâmetros'!$B$8</x:formula>
    </x:cfRule>
  </x:conditionalFormatting>
  <x:conditionalFormatting sqref="AY6:AY25">
    <x:cfRule type="expression" dxfId="30" priority="20">
      <x:formula>ABS(AY6)&gt;'Parâmetros'!$B$8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1" hidden="0" customWidth="1"/>
    <x:col min="4" max="4" width="52" hidden="0" customWidth="1"/>
    <x:col min="5" max="5" width="16" hidden="0" customWidth="1"/>
    <x:col min="6" max="6" width="20" hidden="0" customWidth="1"/>
    <x:col min="7" max="7" width="16" hidden="0" customWidth="1"/>
    <x:col min="8" max="8" width="40" hidden="0" customWidth="1"/>
    <x:col min="10" max="10" width="28" hidden="0" customWidth="1"/>
    <x:col min="11" max="11" width="18" hidden="0" customWidth="1"/>
  </x:cols>
  <x:sheetData>
    <x:row r="1" ht="30" customHeight="1">
      <x:c r="A1" s="169" t="str">
        <x:v>CHECKLIST MENSAL DE CONFERÊNCIA DA FOLHA</x:v>
      </x:c>
      <x:c r="B1" s="169"/>
      <x:c r="C1" s="169"/>
      <x:c r="D1" s="169"/>
      <x:c r="E1" s="169"/>
      <x:c r="F1" s="169"/>
      <x:c r="G1" s="169"/>
      <x:c r="H1" s="169"/>
    </x:row>
    <x:row r="3">
      <x:c r="A3" s="172" t="str">
        <x:v>Competência</x:v>
      </x:c>
      <x:c r="B3" s="155" t="str">
        <x:f>'Parâmetros'!B4</x:f>
        <x:v>09/2026</x:v>
      </x:c>
      <x:c r="J3" s="214" t="str">
        <x:v>CONTROLE DA IMPORTAÇÃO</x:v>
      </x:c>
      <x:c r="K3" s="214" t="str"/>
    </x:row>
    <x:row r="4">
      <x:c r="A4" s="172" t="str">
        <x:v>Total de Itens</x:v>
      </x:c>
      <x:c r="B4" s="155" t="n">
        <x:f>COUNTA(A9:A53)</x:f>
        <x:v>45</x:v>
      </x:c>
      <x:c r="J4" s="215" t="str">
        <x:v>Item</x:v>
      </x:c>
      <x:c r="K4" s="155" t="str">
        <x:v>Valor</x:v>
      </x:c>
    </x:row>
    <x:row r="5">
      <x:c r="A5" s="172" t="str">
        <x:v>Conferidos</x:v>
      </x:c>
      <x:c r="B5" s="155" t="n">
        <x:f>COUNTIF(E9:E53,"Conferido")+COUNTIF(E9:E53,"Não se aplica")</x:f>
        <x:v>0</x:v>
      </x:c>
      <x:c r="J5" s="215" t="str">
        <x:v>Competência ativa</x:v>
      </x:c>
      <x:c r="K5" s="155" t="str">
        <x:f>'Parâmetros'!B4</x:f>
        <x:v>09/2026</x:v>
      </x:c>
    </x:row>
    <x:row r="6">
      <x:c r="A6" s="172" t="str">
        <x:v>Pendentes/Revisar</x:v>
      </x:c>
      <x:c r="B6" s="155" t="n">
        <x:f>COUNTIF(E9:E53,"Pendente")+COUNTIF(E9:E53,"Em conferência")+COUNTIF(E9:E53,"Revisar")</x:f>
        <x:v>45</x:v>
      </x:c>
      <x:c r="J6" s="215" t="str">
        <x:v>Linhas importadas</x:v>
      </x:c>
      <x:c r="K6" s="155" t="n">
        <x:f>COUNTIF('Importação Contabilidade'!A7:A500,'Parâmetros'!B4)</x:f>
        <x:v>20</x:v>
      </x:c>
    </x:row>
    <x:row r="7">
      <x:c r="J7" s="215" t="str">
        <x:v>Funcionários conferidos</x:v>
      </x:c>
      <x:c r="K7" s="155" t="n">
        <x:f>COUNTIF('Conferência'!A2:A101,"&gt;0")</x:f>
        <x:v>20</x:v>
      </x:c>
    </x:row>
    <x:row r="8" ht="42" customHeight="1">
      <x:c r="A8" s="177" t="str">
        <x:v>Ordem</x:v>
      </x:c>
      <x:c r="B8" s="177" t="str">
        <x:v>Etapa</x:v>
      </x:c>
      <x:c r="C8" s="177" t="str">
        <x:v>Item de Conferência</x:v>
      </x:c>
      <x:c r="D8" s="177" t="str">
        <x:v>Termos / O que conferir</x:v>
      </x:c>
      <x:c r="E8" s="177" t="str">
        <x:v>Status</x:v>
      </x:c>
      <x:c r="F8" s="177" t="str">
        <x:v>Responsável</x:v>
      </x:c>
      <x:c r="G8" s="177" t="str">
        <x:v>Data Conferência</x:v>
      </x:c>
      <x:c r="H8" s="177" t="str">
        <x:v>Evidência / Observações</x:v>
      </x:c>
      <x:c r="J8" s="215" t="str">
        <x:v>Pendentes importação</x:v>
      </x:c>
      <x:c r="K8" s="155" t="n">
        <x:f>COUNTIF('Conferência'!AI2:AI101,"PENDENTE IMPORTAÇÃO")</x:f>
        <x:v>0</x:v>
      </x:c>
    </x:row>
    <x:row r="9">
      <x:c r="A9" s="180" t="n">
        <x:v>1</x:v>
      </x:c>
      <x:c r="B9" s="180" t="str">
        <x:v>Competência</x:v>
      </x:c>
      <x:c r="C9" s="180" t="str">
        <x:v>Validar mês e calendário da folha</x:v>
      </x:c>
      <x:c r="D9" s="180" t="str">
        <x:v>Competência, dias úteis, domingos, feriados, data de pagamento e fechamento do ponto.</x:v>
      </x:c>
      <x:c r="E9" s="181" t="str">
        <x:v>Pendente</x:v>
      </x:c>
      <x:c r="F9" s="181" t="str"/>
      <x:c r="G9" s="182" t="str"/>
      <x:c r="H9" s="181" t="str"/>
    </x:row>
    <x:row r="10">
      <x:c r="A10" s="180" t="n">
        <x:v>2</x:v>
      </x:c>
      <x:c r="B10" s="180" t="str">
        <x:v>Competência</x:v>
      </x:c>
      <x:c r="C10" s="180" t="str">
        <x:v>Atualizar tabelas e parâmetros</x:v>
      </x:c>
      <x:c r="D10" s="180" t="str">
        <x:v>INSS, IRRF, tolerância de divergência, jornadas e regras vigentes da competência.</x:v>
      </x:c>
      <x:c r="E10" s="181" t="str">
        <x:v>Pendente</x:v>
      </x:c>
      <x:c r="F10" s="181" t="str"/>
      <x:c r="G10" s="182" t="str"/>
      <x:c r="H10" s="181" t="str"/>
    </x:row>
    <x:row r="11">
      <x:c r="A11" s="180" t="n">
        <x:v>3</x:v>
      </x:c>
      <x:c r="B11" s="180" t="str">
        <x:v>Cadastro</x:v>
      </x:c>
      <x:c r="C11" s="180" t="str">
        <x:v>Conferir funcionários ativos</x:v>
      </x:c>
      <x:c r="D11" s="180" t="str">
        <x:v>Validar se todos os empregados ativos constam na folha e se desligados não foram pagos indevidamente.</x:v>
      </x:c>
      <x:c r="E11" s="181" t="str">
        <x:v>Pendente</x:v>
      </x:c>
      <x:c r="F11" s="181" t="str"/>
      <x:c r="G11" s="182" t="str"/>
      <x:c r="H11" s="181" t="str"/>
    </x:row>
    <x:row r="12">
      <x:c r="A12" s="180" t="n">
        <x:v>4</x:v>
      </x:c>
      <x:c r="B12" s="180" t="str">
        <x:v>Cadastro</x:v>
      </x:c>
      <x:c r="C12" s="180" t="str">
        <x:v>Revisar alterações cadastrais</x:v>
      </x:c>
      <x:c r="D12" s="180" t="str">
        <x:v>Cargo, departamento, centro de custo, salário-base, jornada, dependentes e benefícios.</x:v>
      </x:c>
      <x:c r="E12" s="181" t="str">
        <x:v>Pendente</x:v>
      </x:c>
      <x:c r="F12" s="181" t="str"/>
      <x:c r="G12" s="182" t="str"/>
      <x:c r="H12" s="181" t="str"/>
    </x:row>
    <x:row r="13">
      <x:c r="A13" s="180" t="n">
        <x:v>5</x:v>
      </x:c>
      <x:c r="B13" s="180" t="str">
        <x:v>Admissões</x:v>
      </x:c>
      <x:c r="C13" s="180" t="str">
        <x:v>Conferir admissões do mês</x:v>
      </x:c>
      <x:c r="D13" s="180" t="str">
        <x:v>Data de admissão, salário proporcional, benefícios, jornada e cadastro correspondente.</x:v>
      </x:c>
      <x:c r="E13" s="181" t="str">
        <x:v>Pendente</x:v>
      </x:c>
      <x:c r="F13" s="181" t="str"/>
      <x:c r="G13" s="182" t="str"/>
      <x:c r="H13" s="181" t="str"/>
    </x:row>
    <x:row r="14">
      <x:c r="A14" s="180" t="n">
        <x:v>6</x:v>
      </x:c>
      <x:c r="B14" s="180" t="str">
        <x:v>Ponto</x:v>
      </x:c>
      <x:c r="C14" s="180" t="str">
        <x:v>Conferir fechamento do ponto</x:v>
      </x:c>
      <x:c r="D14" s="180" t="str">
        <x:v>Dias trabalhados, faltas, atrasos, saídas antecipadas, folgas, feriados e afastamentos.</x:v>
      </x:c>
      <x:c r="E14" s="181" t="str">
        <x:v>Pendente</x:v>
      </x:c>
      <x:c r="F14" s="181" t="str"/>
      <x:c r="G14" s="182" t="str"/>
      <x:c r="H14" s="181" t="str"/>
    </x:row>
    <x:row r="15">
      <x:c r="A15" s="180" t="n">
        <x:v>7</x:v>
      </x:c>
      <x:c r="B15" s="180" t="str">
        <x:v>Ponto</x:v>
      </x:c>
      <x:c r="C15" s="180" t="str">
        <x:v>Conferir faltas</x:v>
      </x:c>
      <x:c r="D15" s="180" t="str">
        <x:v>Separar faltas justificadas e injustificadas e validar os descontos aplicados.</x:v>
      </x:c>
      <x:c r="E15" s="181" t="str">
        <x:v>Pendente</x:v>
      </x:c>
      <x:c r="F15" s="181" t="str"/>
      <x:c r="G15" s="182" t="str"/>
      <x:c r="H15" s="181" t="str"/>
    </x:row>
    <x:row r="16">
      <x:c r="A16" s="180" t="n">
        <x:v>8</x:v>
      </x:c>
      <x:c r="B16" s="180" t="str">
        <x:v>Ponto</x:v>
      </x:c>
      <x:c r="C16" s="180" t="str">
        <x:v>Conferir DSR sobre faltas</x:v>
      </x:c>
      <x:c r="D16" s="180" t="str">
        <x:v>DSR = Descanso Semanal Remunerado. Validar reflexo quando aplicável.</x:v>
      </x:c>
      <x:c r="E16" s="181" t="str">
        <x:v>Pendente</x:v>
      </x:c>
      <x:c r="F16" s="181" t="str"/>
      <x:c r="G16" s="182" t="str"/>
      <x:c r="H16" s="181" t="str"/>
    </x:row>
    <x:row r="17">
      <x:c r="A17" s="180" t="n">
        <x:v>9</x:v>
      </x:c>
      <x:c r="B17" s="180" t="str">
        <x:v>Horas Extras</x:v>
      </x:c>
      <x:c r="C17" s="180" t="str">
        <x:v>Conferir HE 50%</x:v>
      </x:c>
      <x:c r="D17" s="180" t="str">
        <x:v>Validar quantidade de horas, valor-hora e adicional aplicado.</x:v>
      </x:c>
      <x:c r="E17" s="181" t="str">
        <x:v>Pendente</x:v>
      </x:c>
      <x:c r="F17" s="181" t="str"/>
      <x:c r="G17" s="182" t="str"/>
      <x:c r="H17" s="181" t="str"/>
    </x:row>
    <x:row r="18">
      <x:c r="A18" s="180" t="n">
        <x:v>10</x:v>
      </x:c>
      <x:c r="B18" s="180" t="str">
        <x:v>Horas Extras</x:v>
      </x:c>
      <x:c r="C18" s="180" t="str">
        <x:v>Conferir HE 100%</x:v>
      </x:c>
      <x:c r="D18" s="180" t="str">
        <x:v>Validar horas em domingos, feriados ou situações previstas em acordo/convenção.</x:v>
      </x:c>
      <x:c r="E18" s="181" t="str">
        <x:v>Pendente</x:v>
      </x:c>
      <x:c r="F18" s="181" t="str"/>
      <x:c r="G18" s="182" t="str"/>
      <x:c r="H18" s="181" t="str"/>
    </x:row>
    <x:row r="19">
      <x:c r="A19" s="180" t="n">
        <x:v>11</x:v>
      </x:c>
      <x:c r="B19" s="180" t="str">
        <x:v>Horas Extras</x:v>
      </x:c>
      <x:c r="C19" s="180" t="str">
        <x:v>Conferir DSR sobre HE</x:v>
      </x:c>
      <x:c r="D19" s="180" t="str">
        <x:v>Validar se as horas extras geraram o reflexo de DSR esperado.</x:v>
      </x:c>
      <x:c r="E19" s="181" t="str">
        <x:v>Pendente</x:v>
      </x:c>
      <x:c r="F19" s="181" t="str"/>
      <x:c r="G19" s="182" t="str"/>
      <x:c r="H19" s="181" t="str"/>
    </x:row>
    <x:row r="20">
      <x:c r="A20" s="180" t="n">
        <x:v>12</x:v>
      </x:c>
      <x:c r="B20" s="180" t="str">
        <x:v>Banco de Horas</x:v>
      </x:c>
      <x:c r="C20" s="180" t="str">
        <x:v>Conferir saldos e compensações</x:v>
      </x:c>
      <x:c r="D20" s="180" t="str">
        <x:v>Validar horas positivas, negativas, compensações e eventuais pagamentos.</x:v>
      </x:c>
      <x:c r="E20" s="181" t="str">
        <x:v>Pendente</x:v>
      </x:c>
      <x:c r="F20" s="181" t="str"/>
      <x:c r="G20" s="182" t="str"/>
      <x:c r="H20" s="181" t="str"/>
    </x:row>
    <x:row r="21">
      <x:c r="A21" s="180" t="n">
        <x:v>13</x:v>
      </x:c>
      <x:c r="B21" s="180" t="str">
        <x:v>Comissões</x:v>
      </x:c>
      <x:c r="C21" s="180" t="str">
        <x:v>Conferir vendas e comissões</x:v>
      </x:c>
      <x:c r="D21" s="180" t="str">
        <x:v>Validar venda, percentual, vendedor, coordenador, gerente, cancelamentos, distratos e estornos.</x:v>
      </x:c>
      <x:c r="E21" s="181" t="str">
        <x:v>Pendente</x:v>
      </x:c>
      <x:c r="F21" s="181" t="str"/>
      <x:c r="G21" s="182" t="str"/>
      <x:c r="H21" s="181" t="str"/>
    </x:row>
    <x:row r="22">
      <x:c r="A22" s="180" t="n">
        <x:v>14</x:v>
      </x:c>
      <x:c r="B22" s="180" t="str">
        <x:v>Comissões</x:v>
      </x:c>
      <x:c r="C22" s="180" t="str">
        <x:v>Conferir DSR sobre comissões</x:v>
      </x:c>
      <x:c r="D22" s="180" t="str">
        <x:v>Validar reflexos de comissão quando aplicáveis.</x:v>
      </x:c>
      <x:c r="E22" s="181" t="str">
        <x:v>Pendente</x:v>
      </x:c>
      <x:c r="F22" s="181" t="str"/>
      <x:c r="G22" s="182" t="str"/>
      <x:c r="H22" s="181" t="str"/>
    </x:row>
    <x:row r="23">
      <x:c r="A23" s="180" t="n">
        <x:v>15</x:v>
      </x:c>
      <x:c r="B23" s="180" t="str">
        <x:v>Variáveis</x:v>
      </x:c>
      <x:c r="C23" s="180" t="str">
        <x:v>Conferir bônus e gratificações</x:v>
      </x:c>
      <x:c r="D23" s="180" t="str">
        <x:v>Campanhas, premiações, gratificações, incentivos e pagamentos retroativos.</x:v>
      </x:c>
      <x:c r="E23" s="181" t="str">
        <x:v>Pendente</x:v>
      </x:c>
      <x:c r="F23" s="181" t="str"/>
      <x:c r="G23" s="182" t="str"/>
      <x:c r="H23" s="181" t="str"/>
    </x:row>
    <x:row r="24">
      <x:c r="A24" s="180" t="n">
        <x:v>16</x:v>
      </x:c>
      <x:c r="B24" s="180" t="str">
        <x:v>Adicionais</x:v>
      </x:c>
      <x:c r="C24" s="180" t="str">
        <x:v>Conferir adicionais</x:v>
      </x:c>
      <x:c r="D24" s="180" t="str">
        <x:v>Noturno, insalubridade, periculosidade, função e outros previstos em contrato/CCT.</x:v>
      </x:c>
      <x:c r="E24" s="181" t="str">
        <x:v>Pendente</x:v>
      </x:c>
      <x:c r="F24" s="181" t="str"/>
      <x:c r="G24" s="182" t="str"/>
      <x:c r="H24" s="181" t="str"/>
    </x:row>
    <x:row r="25">
      <x:c r="A25" s="180" t="n">
        <x:v>17</x:v>
      </x:c>
      <x:c r="B25" s="180" t="str">
        <x:v>Benefícios</x:v>
      </x:c>
      <x:c r="C25" s="180" t="str">
        <x:v>Conferir Vale-Transporte</x:v>
      </x:c>
      <x:c r="D25" s="180" t="str">
        <x:v>Dias trabalhados, valor concedido, desconto do empregado, férias, afastamentos e mudança de endereço.</x:v>
      </x:c>
      <x:c r="E25" s="181" t="str">
        <x:v>Pendente</x:v>
      </x:c>
      <x:c r="F25" s="181" t="str"/>
      <x:c r="G25" s="182" t="str"/>
      <x:c r="H25" s="181" t="str"/>
    </x:row>
    <x:row r="26">
      <x:c r="A26" s="180" t="n">
        <x:v>18</x:v>
      </x:c>
      <x:c r="B26" s="180" t="str">
        <x:v>Benefícios</x:v>
      </x:c>
      <x:c r="C26" s="180" t="str">
        <x:v>Conferir VA/VR</x:v>
      </x:c>
      <x:c r="D26" s="180" t="str">
        <x:v>Vale-Alimentação/Refeição, quantidade de dias, coparticipação, férias e afastamentos.</x:v>
      </x:c>
      <x:c r="E26" s="181" t="str">
        <x:v>Pendente</x:v>
      </x:c>
      <x:c r="F26" s="181" t="str"/>
      <x:c r="G26" s="182" t="str"/>
      <x:c r="H26" s="181" t="str"/>
    </x:row>
    <x:row r="27">
      <x:c r="A27" s="180" t="n">
        <x:v>19</x:v>
      </x:c>
      <x:c r="B27" s="180" t="str">
        <x:v>Benefícios</x:v>
      </x:c>
      <x:c r="C27" s="180" t="str">
        <x:v>Conferir plano de saúde</x:v>
      </x:c>
      <x:c r="D27" s="180" t="str">
        <x:v>Mensalidades, dependentes, coparticipação, inclusões, exclusões e reajustes.</x:v>
      </x:c>
      <x:c r="E27" s="181" t="str">
        <x:v>Pendente</x:v>
      </x:c>
      <x:c r="F27" s="181" t="str"/>
      <x:c r="G27" s="182" t="str"/>
      <x:c r="H27" s="181" t="str"/>
    </x:row>
    <x:row r="28">
      <x:c r="A28" s="180" t="n">
        <x:v>20</x:v>
      </x:c>
      <x:c r="B28" s="180" t="str">
        <x:v>Descontos</x:v>
      </x:c>
      <x:c r="C28" s="180" t="str">
        <x:v>Conferir descontos extras</x:v>
      </x:c>
      <x:c r="D28" s="180" t="str">
        <x:v>Adiantamentos, empréstimos, pensão, convênios e demais descontos autorizados.</x:v>
      </x:c>
      <x:c r="E28" s="181" t="str">
        <x:v>Pendente</x:v>
      </x:c>
      <x:c r="F28" s="181" t="str"/>
      <x:c r="G28" s="182" t="str"/>
      <x:c r="H28" s="181" t="str"/>
    </x:row>
    <x:row r="29">
      <x:c r="A29" s="180" t="n">
        <x:v>21</x:v>
      </x:c>
      <x:c r="B29" s="180" t="str">
        <x:v>INSS</x:v>
      </x:c>
      <x:c r="C29" s="180" t="str">
        <x:v>Conferir base e retenção de INSS</x:v>
      </x:c>
      <x:c r="D29" s="180" t="str">
        <x:v>Validar salário de contribuição, incidências, teto e eventos que compõem a base.</x:v>
      </x:c>
      <x:c r="E29" s="181" t="str">
        <x:v>Pendente</x:v>
      </x:c>
      <x:c r="F29" s="181" t="str"/>
      <x:c r="G29" s="182" t="str"/>
      <x:c r="H29" s="181" t="str"/>
    </x:row>
    <x:row r="30">
      <x:c r="A30" s="180" t="n">
        <x:v>22</x:v>
      </x:c>
      <x:c r="B30" s="180" t="str">
        <x:v>IRRF</x:v>
      </x:c>
      <x:c r="C30" s="180" t="str">
        <x:v>Conferir base e retenção de IRRF</x:v>
      </x:c>
      <x:c r="D30" s="180" t="str">
        <x:v>Validar base tributável, INSS dedutível, dependentes, pensão, alíquota e deduções.</x:v>
      </x:c>
      <x:c r="E30" s="181" t="str">
        <x:v>Pendente</x:v>
      </x:c>
      <x:c r="F30" s="181" t="str"/>
      <x:c r="G30" s="182" t="str"/>
      <x:c r="H30" s="181" t="str"/>
    </x:row>
    <x:row r="31">
      <x:c r="A31" s="180" t="n">
        <x:v>23</x:v>
      </x:c>
      <x:c r="B31" s="180" t="str">
        <x:v>FGTS</x:v>
      </x:c>
      <x:c r="C31" s="180" t="str">
        <x:v>Conferir base do FGTS</x:v>
      </x:c>
      <x:c r="D31" s="180" t="str">
        <x:v>Validar remuneração sujeita ao FGTS, inclusive variáveis e eventos específicos.</x:v>
      </x:c>
      <x:c r="E31" s="181" t="str">
        <x:v>Pendente</x:v>
      </x:c>
      <x:c r="F31" s="181" t="str"/>
      <x:c r="G31" s="182" t="str"/>
      <x:c r="H31" s="181" t="str"/>
    </x:row>
    <x:row r="32">
      <x:c r="A32" s="180" t="n">
        <x:v>24</x:v>
      </x:c>
      <x:c r="B32" s="180" t="str">
        <x:v>Férias</x:v>
      </x:c>
      <x:c r="C32" s="180" t="str">
        <x:v>Conferir férias do mês</x:v>
      </x:c>
      <x:c r="D32" s="180" t="str">
        <x:v>Período aquisitivo, período concessivo, início/fim, 1/3 constitucional e abono pecuniário.</x:v>
      </x:c>
      <x:c r="E32" s="181" t="str">
        <x:v>Pendente</x:v>
      </x:c>
      <x:c r="F32" s="181" t="str"/>
      <x:c r="G32" s="182" t="str"/>
      <x:c r="H32" s="181" t="str"/>
    </x:row>
    <x:row r="33">
      <x:c r="A33" s="180" t="n">
        <x:v>25</x:v>
      </x:c>
      <x:c r="B33" s="180" t="str">
        <x:v>Férias</x:v>
      </x:c>
      <x:c r="C33" s="180" t="str">
        <x:v>Verificar férias próximas do vencimento</x:v>
      </x:c>
      <x:c r="D33" s="180" t="str">
        <x:v>Identificar empregados com período concessivo próximo do limite.</x:v>
      </x:c>
      <x:c r="E33" s="181" t="str">
        <x:v>Pendente</x:v>
      </x:c>
      <x:c r="F33" s="181" t="str"/>
      <x:c r="G33" s="182" t="str"/>
      <x:c r="H33" s="181" t="str"/>
    </x:row>
    <x:row r="34">
      <x:c r="A34" s="180" t="n">
        <x:v>26</x:v>
      </x:c>
      <x:c r="B34" s="180" t="str">
        <x:v>13º Salário</x:v>
      </x:c>
      <x:c r="C34" s="180" t="str">
        <x:v>Conferir avos</x:v>
      </x:c>
      <x:c r="D34" s="180" t="str">
        <x:v>Validar meses considerados para o 13º, admissões, afastamentos e desligamentos.</x:v>
      </x:c>
      <x:c r="E34" s="181" t="str">
        <x:v>Pendente</x:v>
      </x:c>
      <x:c r="F34" s="181" t="str"/>
      <x:c r="G34" s="182" t="str"/>
      <x:c r="H34" s="181" t="str"/>
    </x:row>
    <x:row r="35">
      <x:c r="A35" s="180" t="n">
        <x:v>27</x:v>
      </x:c>
      <x:c r="B35" s="180" t="str">
        <x:v>13º Salário</x:v>
      </x:c>
      <x:c r="C35" s="180" t="str">
        <x:v>Conferir médias e parcelas</x:v>
      </x:c>
      <x:c r="D35" s="180" t="str">
        <x:v>Comissões, horas extras, adicionais, primeira parcela, segunda parcela e descontos.</x:v>
      </x:c>
      <x:c r="E35" s="181" t="str">
        <x:v>Pendente</x:v>
      </x:c>
      <x:c r="F35" s="181" t="str"/>
      <x:c r="G35" s="182" t="str"/>
      <x:c r="H35" s="181" t="str"/>
    </x:row>
    <x:row r="36">
      <x:c r="A36" s="180" t="n">
        <x:v>28</x:v>
      </x:c>
      <x:c r="B36" s="180" t="str">
        <x:v>Afastamentos</x:v>
      </x:c>
      <x:c r="C36" s="180" t="str">
        <x:v>Conferir afastamentos</x:v>
      </x:c>
      <x:c r="D36" s="180" t="str">
        <x:v>Doença, acidente, maternidade, paternidade e demais afastamentos; início, término e reflexos.</x:v>
      </x:c>
      <x:c r="E36" s="181" t="str">
        <x:v>Pendente</x:v>
      </x:c>
      <x:c r="F36" s="181" t="str"/>
      <x:c r="G36" s="182" t="str"/>
      <x:c r="H36" s="181" t="str"/>
    </x:row>
    <x:row r="37">
      <x:c r="A37" s="180" t="n">
        <x:v>29</x:v>
      </x:c>
      <x:c r="B37" s="180" t="str">
        <x:v>Rescisões</x:v>
      </x:c>
      <x:c r="C37" s="180" t="str">
        <x:v>Conferir desligamentos</x:v>
      </x:c>
      <x:c r="D37" s="180" t="str">
        <x:v>Data, motivo, saldo de salário, aviso prévio, férias, 13º, FGTS e descontos.</x:v>
      </x:c>
      <x:c r="E37" s="181" t="str">
        <x:v>Pendente</x:v>
      </x:c>
      <x:c r="F37" s="181" t="str"/>
      <x:c r="G37" s="182" t="str"/>
      <x:c r="H37" s="181" t="str"/>
    </x:row>
    <x:row r="38">
      <x:c r="A38" s="180" t="n">
        <x:v>30</x:v>
      </x:c>
      <x:c r="B38" s="180" t="str">
        <x:v>Conferência</x:v>
      </x:c>
      <x:c r="C38" s="180" t="str">
        <x:v>Comparar Bruto Calculado x Sistema</x:v>
      </x:c>
      <x:c r="D38" s="180" t="str">
        <x:v>Se houver diferença, investigar proventos: salário, faltas, HE, comissão, bônus e adicionais.</x:v>
      </x:c>
      <x:c r="E38" s="181" t="str">
        <x:v>Pendente</x:v>
      </x:c>
      <x:c r="F38" s="181" t="str"/>
      <x:c r="G38" s="182" t="str"/>
      <x:c r="H38" s="181" t="str"/>
    </x:row>
    <x:row r="39">
      <x:c r="A39" s="180" t="n">
        <x:v>31</x:v>
      </x:c>
      <x:c r="B39" s="180" t="str">
        <x:v>Conferência</x:v>
      </x:c>
      <x:c r="C39" s="180" t="str">
        <x:v>Comparar Descontos Calculados x Sistema</x:v>
      </x:c>
      <x:c r="D39" s="180" t="str">
        <x:v>Se houver diferença, investigar VT, INSS, IRRF, benefícios e descontos extras.</x:v>
      </x:c>
      <x:c r="E39" s="181" t="str">
        <x:v>Pendente</x:v>
      </x:c>
      <x:c r="F39" s="181" t="str"/>
      <x:c r="G39" s="182" t="str"/>
      <x:c r="H39" s="181" t="str"/>
    </x:row>
    <x:row r="40">
      <x:c r="A40" s="180" t="n">
        <x:v>32</x:v>
      </x:c>
      <x:c r="B40" s="180" t="str">
        <x:v>Conferência</x:v>
      </x:c>
      <x:c r="C40" s="180" t="str">
        <x:v>Comparar Líquido Calculado x Sistema</x:v>
      </x:c>
      <x:c r="D40" s="180" t="str">
        <x:v>Validar resultado final e abrir a aba Diagnóstico quando o status estiver REVISAR.</x:v>
      </x:c>
      <x:c r="E40" s="181" t="str">
        <x:v>Pendente</x:v>
      </x:c>
      <x:c r="F40" s="181" t="str"/>
      <x:c r="G40" s="182" t="str"/>
      <x:c r="H40" s="181" t="str"/>
    </x:row>
    <x:row r="41">
      <x:c r="A41" s="180" t="n">
        <x:v>33</x:v>
      </x:c>
      <x:c r="B41" s="180" t="str">
        <x:v>Conferência</x:v>
      </x:c>
      <x:c r="C41" s="180" t="str">
        <x:v>Resolver todos os status REVISAR</x:v>
      </x:c>
      <x:c r="D41" s="180" t="str">
        <x:v>Nenhuma divergência deve permanecer sem justificativa documentada.</x:v>
      </x:c>
      <x:c r="E41" s="181" t="str">
        <x:v>Pendente</x:v>
      </x:c>
      <x:c r="F41" s="181" t="str"/>
      <x:c r="G41" s="182" t="str"/>
      <x:c r="H41" s="181" t="str"/>
    </x:row>
    <x:row r="42">
      <x:c r="A42" s="180" t="n">
        <x:v>34</x:v>
      </x:c>
      <x:c r="B42" s="180" t="str">
        <x:v>Totais</x:v>
      </x:c>
      <x:c r="C42" s="180" t="str">
        <x:v>Comparar folha bruta com mês anterior</x:v>
      </x:c>
      <x:c r="D42" s="180" t="str">
        <x:v>Investigar variações relevantes por admissões, desligamentos, reajustes, comissões, férias e bônus.</x:v>
      </x:c>
      <x:c r="E42" s="181" t="str">
        <x:v>Pendente</x:v>
      </x:c>
      <x:c r="F42" s="181" t="str"/>
      <x:c r="G42" s="182" t="str"/>
      <x:c r="H42" s="181" t="str"/>
    </x:row>
    <x:row r="43">
      <x:c r="A43" s="180" t="n">
        <x:v>35</x:v>
      </x:c>
      <x:c r="B43" s="180" t="str">
        <x:v>Totais</x:v>
      </x:c>
      <x:c r="C43" s="180" t="str">
        <x:v>Comparar folha líquida com mês anterior</x:v>
      </x:c>
      <x:c r="D43" s="180" t="str">
        <x:v>Validar variação total e impactos excepcionais.</x:v>
      </x:c>
      <x:c r="E43" s="181" t="str">
        <x:v>Pendente</x:v>
      </x:c>
      <x:c r="F43" s="181" t="str"/>
      <x:c r="G43" s="182" t="str"/>
      <x:c r="H43" s="181" t="str"/>
    </x:row>
    <x:row r="44">
      <x:c r="A44" s="180" t="n">
        <x:v>36</x:v>
      </x:c>
      <x:c r="B44" s="180" t="str">
        <x:v>Totais</x:v>
      </x:c>
      <x:c r="C44" s="180" t="str">
        <x:v>Comparar encargos e descontos</x:v>
      </x:c>
      <x:c r="D44" s="180" t="str">
        <x:v>INSS, IRRF, FGTS, benefícios e outros totais versus mês anterior.</x:v>
      </x:c>
      <x:c r="E44" s="181" t="str">
        <x:v>Pendente</x:v>
      </x:c>
      <x:c r="F44" s="181" t="str"/>
      <x:c r="G44" s="182" t="str"/>
      <x:c r="H44" s="181" t="str"/>
    </x:row>
    <x:row r="45">
      <x:c r="A45" s="180" t="n">
        <x:v>37</x:v>
      </x:c>
      <x:c r="B45" s="180" t="str">
        <x:v>eSocial</x:v>
      </x:c>
      <x:c r="C45" s="180" t="str">
        <x:v>Conferir eventos periódicos</x:v>
      </x:c>
      <x:c r="D45" s="180" t="str">
        <x:v>Remunerações, pagamentos, desligamentos e demais eventos necessários.</x:v>
      </x:c>
      <x:c r="E45" s="181" t="str">
        <x:v>Pendente</x:v>
      </x:c>
      <x:c r="F45" s="181" t="str"/>
      <x:c r="G45" s="182" t="str"/>
      <x:c r="H45" s="181" t="str"/>
    </x:row>
    <x:row r="46">
      <x:c r="A46" s="180" t="n">
        <x:v>38</x:v>
      </x:c>
      <x:c r="B46" s="180" t="str">
        <x:v>eSocial</x:v>
      </x:c>
      <x:c r="C46" s="180" t="str">
        <x:v>Conferir fechamento S-1299</x:v>
      </x:c>
      <x:c r="D46" s="180" t="str">
        <x:v>Confirmar fechamento dos eventos periódicos após validação da folha.</x:v>
      </x:c>
      <x:c r="E46" s="181" t="str">
        <x:v>Pendente</x:v>
      </x:c>
      <x:c r="F46" s="181" t="str"/>
      <x:c r="G46" s="182" t="str"/>
      <x:c r="H46" s="181" t="str"/>
    </x:row>
    <x:row r="47">
      <x:c r="A47" s="180" t="n">
        <x:v>39</x:v>
      </x:c>
      <x:c r="B47" s="180" t="str">
        <x:v>FGTS Digital</x:v>
      </x:c>
      <x:c r="C47" s="180" t="str">
        <x:v>Conferir FGTS Digital</x:v>
      </x:c>
      <x:c r="D47" s="180" t="str">
        <x:v>Comparar bases e valores por empregado, gerar guia e validar vencimento.</x:v>
      </x:c>
      <x:c r="E47" s="181" t="str">
        <x:v>Pendente</x:v>
      </x:c>
      <x:c r="F47" s="181" t="str"/>
      <x:c r="G47" s="182" t="str"/>
      <x:c r="H47" s="181" t="str"/>
    </x:row>
    <x:row r="48">
      <x:c r="A48" s="180" t="n">
        <x:v>40</x:v>
      </x:c>
      <x:c r="B48" s="180" t="str">
        <x:v>DCTFWeb</x:v>
      </x:c>
      <x:c r="C48" s="180" t="str">
        <x:v>Conferir DCTFWeb</x:v>
      </x:c>
      <x:c r="D48" s="180" t="str">
        <x:v>Validar débitos previdenciários, créditos, compensações e DARF.</x:v>
      </x:c>
      <x:c r="E48" s="181" t="str">
        <x:v>Pendente</x:v>
      </x:c>
      <x:c r="F48" s="181" t="str"/>
      <x:c r="G48" s="182" t="str"/>
      <x:c r="H48" s="181" t="str"/>
    </x:row>
    <x:row r="49">
      <x:c r="A49" s="180" t="n">
        <x:v>41</x:v>
      </x:c>
      <x:c r="B49" s="180" t="str">
        <x:v>Pagamento</x:v>
      </x:c>
      <x:c r="C49" s="180" t="str">
        <x:v>Conferir arquivo/ordem de pagamento</x:v>
      </x:c>
      <x:c r="D49" s="180" t="str">
        <x:v>Comparar valores líquidos aprovados com valores enviados ao banco.</x:v>
      </x:c>
      <x:c r="E49" s="181" t="str">
        <x:v>Pendente</x:v>
      </x:c>
      <x:c r="F49" s="181" t="str"/>
      <x:c r="G49" s="182" t="str"/>
      <x:c r="H49" s="181" t="str"/>
    </x:row>
    <x:row r="50">
      <x:c r="A50" s="180" t="n">
        <x:v>42</x:v>
      </x:c>
      <x:c r="B50" s="180" t="str">
        <x:v>Pagamento</x:v>
      </x:c>
      <x:c r="C50" s="180" t="str">
        <x:v>Validar total a pagar</x:v>
      </x:c>
      <x:c r="D50" s="180" t="str">
        <x:v>Total bancário deve conciliar com o total líquido aprovado.</x:v>
      </x:c>
      <x:c r="E50" s="181" t="str">
        <x:v>Pendente</x:v>
      </x:c>
      <x:c r="F50" s="181" t="str"/>
      <x:c r="G50" s="182" t="str"/>
      <x:c r="H50" s="181" t="str"/>
    </x:row>
    <x:row r="51">
      <x:c r="A51" s="180" t="n">
        <x:v>43</x:v>
      </x:c>
      <x:c r="B51" s="180" t="str">
        <x:v>Aprovação</x:v>
      </x:c>
      <x:c r="C51" s="180" t="str">
        <x:v>Documentar divergências e ajustes</x:v>
      </x:c>
      <x:c r="D51" s="180" t="str">
        <x:v>Registrar motivo, responsável, correção realizada e evidência.</x:v>
      </x:c>
      <x:c r="E51" s="181" t="str">
        <x:v>Pendente</x:v>
      </x:c>
      <x:c r="F51" s="181" t="str"/>
      <x:c r="G51" s="182" t="str"/>
      <x:c r="H51" s="181" t="str"/>
    </x:row>
    <x:row r="52">
      <x:c r="A52" s="180" t="n">
        <x:v>44</x:v>
      </x:c>
      <x:c r="B52" s="180" t="str">
        <x:v>Aprovação</x:v>
      </x:c>
      <x:c r="C52" s="180" t="str">
        <x:v>Obter aprovação final</x:v>
      </x:c>
      <x:c r="D52" s="180" t="str">
        <x:v>Responsável autorizado deve aprovar o fechamento antes do pagamento.</x:v>
      </x:c>
      <x:c r="E52" s="181" t="str">
        <x:v>Pendente</x:v>
      </x:c>
      <x:c r="F52" s="181" t="str"/>
      <x:c r="G52" s="182" t="str"/>
      <x:c r="H52" s="181" t="str"/>
    </x:row>
    <x:row r="53">
      <x:c r="A53" s="180" t="n">
        <x:v>45</x:v>
      </x:c>
      <x:c r="B53" s="180" t="str">
        <x:v>Arquivo</x:v>
      </x:c>
      <x:c r="C53" s="180" t="str">
        <x:v>Arquivar documentos da competência</x:v>
      </x:c>
      <x:c r="D53" s="180" t="str">
        <x:v>Guardar relatórios, folha, ponto, guias, comprovantes, evidências e aprovações.</x:v>
      </x:c>
      <x:c r="E53" s="181" t="str">
        <x:v>Pendente</x:v>
      </x:c>
      <x:c r="F53" s="181" t="str"/>
      <x:c r="G53" s="182" t="str"/>
      <x:c r="H53" s="181" t="str"/>
    </x:row>
    <x:row r="56">
      <x:c r="A56" s="186" t="str">
        <x:v>Regra prática: Cadastro → Ponto → Movimentações → Proventos → Descontos → Encargos → Líquido → Comparação → Obrigações → Pagamento. Não aprove a folha enquanto houver itens marcados como REVISAR sem justificativa registrada.</x:v>
      </x:c>
      <x:c r="B56" s="186"/>
      <x:c r="C56" s="186"/>
      <x:c r="D56" s="186"/>
      <x:c r="E56" s="186"/>
      <x:c r="F56" s="186"/>
      <x:c r="G56" s="186"/>
      <x:c r="H56" s="186"/>
    </x:row>
    <x:row r="57">
      <x:c r="A57" s="186"/>
      <x:c r="B57" s="186"/>
      <x:c r="C57" s="186"/>
      <x:c r="D57" s="186"/>
      <x:c r="E57" s="186"/>
      <x:c r="F57" s="186"/>
      <x:c r="G57" s="186"/>
      <x:c r="H57" s="186"/>
    </x:row>
    <x:row r="58">
      <x:c r="A58" s="186"/>
      <x:c r="B58" s="186"/>
      <x:c r="C58" s="186"/>
      <x:c r="D58" s="186"/>
      <x:c r="E58" s="186"/>
      <x:c r="F58" s="186"/>
      <x:c r="G58" s="186"/>
      <x:c r="H58" s="186"/>
    </x:row>
    <x:row r="59">
      <x:c r="A59" s="186"/>
      <x:c r="B59" s="186"/>
      <x:c r="C59" s="186"/>
      <x:c r="D59" s="186"/>
      <x:c r="E59" s="186"/>
      <x:c r="F59" s="186"/>
      <x:c r="G59" s="186"/>
      <x:c r="H59" s="186"/>
    </x:row>
  </x:sheetData>
  <x:conditionalFormatting sqref="E9:E53">
    <x:cfRule type="expression" dxfId="31" priority="1">
      <x:formula>E9="Conferido"</x:formula>
    </x:cfRule>
    <x:cfRule type="expression" dxfId="32" priority="2">
      <x:formula>E9="Revisar"</x:formula>
    </x:cfRule>
    <x:cfRule type="expression" dxfId="33" priority="3">
      <x:formula>E9="Pendente"</x:formula>
    </x:cfRule>
    <x:cfRule type="expression" dxfId="34" priority="4">
      <x:formula>E9="Em conferência"</x:formula>
    </x:cfRule>
    <x:cfRule type="expression" dxfId="35" priority="5">
      <x:formula>E9="Não se aplica"</x:formula>
    </x:cfRule>
  </x:conditionalFormatting>
  <x:dataValidations count="1">
    <x:dataValidation type="list" sqref="E9:E53">
      <x:formula1>"Pendente,Em conferência,Conferido,Revisar,Não se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c775a1aff346c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22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4" hidden="0" customWidth="1"/>
    <x:col min="9" max="9" width="15" hidden="0" customWidth="1"/>
    <x:col min="10" max="10" width="14" hidden="0" customWidth="1"/>
    <x:col min="11" max="11" width="13" hidden="0" customWidth="1"/>
    <x:col min="12" max="12" width="16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4" hidden="0" customWidth="1"/>
    <x:col min="18" max="18" width="14" hidden="0" customWidth="1"/>
    <x:col min="19" max="19" width="15" hidden="0" customWidth="1"/>
    <x:col min="20" max="20" width="18" hidden="0" customWidth="1"/>
    <x:col min="21" max="21" width="20" hidden="0" customWidth="1"/>
    <x:col min="22" max="22" width="18" hidden="0" customWidth="1"/>
    <x:col min="23" max="23" width="16" hidden="0" customWidth="1"/>
    <x:col min="25" max="25" width="26" hidden="0" customWidth="1"/>
    <x:col min="26" max="26" width="18" hidden="0" customWidth="1"/>
  </x:cols>
  <x:sheetData>
    <x:row r="1" ht="28" customHeight="1">
      <x:c r="A1" s="199" t="str">
        <x:v>IMPORTAÇÃO MENSAL DA FOLHA DA CONTABILIDADE</x:v>
      </x:c>
      <x:c r="B1" s="199"/>
      <x:c r="C1" s="199"/>
      <x:c r="D1" s="199"/>
      <x:c r="E1" s="199"/>
      <x:c r="F1" s="199"/>
      <x:c r="G1" s="199"/>
      <x:c r="H1" s="199"/>
      <x:c r="I1" s="199"/>
      <x:c r="J1" s="199"/>
      <x:c r="K1" s="199"/>
      <x:c r="L1" s="199"/>
      <x:c r="M1" s="199"/>
      <x:c r="N1" s="199"/>
      <x:c r="O1" s="199"/>
      <x:c r="P1" s="199"/>
      <x:c r="Q1" s="199"/>
      <x:c r="R1" s="199"/>
      <x:c r="S1" s="199"/>
      <x:c r="T1" s="199"/>
      <x:c r="U1" s="199"/>
      <x:c r="V1" s="199"/>
      <x:c r="W1" s="199"/>
    </x:row>
    <x:row r="3">
      <x:c r="A3" s="202" t="str">
        <x:v>COMO USAR: acrescente as novas competências abaixo. Não apague meses anteriores. A chave do cruzamento é Competência + Matrícula.</x:v>
      </x:c>
      <x:c r="B3" s="202"/>
      <x:c r="C3" s="202"/>
      <x:c r="D3" s="202"/>
      <x:c r="E3" s="202"/>
      <x:c r="F3" s="202"/>
      <x:c r="G3" s="202"/>
      <x:c r="H3" s="202"/>
      <x:c r="I3" s="202"/>
      <x:c r="J3" s="202"/>
      <x:c r="K3" s="202"/>
      <x:c r="L3" s="202"/>
      <x:c r="M3" s="202"/>
      <x:c r="N3" s="202"/>
      <x:c r="O3" s="202"/>
      <x:c r="P3" s="202"/>
      <x:c r="Q3" s="202"/>
      <x:c r="R3" s="202"/>
      <x:c r="S3" s="202"/>
      <x:c r="T3" s="202"/>
      <x:c r="U3" s="202"/>
      <x:c r="V3" s="202"/>
      <x:c r="W3" s="202"/>
      <x:c r="Y3" s="214" t="str">
        <x:v>CONTROLE</x:v>
      </x:c>
      <x:c r="Z3" s="214" t="str">
        <x:v>Valor</x:v>
      </x:c>
    </x:row>
    <x:row r="4">
      <x:c r="A4" s="202" t="str">
        <x:v>Cole os valores recebidos da contabilidade. Totais alimentam a aba Conferência; rubricas detalhadas alimentam a aba Diagnóstico.</x:v>
      </x:c>
      <x:c r="B4" s="202"/>
      <x:c r="C4" s="202"/>
      <x:c r="D4" s="202"/>
      <x:c r="E4" s="202"/>
      <x:c r="F4" s="202"/>
      <x:c r="G4" s="202"/>
      <x:c r="H4" s="202"/>
      <x:c r="I4" s="202"/>
      <x:c r="J4" s="202"/>
      <x:c r="K4" s="202"/>
      <x:c r="L4" s="202"/>
      <x:c r="M4" s="202"/>
      <x:c r="N4" s="202"/>
      <x:c r="O4" s="202"/>
      <x:c r="P4" s="202"/>
      <x:c r="Q4" s="202"/>
      <x:c r="R4" s="202"/>
      <x:c r="S4" s="202"/>
      <x:c r="T4" s="202"/>
      <x:c r="U4" s="202"/>
      <x:c r="V4" s="202"/>
      <x:c r="W4" s="202"/>
      <x:c r="Y4" s="215" t="str">
        <x:v>Competência ativa</x:v>
      </x:c>
      <x:c r="Z4" s="155" t="str">
        <x:f>'Parâmetros'!B4</x:f>
        <x:v>09/2026</x:v>
      </x:c>
    </x:row>
    <x:row r="5">
      <x:c r="Y5" s="215" t="str">
        <x:v>Linhas da competência</x:v>
      </x:c>
      <x:c r="Z5" s="155" t="n">
        <x:f>COUNTIF(A7:A500,'Parâmetros'!B4)</x:f>
        <x:v>20</x:v>
      </x:c>
    </x:row>
    <x:row r="6" ht="48" customHeight="1">
      <x:c r="A6" s="207" t="str">
        <x:v>Competência</x:v>
      </x:c>
      <x:c r="B6" s="207" t="str">
        <x:v>Matrícula</x:v>
      </x:c>
      <x:c r="C6" s="207" t="str">
        <x:v>Nome</x:v>
      </x:c>
      <x:c r="D6" s="207" t="str">
        <x:v>Desc. Falta</x:v>
      </x:c>
      <x:c r="E6" s="207" t="str">
        <x:v>DSR Falta</x:v>
      </x:c>
      <x:c r="F6" s="207" t="str">
        <x:v>HE 50%</x:v>
      </x:c>
      <x:c r="G6" s="207" t="str">
        <x:v>HE 100%</x:v>
      </x:c>
      <x:c r="H6" s="207" t="str">
        <x:v>Comissão</x:v>
      </x:c>
      <x:c r="I6" s="207" t="str">
        <x:v>Bônus/Grat.</x:v>
      </x:c>
      <x:c r="J6" s="207" t="str">
        <x:v>Adicionais</x:v>
      </x:c>
      <x:c r="K6" s="207" t="str">
        <x:v>DSR HE</x:v>
      </x:c>
      <x:c r="L6" s="207" t="str">
        <x:v>DSR Comissão</x:v>
      </x:c>
      <x:c r="M6" s="207" t="str">
        <x:v>VT</x:v>
      </x:c>
      <x:c r="N6" s="207" t="str">
        <x:v>INSS</x:v>
      </x:c>
      <x:c r="O6" s="207" t="str">
        <x:v>IRRF</x:v>
      </x:c>
      <x:c r="P6" s="207" t="str">
        <x:v>VA/VR</x:v>
      </x:c>
      <x:c r="Q6" s="207" t="str">
        <x:v>Plano Saúde</x:v>
      </x:c>
      <x:c r="R6" s="207" t="str">
        <x:v>Outros Fixos</x:v>
      </x:c>
      <x:c r="S6" s="207" t="str">
        <x:v>Desconto Extra</x:v>
      </x:c>
      <x:c r="T6" s="207" t="str">
        <x:v>Bruto Contabilidade</x:v>
      </x:c>
      <x:c r="U6" s="207" t="str">
        <x:v>Descontos Contabilidade</x:v>
      </x:c>
      <x:c r="V6" s="207" t="str">
        <x:v>Líquido Contabilidade</x:v>
      </x:c>
      <x:c r="W6" s="207" t="str">
        <x:v>Data Importação</x:v>
      </x:c>
      <x:c r="Y6" s="215" t="str">
        <x:v>Funcionários na conferência</x:v>
      </x:c>
      <x:c r="Z6" s="155" t="n">
        <x:f>COUNTIF('Conferência'!A2:A101,"&gt;0")</x:f>
        <x:v>20</x:v>
      </x:c>
    </x:row>
    <x:row r="7">
      <x:c r="A7" s="208" t="str">
        <x:v>09/2026</x:v>
      </x:c>
      <x:c r="B7" s="208" t="n">
        <x:v>1001</x:v>
      </x:c>
      <x:c r="C7" s="208" t="str">
        <x:v>Camila Silva</x:v>
      </x:c>
      <x:c r="D7" s="210" t="n">
        <x:v>0</x:v>
      </x:c>
      <x:c r="E7" s="210" t="n">
        <x:v>0</x:v>
      </x:c>
      <x:c r="F7" s="210" t="n">
        <x:v>261.82</x:v>
      </x:c>
      <x:c r="G7" s="210" t="n">
        <x:v>0</x:v>
      </x:c>
      <x:c r="H7" s="210" t="n">
        <x:v>4200</x:v>
      </x:c>
      <x:c r="I7" s="210" t="n">
        <x:v>0</x:v>
      </x:c>
      <x:c r="J7" s="210" t="n">
        <x:v>0</x:v>
      </x:c>
      <x:c r="K7" s="210" t="n">
        <x:v>47.6</x:v>
      </x:c>
      <x:c r="L7" s="210" t="n">
        <x:v>763.64</x:v>
      </x:c>
      <x:c r="M7" s="210" t="n">
        <x:v>280</x:v>
      </x:c>
      <x:c r="N7" s="210" t="n">
        <x:v>908.86</x:v>
      </x:c>
      <x:c r="O7" s="210" t="n">
        <x:v>0</x:v>
      </x:c>
      <x:c r="P7" s="210" t="n">
        <x:v>120</x:v>
      </x:c>
      <x:c r="Q7" s="210" t="n">
        <x:v>180</x:v>
      </x:c>
      <x:c r="R7" s="210" t="n">
        <x:v>0</x:v>
      </x:c>
      <x:c r="S7" s="210" t="n">
        <x:v>0</x:v>
      </x:c>
      <x:c r="T7" s="210" t="n">
        <x:v>10073.06</x:v>
      </x:c>
      <x:c r="U7" s="210" t="n">
        <x:v>1488.86</x:v>
      </x:c>
      <x:c r="V7" s="210" t="n">
        <x:v>8584.2</x:v>
      </x:c>
      <x:c r="W7" s="211" t="n">
        <x:v>46278</x:v>
      </x:c>
      <x:c r="Y7" s="215" t="str">
        <x:v>Pendentes de importação</x:v>
      </x:c>
      <x:c r="Z7" s="155" t="n">
        <x:f>COUNTIF('Conferência'!AI2:AI101,"PENDENTE IMPORTAÇÃO")</x:f>
        <x:v>0</x:v>
      </x:c>
    </x:row>
    <x:row r="8">
      <x:c r="A8" s="208" t="str">
        <x:v>09/2026</x:v>
      </x:c>
      <x:c r="B8" s="208" t="n">
        <x:v>1002</x:v>
      </x:c>
      <x:c r="C8" s="208" t="str">
        <x:v>João Santos</x:v>
      </x:c>
      <x:c r="D8" s="210" t="n">
        <x:v>0</x:v>
      </x:c>
      <x:c r="E8" s="210" t="n">
        <x:v>0</x:v>
      </x:c>
      <x:c r="F8" s="210" t="n">
        <x:v>177.27</x:v>
      </x:c>
      <x:c r="G8" s="210" t="n">
        <x:v>0</x:v>
      </x:c>
      <x:c r="H8" s="210" t="n">
        <x:v>5100</x:v>
      </x:c>
      <x:c r="I8" s="210" t="n">
        <x:v>800</x:v>
      </x:c>
      <x:c r="J8" s="210" t="n">
        <x:v>0</x:v>
      </x:c>
      <x:c r="K8" s="210" t="n">
        <x:v>32.23</x:v>
      </x:c>
      <x:c r="L8" s="210" t="n">
        <x:v>927.27</x:v>
      </x:c>
      <x:c r="M8" s="210" t="n">
        <x:v>312</x:v>
      </x:c>
      <x:c r="N8" s="210" t="n">
        <x:v>908.86</x:v>
      </x:c>
      <x:c r="O8" s="210" t="n">
        <x:v>0</x:v>
      </x:c>
      <x:c r="P8" s="210" t="n">
        <x:v>120</x:v>
      </x:c>
      <x:c r="Q8" s="210" t="n">
        <x:v>220</x:v>
      </x:c>
      <x:c r="R8" s="210" t="n">
        <x:v>0</x:v>
      </x:c>
      <x:c r="S8" s="210" t="n">
        <x:v>0</x:v>
      </x:c>
      <x:c r="T8" s="210" t="n">
        <x:v>12236.78</x:v>
      </x:c>
      <x:c r="U8" s="210" t="n">
        <x:v>1560.86</x:v>
      </x:c>
      <x:c r="V8" s="210" t="n">
        <x:v>10675.91</x:v>
      </x:c>
      <x:c r="W8" s="211" t="n">
        <x:v>46278</x:v>
      </x:c>
    </x:row>
    <x:row r="9">
      <x:c r="A9" s="208" t="str">
        <x:v>09/2026</x:v>
      </x:c>
      <x:c r="B9" s="208" t="n">
        <x:v>1003</x:v>
      </x:c>
      <x:c r="C9" s="208" t="str">
        <x:v>Maria Lima</x:v>
      </x:c>
      <x:c r="D9" s="210" t="n">
        <x:v>0</x:v>
      </x:c>
      <x:c r="E9" s="210" t="n">
        <x:v>0</x:v>
      </x:c>
      <x:c r="F9" s="210" t="n">
        <x:v>0</x:v>
      </x:c>
      <x:c r="G9" s="210" t="n">
        <x:v>0</x:v>
      </x:c>
      <x:c r="H9" s="210" t="n">
        <x:v>0</x:v>
      </x:c>
      <x:c r="I9" s="210" t="n">
        <x:v>1500</x:v>
      </x:c>
      <x:c r="J9" s="210" t="n">
        <x:v>0</x:v>
      </x:c>
      <x:c r="K9" s="210" t="n">
        <x:v>0</x:v>
      </x:c>
      <x:c r="L9" s="210" t="n">
        <x:v>0</x:v>
      </x:c>
      <x:c r="M9" s="210" t="n">
        <x:v>0</x:v>
      </x:c>
      <x:c r="N9" s="210" t="n">
        <x:v>908.86</x:v>
      </x:c>
      <x:c r="O9" s="210" t="n">
        <x:v>0</x:v>
      </x:c>
      <x:c r="P9" s="210" t="n">
        <x:v>180</x:v>
      </x:c>
      <x:c r="Q9" s="210" t="n">
        <x:v>250</x:v>
      </x:c>
      <x:c r="R9" s="210" t="n">
        <x:v>0</x:v>
      </x:c>
      <x:c r="S9" s="210" t="n">
        <x:v>0</x:v>
      </x:c>
      <x:c r="T9" s="210" t="n">
        <x:v>11300</x:v>
      </x:c>
      <x:c r="U9" s="210" t="n">
        <x:v>1338.86</x:v>
      </x:c>
      <x:c r="V9" s="210" t="n">
        <x:v>9961.14</x:v>
      </x:c>
      <x:c r="W9" s="211" t="n">
        <x:v>46278</x:v>
      </x:c>
    </x:row>
    <x:row r="10">
      <x:c r="A10" s="208" t="str">
        <x:v>09/2026</x:v>
      </x:c>
      <x:c r="B10" s="208" t="n">
        <x:v>1004</x:v>
      </x:c>
      <x:c r="C10" s="208" t="str">
        <x:v>Rafael Oliveira</x:v>
      </x:c>
      <x:c r="D10" s="210" t="n">
        <x:v>153.33</x:v>
      </x:c>
      <x:c r="E10" s="210" t="n">
        <x:v>153.33</x:v>
      </x:c>
      <x:c r="F10" s="210" t="n">
        <x:v>0</x:v>
      </x:c>
      <x:c r="G10" s="210" t="n">
        <x:v>0</x:v>
      </x:c>
      <x:c r="H10" s="210" t="n">
        <x:v>3685</x:v>
      </x:c>
      <x:c r="I10" s="210" t="n">
        <x:v>0</x:v>
      </x:c>
      <x:c r="J10" s="210" t="n">
        <x:v>0</x:v>
      </x:c>
      <x:c r="K10" s="210" t="n">
        <x:v>0</x:v>
      </x:c>
      <x:c r="L10" s="210" t="n">
        <x:v>654.55</x:v>
      </x:c>
      <x:c r="M10" s="210" t="n">
        <x:v>276</x:v>
      </x:c>
      <x:c r="N10" s="210" t="n">
        <x:v>908.86</x:v>
      </x:c>
      <x:c r="O10" s="210" t="n">
        <x:v>0</x:v>
      </x:c>
      <x:c r="P10" s="210" t="n">
        <x:v>120</x:v>
      </x:c>
      <x:c r="Q10" s="210" t="n">
        <x:v>180</x:v>
      </x:c>
      <x:c r="R10" s="210" t="n">
        <x:v>0</x:v>
      </x:c>
      <x:c r="S10" s="210" t="n">
        <x:v>0</x:v>
      </x:c>
      <x:c r="T10" s="210" t="n">
        <x:v>8462.88</x:v>
      </x:c>
      <x:c r="U10" s="210" t="n">
        <x:v>1833.53</x:v>
      </x:c>
      <x:c r="V10" s="210" t="n">
        <x:v>6936.02</x:v>
      </x:c>
      <x:c r="W10" s="211" t="n">
        <x:v>46278</x:v>
      </x:c>
    </x:row>
    <x:row r="11">
      <x:c r="A11" s="208" t="str">
        <x:v>09/2026</x:v>
      </x:c>
      <x:c r="B11" s="208" t="n">
        <x:v>1005</x:v>
      </x:c>
      <x:c r="C11" s="208" t="str">
        <x:v>Fernanda Costa</x:v>
      </x:c>
      <x:c r="D11" s="210" t="n">
        <x:v>0</x:v>
      </x:c>
      <x:c r="E11" s="210" t="n">
        <x:v>0</x:v>
      </x:c>
      <x:c r="F11" s="210" t="n">
        <x:v>294.55</x:v>
      </x:c>
      <x:c r="G11" s="210" t="n">
        <x:v>0</x:v>
      </x:c>
      <x:c r="H11" s="210" t="n">
        <x:v>0</x:v>
      </x:c>
      <x:c r="I11" s="210" t="n">
        <x:v>900</x:v>
      </x:c>
      <x:c r="J11" s="210" t="n">
        <x:v>0</x:v>
      </x:c>
      <x:c r="K11" s="210" t="n">
        <x:v>53.55</x:v>
      </x:c>
      <x:c r="L11" s="210" t="n">
        <x:v>0</x:v>
      </x:c>
      <x:c r="M11" s="210" t="n">
        <x:v>0</x:v>
      </x:c>
      <x:c r="N11" s="210" t="n">
        <x:v>908.86</x:v>
      </x:c>
      <x:c r="O11" s="210" t="n">
        <x:v>0</x:v>
      </x:c>
      <x:c r="P11" s="210" t="n">
        <x:v>150</x:v>
      </x:c>
      <x:c r="Q11" s="210" t="n">
        <x:v>220</x:v>
      </x:c>
      <x:c r="R11" s="210" t="n">
        <x:v>0</x:v>
      </x:c>
      <x:c r="S11" s="210" t="n">
        <x:v>0</x:v>
      </x:c>
      <x:c r="T11" s="210" t="n">
        <x:v>8448.1</x:v>
      </x:c>
      <x:c r="U11" s="210" t="n">
        <x:v>1278.86</x:v>
      </x:c>
      <x:c r="V11" s="210" t="n">
        <x:v>7169.24</x:v>
      </x:c>
      <x:c r="W11" s="211" t="n">
        <x:v>46278</x:v>
      </x:c>
    </x:row>
    <x:row r="12">
      <x:c r="A12" s="208" t="str">
        <x:v>09/2026</x:v>
      </x:c>
      <x:c r="B12" s="208" t="n">
        <x:v>1006</x:v>
      </x:c>
      <x:c r="C12" s="208" t="str">
        <x:v>Bruno Martins</x:v>
      </x:c>
      <x:c r="D12" s="210" t="n">
        <x:v>0</x:v>
      </x:c>
      <x:c r="E12" s="210" t="n">
        <x:v>0</x:v>
      </x:c>
      <x:c r="F12" s="210" t="n">
        <x:v>120</x:v>
      </x:c>
      <x:c r="G12" s="210" t="n">
        <x:v>0</x:v>
      </x:c>
      <x:c r="H12" s="210" t="n">
        <x:v>2800</x:v>
      </x:c>
      <x:c r="I12" s="210" t="n">
        <x:v>0</x:v>
      </x:c>
      <x:c r="J12" s="210" t="n">
        <x:v>0</x:v>
      </x:c>
      <x:c r="K12" s="210" t="n">
        <x:v>21.82</x:v>
      </x:c>
      <x:c r="L12" s="210" t="n">
        <x:v>509.09</x:v>
      </x:c>
      <x:c r="M12" s="210" t="n">
        <x:v>260</x:v>
      </x:c>
      <x:c r="N12" s="210" t="n">
        <x:v>908.86</x:v>
      </x:c>
      <x:c r="O12" s="210" t="n">
        <x:v>0</x:v>
      </x:c>
      <x:c r="P12" s="210" t="n">
        <x:v>120</x:v>
      </x:c>
      <x:c r="Q12" s="210" t="n">
        <x:v>180</x:v>
      </x:c>
      <x:c r="R12" s="210" t="n">
        <x:v>0</x:v>
      </x:c>
      <x:c r="S12" s="210" t="n">
        <x:v>0</x:v>
      </x:c>
      <x:c r="T12" s="210" t="n">
        <x:v>7850.91</x:v>
      </x:c>
      <x:c r="U12" s="210" t="n">
        <x:v>1468.86</x:v>
      </x:c>
      <x:c r="V12" s="210" t="n">
        <x:v>6382.05</x:v>
      </x:c>
      <x:c r="W12" s="211" t="n">
        <x:v>46278</x:v>
      </x:c>
    </x:row>
    <x:row r="13">
      <x:c r="A13" s="208" t="str">
        <x:v>09/2026</x:v>
      </x:c>
      <x:c r="B13" s="208" t="n">
        <x:v>1007</x:v>
      </x:c>
      <x:c r="C13" s="208" t="str">
        <x:v>Juliana Rocha</x:v>
      </x:c>
      <x:c r="D13" s="210" t="n">
        <x:v>0</x:v>
      </x:c>
      <x:c r="E13" s="210" t="n">
        <x:v>0</x:v>
      </x:c>
      <x:c r="F13" s="210" t="n">
        <x:v>104.32</x:v>
      </x:c>
      <x:c r="G13" s="210" t="n">
        <x:v>0</x:v>
      </x:c>
      <x:c r="H13" s="210" t="n">
        <x:v>0</x:v>
      </x:c>
      <x:c r="I13" s="210" t="n">
        <x:v>0</x:v>
      </x:c>
      <x:c r="J13" s="210" t="n">
        <x:v>350</x:v>
      </x:c>
      <x:c r="K13" s="210" t="n">
        <x:v>18.97</x:v>
      </x:c>
      <x:c r="L13" s="210" t="n">
        <x:v>0</x:v>
      </x:c>
      <x:c r="M13" s="210" t="n">
        <x:v>220</x:v>
      </x:c>
      <x:c r="N13" s="210" t="n">
        <x:v>664.08</x:v>
      </x:c>
      <x:c r="O13" s="210" t="n">
        <x:v>0</x:v>
      </x:c>
      <x:c r="P13" s="210" t="n">
        <x:v>150</x:v>
      </x:c>
      <x:c r="Q13" s="210" t="n">
        <x:v>200</x:v>
      </x:c>
      <x:c r="R13" s="210" t="n">
        <x:v>0</x:v>
      </x:c>
      <x:c r="S13" s="210" t="n">
        <x:v>0</x:v>
      </x:c>
      <x:c r="T13" s="210" t="n">
        <x:v>5573.29</x:v>
      </x:c>
      <x:c r="U13" s="210" t="n">
        <x:v>1234.08</x:v>
      </x:c>
      <x:c r="V13" s="210" t="n">
        <x:v>4339.21</x:v>
      </x:c>
      <x:c r="W13" s="211" t="n">
        <x:v>46278</x:v>
      </x:c>
    </x:row>
    <x:row r="14">
      <x:c r="A14" s="208" t="str">
        <x:v>09/2026</x:v>
      </x:c>
      <x:c r="B14" s="208" t="n">
        <x:v>1008</x:v>
      </x:c>
      <x:c r="C14" s="208" t="str">
        <x:v>Lucas Almeida</x:v>
      </x:c>
      <x:c r="D14" s="210" t="n">
        <x:v>0</x:v>
      </x:c>
      <x:c r="E14" s="210" t="n">
        <x:v>0</x:v>
      </x:c>
      <x:c r="F14" s="210" t="n">
        <x:v>0</x:v>
      </x:c>
      <x:c r="G14" s="210" t="n">
        <x:v>0</x:v>
      </x:c>
      <x:c r="H14" s="210" t="n">
        <x:v>3100</x:v>
      </x:c>
      <x:c r="I14" s="210" t="n">
        <x:v>0</x:v>
      </x:c>
      <x:c r="J14" s="210" t="n">
        <x:v>0</x:v>
      </x:c>
      <x:c r="K14" s="210" t="n">
        <x:v>0</x:v>
      </x:c>
      <x:c r="L14" s="210" t="n">
        <x:v>563.64</x:v>
      </x:c>
      <x:c r="M14" s="210" t="n">
        <x:v>258</x:v>
      </x:c>
      <x:c r="N14" s="210" t="n">
        <x:v>908.86</x:v>
      </x:c>
      <x:c r="O14" s="210" t="n">
        <x:v>0</x:v>
      </x:c>
      <x:c r="P14" s="210" t="n">
        <x:v>120</x:v>
      </x:c>
      <x:c r="Q14" s="210" t="n">
        <x:v>180</x:v>
      </x:c>
      <x:c r="R14" s="210" t="n">
        <x:v>0</x:v>
      </x:c>
      <x:c r="S14" s="210" t="n">
        <x:v>0</x:v>
      </x:c>
      <x:c r="T14" s="210" t="n">
        <x:v>7963.64</x:v>
      </x:c>
      <x:c r="U14" s="210" t="n">
        <x:v>1466.86</x:v>
      </x:c>
      <x:c r="V14" s="210" t="n">
        <x:v>6496.77</x:v>
      </x:c>
      <x:c r="W14" s="211" t="n">
        <x:v>46278</x:v>
      </x:c>
    </x:row>
    <x:row r="15">
      <x:c r="A15" s="208" t="str">
        <x:v>09/2026</x:v>
      </x:c>
      <x:c r="B15" s="208" t="n">
        <x:v>1009</x:v>
      </x:c>
      <x:c r="C15" s="208" t="str">
        <x:v>Patricia Gomes</x:v>
      </x:c>
      <x:c r="D15" s="210" t="n">
        <x:v>0</x:v>
      </x:c>
      <x:c r="E15" s="210" t="n">
        <x:v>0</x:v>
      </x:c>
      <x:c r="F15" s="210" t="n">
        <x:v>267.27</x:v>
      </x:c>
      <x:c r="G15" s="210" t="n">
        <x:v>0</x:v>
      </x:c>
      <x:c r="H15" s="210" t="n">
        <x:v>0</x:v>
      </x:c>
      <x:c r="I15" s="210" t="n">
        <x:v>500</x:v>
      </x:c>
      <x:c r="J15" s="210" t="n">
        <x:v>0</x:v>
      </x:c>
      <x:c r="K15" s="210" t="n">
        <x:v>48.6</x:v>
      </x:c>
      <x:c r="L15" s="210" t="n">
        <x:v>0</x:v>
      </x:c>
      <x:c r="M15" s="210" t="n">
        <x:v>200</x:v>
      </x:c>
      <x:c r="N15" s="210" t="n">
        <x:v>717.04</x:v>
      </x:c>
      <x:c r="O15" s="210" t="n">
        <x:v>0</x:v>
      </x:c>
      <x:c r="P15" s="210" t="n">
        <x:v>150</x:v>
      </x:c>
      <x:c r="Q15" s="210" t="n">
        <x:v>220</x:v>
      </x:c>
      <x:c r="R15" s="210" t="n">
        <x:v>0</x:v>
      </x:c>
      <x:c r="S15" s="210" t="n">
        <x:v>0</x:v>
      </x:c>
      <x:c r="T15" s="210" t="n">
        <x:v>6415.87</x:v>
      </x:c>
      <x:c r="U15" s="210" t="n">
        <x:v>1287.04</x:v>
      </x:c>
      <x:c r="V15" s="210" t="n">
        <x:v>5128.83</x:v>
      </x:c>
      <x:c r="W15" s="211" t="n">
        <x:v>46278</x:v>
      </x:c>
    </x:row>
    <x:row r="16">
      <x:c r="A16" s="208" t="str">
        <x:v>09/2026</x:v>
      </x:c>
      <x:c r="B16" s="208" t="n">
        <x:v>1010</x:v>
      </x:c>
      <x:c r="C16" s="208" t="str">
        <x:v>Diego Ferreira</x:v>
      </x:c>
      <x:c r="D16" s="210" t="n">
        <x:v>280</x:v>
      </x:c>
      <x:c r="E16" s="210" t="n">
        <x:v>140</x:v>
      </x:c>
      <x:c r="F16" s="210" t="n">
        <x:v>0</x:v>
      </x:c>
      <x:c r="G16" s="210" t="n">
        <x:v>0</x:v>
      </x:c>
      <x:c r="H16" s="210" t="n">
        <x:v>2380</x:v>
      </x:c>
      <x:c r="I16" s="210" t="n">
        <x:v>0</x:v>
      </x:c>
      <x:c r="J16" s="210" t="n">
        <x:v>0</x:v>
      </x:c>
      <x:c r="K16" s="210" t="n">
        <x:v>0</x:v>
      </x:c>
      <x:c r="L16" s="210" t="n">
        <x:v>454.55</x:v>
      </x:c>
      <x:c r="M16" s="210" t="n">
        <x:v>252</x:v>
      </x:c>
      <x:c r="N16" s="210" t="n">
        <x:v>761.66</x:v>
      </x:c>
      <x:c r="O16" s="210" t="n">
        <x:v>0</x:v>
      </x:c>
      <x:c r="P16" s="210" t="n">
        <x:v>120</x:v>
      </x:c>
      <x:c r="Q16" s="210" t="n">
        <x:v>180</x:v>
      </x:c>
      <x:c r="R16" s="210" t="n">
        <x:v>0</x:v>
      </x:c>
      <x:c r="S16" s="210" t="n">
        <x:v>0</x:v>
      </x:c>
      <x:c r="T16" s="210" t="n">
        <x:v>6854.55</x:v>
      </x:c>
      <x:c r="U16" s="210" t="n">
        <x:v>1733.66</x:v>
      </x:c>
      <x:c r="V16" s="210" t="n">
        <x:v>5540.89</x:v>
      </x:c>
      <x:c r="W16" s="211" t="n">
        <x:v>46278</x:v>
      </x:c>
    </x:row>
    <x:row r="17">
      <x:c r="A17" s="208" t="str">
        <x:v>09/2026</x:v>
      </x:c>
      <x:c r="B17" s="208" t="n">
        <x:v>1011</x:v>
      </x:c>
      <x:c r="C17" s="208" t="str">
        <x:v>Renata Barros</x:v>
      </x:c>
      <x:c r="D17" s="210" t="n">
        <x:v>0</x:v>
      </x:c>
      <x:c r="E17" s="210" t="n">
        <x:v>0</x:v>
      </x:c>
      <x:c r="F17" s="210" t="n">
        <x:v>160.91</x:v>
      </x:c>
      <x:c r="G17" s="210" t="n">
        <x:v>0</x:v>
      </x:c>
      <x:c r="H17" s="210" t="n">
        <x:v>0</x:v>
      </x:c>
      <x:c r="I17" s="210" t="n">
        <x:v>0</x:v>
      </x:c>
      <x:c r="J17" s="210" t="n">
        <x:v>300</x:v>
      </x:c>
      <x:c r="K17" s="210" t="n">
        <x:v>29.26</x:v>
      </x:c>
      <x:c r="L17" s="210" t="n">
        <x:v>0</x:v>
      </x:c>
      <x:c r="M17" s="210" t="n">
        <x:v>180</x:v>
      </x:c>
      <x:c r="N17" s="210" t="n">
        <x:v>713.44</x:v>
      </x:c>
      <x:c r="O17" s="210" t="n">
        <x:v>0</x:v>
      </x:c>
      <x:c r="P17" s="210" t="n">
        <x:v>150</x:v>
      </x:c>
      <x:c r="Q17" s="210" t="n">
        <x:v>230</x:v>
      </x:c>
      <x:c r="R17" s="210" t="n">
        <x:v>0</x:v>
      </x:c>
      <x:c r="S17" s="210" t="n">
        <x:v>0</x:v>
      </x:c>
      <x:c r="T17" s="210" t="n">
        <x:v>6390.17</x:v>
      </x:c>
      <x:c r="U17" s="210" t="n">
        <x:v>1273.44</x:v>
      </x:c>
      <x:c r="V17" s="210" t="n">
        <x:v>5116.72</x:v>
      </x:c>
      <x:c r="W17" s="211" t="n">
        <x:v>46278</x:v>
      </x:c>
    </x:row>
    <x:row r="18">
      <x:c r="A18" s="208" t="str">
        <x:v>09/2026</x:v>
      </x:c>
      <x:c r="B18" s="208" t="n">
        <x:v>1012</x:v>
      </x:c>
      <x:c r="C18" s="208" t="str">
        <x:v>Gustavo Nunes</x:v>
      </x:c>
      <x:c r="D18" s="210" t="n">
        <x:v>0</x:v>
      </x:c>
      <x:c r="E18" s="210" t="n">
        <x:v>0</x:v>
      </x:c>
      <x:c r="F18" s="210" t="n">
        <x:v>231.82</x:v>
      </x:c>
      <x:c r="G18" s="210" t="n">
        <x:v>0</x:v>
      </x:c>
      <x:c r="H18" s="210" t="n">
        <x:v>0</x:v>
      </x:c>
      <x:c r="I18" s="210" t="n">
        <x:v>0</x:v>
      </x:c>
      <x:c r="J18" s="210" t="n">
        <x:v>0</x:v>
      </x:c>
      <x:c r="K18" s="210" t="n">
        <x:v>42.15</x:v>
      </x:c>
      <x:c r="L18" s="210" t="n">
        <x:v>0</x:v>
      </x:c>
      <x:c r="M18" s="210" t="n">
        <x:v>204</x:v>
      </x:c>
      <x:c r="N18" s="210" t="n">
        <x:v>361.3</x:v>
      </x:c>
      <x:c r="O18" s="210" t="n">
        <x:v>0</x:v>
      </x:c>
      <x:c r="P18" s="210" t="n">
        <x:v>100</x:v>
      </x:c>
      <x:c r="Q18" s="210" t="n">
        <x:v>150</x:v>
      </x:c>
      <x:c r="R18" s="210" t="n">
        <x:v>0</x:v>
      </x:c>
      <x:c r="S18" s="210" t="n">
        <x:v>0</x:v>
      </x:c>
      <x:c r="T18" s="210" t="n">
        <x:v>3853.97</x:v>
      </x:c>
      <x:c r="U18" s="210" t="n">
        <x:v>815.3</x:v>
      </x:c>
      <x:c r="V18" s="210" t="n">
        <x:v>3038.67</x:v>
      </x:c>
      <x:c r="W18" s="211" t="n">
        <x:v>46278</x:v>
      </x:c>
    </x:row>
    <x:row r="19">
      <x:c r="A19" s="208" t="str">
        <x:v>09/2026</x:v>
      </x:c>
      <x:c r="B19" s="208" t="n">
        <x:v>1013</x:v>
      </x:c>
      <x:c r="C19" s="208" t="str">
        <x:v>Aline Ribeiro</x:v>
      </x:c>
      <x:c r="D19" s="210" t="n">
        <x:v>0</x:v>
      </x:c>
      <x:c r="E19" s="210" t="n">
        <x:v>0</x:v>
      </x:c>
      <x:c r="F19" s="210" t="n">
        <x:v>184.09</x:v>
      </x:c>
      <x:c r="G19" s="210" t="n">
        <x:v>0</x:v>
      </x:c>
      <x:c r="H19" s="210" t="n">
        <x:v>0</x:v>
      </x:c>
      <x:c r="I19" s="210" t="n">
        <x:v>0</x:v>
      </x:c>
      <x:c r="J19" s="210" t="n">
        <x:v>250</x:v>
      </x:c>
      <x:c r="K19" s="210" t="n">
        <x:v>33.47</x:v>
      </x:c>
      <x:c r="L19" s="210" t="n">
        <x:v>0</x:v>
      </x:c>
      <x:c r="M19" s="210" t="n">
        <x:v>180</x:v>
      </x:c>
      <x:c r="N19" s="210" t="n">
        <x:v>640.28</x:v>
      </x:c>
      <x:c r="O19" s="210" t="n">
        <x:v>0</x:v>
      </x:c>
      <x:c r="P19" s="210" t="n">
        <x:v>120</x:v>
      </x:c>
      <x:c r="Q19" s="210" t="n">
        <x:v>200</x:v>
      </x:c>
      <x:c r="R19" s="210" t="n">
        <x:v>0</x:v>
      </x:c>
      <x:c r="S19" s="210" t="n">
        <x:v>0</x:v>
      </x:c>
      <x:c r="T19" s="210" t="n">
        <x:v>5867.56</x:v>
      </x:c>
      <x:c r="U19" s="210" t="n">
        <x:v>1140.28</x:v>
      </x:c>
      <x:c r="V19" s="210" t="n">
        <x:v>4727.28</x:v>
      </x:c>
      <x:c r="W19" s="211" t="n">
        <x:v>46278</x:v>
      </x:c>
    </x:row>
    <x:row r="20">
      <x:c r="A20" s="208" t="str">
        <x:v>09/2026</x:v>
      </x:c>
      <x:c r="B20" s="208" t="n">
        <x:v>1014</x:v>
      </x:c>
      <x:c r="C20" s="208" t="str">
        <x:v>Marcos Vieira</x:v>
      </x:c>
      <x:c r="D20" s="210" t="n">
        <x:v>0</x:v>
      </x:c>
      <x:c r="E20" s="210" t="n">
        <x:v>0</x:v>
      </x:c>
      <x:c r="F20" s="210" t="n">
        <x:v>0</x:v>
      </x:c>
      <x:c r="G20" s="210" t="n">
        <x:v>149.09</x:v>
      </x:c>
      <x:c r="H20" s="210" t="n">
        <x:v>2300</x:v>
      </x:c>
      <x:c r="I20" s="210" t="n">
        <x:v>0</x:v>
      </x:c>
      <x:c r="J20" s="210" t="n">
        <x:v>0</x:v>
      </x:c>
      <x:c r="K20" s="210" t="n">
        <x:v>27.11</x:v>
      </x:c>
      <x:c r="L20" s="210" t="n">
        <x:v>418.18</x:v>
      </x:c>
      <x:c r="M20" s="210" t="n">
        <x:v>246</x:v>
      </x:c>
      <x:c r="N20" s="210" t="n">
        <x:v>723.03</x:v>
      </x:c>
      <x:c r="O20" s="210" t="n">
        <x:v>0</x:v>
      </x:c>
      <x:c r="P20" s="210" t="n">
        <x:v>120</x:v>
      </x:c>
      <x:c r="Q20" s="210" t="n">
        <x:v>180</x:v>
      </x:c>
      <x:c r="R20" s="210" t="n">
        <x:v>0</x:v>
      </x:c>
      <x:c r="S20" s="210" t="n">
        <x:v>0</x:v>
      </x:c>
      <x:c r="T20" s="210" t="n">
        <x:v>6994.38</x:v>
      </x:c>
      <x:c r="U20" s="210" t="n">
        <x:v>1269.03</x:v>
      </x:c>
      <x:c r="V20" s="210" t="n">
        <x:v>5725.35</x:v>
      </x:c>
      <x:c r="W20" s="211" t="n">
        <x:v>46278</x:v>
      </x:c>
    </x:row>
    <x:row r="21">
      <x:c r="A21" s="208" t="str">
        <x:v>09/2026</x:v>
      </x:c>
      <x:c r="B21" s="208" t="n">
        <x:v>1015</x:v>
      </x:c>
      <x:c r="C21" s="208" t="str">
        <x:v>Beatriz Souza</x:v>
      </x:c>
      <x:c r="D21" s="210" t="n">
        <x:v>0</x:v>
      </x:c>
      <x:c r="E21" s="210" t="n">
        <x:v>0</x:v>
      </x:c>
      <x:c r="F21" s="210" t="n">
        <x:v>122.73</x:v>
      </x:c>
      <x:c r="G21" s="210" t="n">
        <x:v>0</x:v>
      </x:c>
      <x:c r="H21" s="210" t="n">
        <x:v>0</x:v>
      </x:c>
      <x:c r="I21" s="210" t="n">
        <x:v>0</x:v>
      </x:c>
      <x:c r="J21" s="210" t="n">
        <x:v>0</x:v>
      </x:c>
      <x:c r="K21" s="210" t="n">
        <x:v>22.31</x:v>
      </x:c>
      <x:c r="L21" s="210" t="n">
        <x:v>0</x:v>
      </x:c>
      <x:c r="M21" s="210" t="n">
        <x:v>220</x:v>
      </x:c>
      <x:c r="N21" s="210" t="n">
        <x:v>469.13</x:v>
      </x:c>
      <x:c r="O21" s="210" t="n">
        <x:v>0</x:v>
      </x:c>
      <x:c r="P21" s="210" t="n">
        <x:v>120</x:v>
      </x:c>
      <x:c r="Q21" s="210" t="n">
        <x:v>180</x:v>
      </x:c>
      <x:c r="R21" s="210" t="n">
        <x:v>0</x:v>
      </x:c>
      <x:c r="S21" s="210" t="n">
        <x:v>0</x:v>
      </x:c>
      <x:c r="T21" s="210" t="n">
        <x:v>4645.04</x:v>
      </x:c>
      <x:c r="U21" s="210" t="n">
        <x:v>989.13</x:v>
      </x:c>
      <x:c r="V21" s="210" t="n">
        <x:v>3655.92</x:v>
      </x:c>
      <x:c r="W21" s="211" t="n">
        <x:v>46278</x:v>
      </x:c>
    </x:row>
    <x:row r="22">
      <x:c r="A22" s="208" t="str">
        <x:v>09/2026</x:v>
      </x:c>
      <x:c r="B22" s="208" t="n">
        <x:v>1016</x:v>
      </x:c>
      <x:c r="C22" s="208" t="str">
        <x:v>Eduardo Melo</x:v>
      </x:c>
      <x:c r="D22" s="210" t="n">
        <x:v>0</x:v>
      </x:c>
      <x:c r="E22" s="210" t="n">
        <x:v>0</x:v>
      </x:c>
      <x:c r="F22" s="210" t="n">
        <x:v>507.27</x:v>
      </x:c>
      <x:c r="G22" s="210" t="n">
        <x:v>0</x:v>
      </x:c>
      <x:c r="H22" s="210" t="n">
        <x:v>0</x:v>
      </x:c>
      <x:c r="I22" s="210" t="n">
        <x:v>600</x:v>
      </x:c>
      <x:c r="J22" s="210" t="n">
        <x:v>0</x:v>
      </x:c>
      <x:c r="K22" s="210" t="n">
        <x:v>92.23</x:v>
      </x:c>
      <x:c r="L22" s="210" t="n">
        <x:v>0</x:v>
      </x:c>
      <x:c r="M22" s="210" t="n">
        <x:v>300</x:v>
      </x:c>
      <x:c r="N22" s="210" t="n">
        <x:v>854.75</x:v>
      </x:c>
      <x:c r="O22" s="210" t="n">
        <x:v>0</x:v>
      </x:c>
      <x:c r="P22" s="210" t="n">
        <x:v>150</x:v>
      </x:c>
      <x:c r="Q22" s="210" t="n">
        <x:v>220</x:v>
      </x:c>
      <x:c r="R22" s="210" t="n">
        <x:v>0</x:v>
      </x:c>
      <x:c r="S22" s="210" t="n">
        <x:v>0</x:v>
      </x:c>
      <x:c r="T22" s="210" t="n">
        <x:v>7399.5</x:v>
      </x:c>
      <x:c r="U22" s="210" t="n">
        <x:v>1524.75</x:v>
      </x:c>
      <x:c r="V22" s="210" t="n">
        <x:v>5874.75</x:v>
      </x:c>
      <x:c r="W22" s="211" t="n">
        <x:v>46278</x:v>
      </x:c>
    </x:row>
    <x:row r="23">
      <x:c r="A23" s="208" t="str">
        <x:v>09/2026</x:v>
      </x:c>
      <x:c r="B23" s="208" t="n">
        <x:v>1017</x:v>
      </x:c>
      <x:c r="C23" s="208" t="str">
        <x:v>Larissa Campos</x:v>
      </x:c>
      <x:c r="D23" s="210" t="n">
        <x:v>0</x:v>
      </x:c>
      <x:c r="E23" s="210" t="n">
        <x:v>0</x:v>
      </x:c>
      <x:c r="F23" s="210" t="n">
        <x:v>0</x:v>
      </x:c>
      <x:c r="G23" s="210" t="n">
        <x:v>0</x:v>
      </x:c>
      <x:c r="H23" s="210" t="n">
        <x:v>0</x:v>
      </x:c>
      <x:c r="I23" s="210" t="n">
        <x:v>0</x:v>
      </x:c>
      <x:c r="J23" s="210" t="n">
        <x:v>0</x:v>
      </x:c>
      <x:c r="K23" s="210" t="n">
        <x:v>0</x:v>
      </x:c>
      <x:c r="L23" s="210" t="n">
        <x:v>0</x:v>
      </x:c>
      <x:c r="M23" s="210" t="n">
        <x:v>240</x:v>
      </x:c>
      <x:c r="N23" s="210" t="n">
        <x:v>378.82</x:v>
      </x:c>
      <x:c r="O23" s="210" t="n">
        <x:v>0</x:v>
      </x:c>
      <x:c r="P23" s="210" t="n">
        <x:v>120</x:v>
      </x:c>
      <x:c r="Q23" s="210" t="n">
        <x:v>360</x:v>
      </x:c>
      <x:c r="R23" s="210" t="n">
        <x:v>0</x:v>
      </x:c>
      <x:c r="S23" s="210" t="n">
        <x:v>0</x:v>
      </x:c>
      <x:c r="T23" s="210" t="n">
        <x:v>4000</x:v>
      </x:c>
      <x:c r="U23" s="210" t="n">
        <x:v>1098.82</x:v>
      </x:c>
      <x:c r="V23" s="210" t="n">
        <x:v>2901.18</x:v>
      </x:c>
      <x:c r="W23" s="211" t="n">
        <x:v>46278</x:v>
      </x:c>
    </x:row>
    <x:row r="24">
      <x:c r="A24" s="208" t="str">
        <x:v>09/2026</x:v>
      </x:c>
      <x:c r="B24" s="208" t="n">
        <x:v>1018</x:v>
      </x:c>
      <x:c r="C24" s="208" t="str">
        <x:v>Thiago Pinto</x:v>
      </x:c>
      <x:c r="D24" s="210" t="n">
        <x:v>0</x:v>
      </x:c>
      <x:c r="E24" s="210" t="n">
        <x:v>0</x:v>
      </x:c>
      <x:c r="F24" s="210" t="n">
        <x:v>174.55</x:v>
      </x:c>
      <x:c r="G24" s="210" t="n">
        <x:v>0</x:v>
      </x:c>
      <x:c r="H24" s="210" t="n">
        <x:v>0</x:v>
      </x:c>
      <x:c r="I24" s="210" t="n">
        <x:v>0</x:v>
      </x:c>
      <x:c r="J24" s="210" t="n">
        <x:v>0</x:v>
      </x:c>
      <x:c r="K24" s="210" t="n">
        <x:v>31.74</x:v>
      </x:c>
      <x:c r="L24" s="210" t="n">
        <x:v>0</x:v>
      </x:c>
      <x:c r="M24" s="210" t="n">
        <x:v>180</x:v>
      </x:c>
      <x:c r="N24" s="210" t="n">
        <x:v>307.57</x:v>
      </x:c>
      <x:c r="O24" s="210" t="n">
        <x:v>0</x:v>
      </x:c>
      <x:c r="P24" s="210" t="n">
        <x:v>100</x:v>
      </x:c>
      <x:c r="Q24" s="210" t="n">
        <x:v>150</x:v>
      </x:c>
      <x:c r="R24" s="210" t="n">
        <x:v>0</x:v>
      </x:c>
      <x:c r="S24" s="210" t="n">
        <x:v>0</x:v>
      </x:c>
      <x:c r="T24" s="210" t="n">
        <x:v>3406.28</x:v>
      </x:c>
      <x:c r="U24" s="210" t="n">
        <x:v>737.57</x:v>
      </x:c>
      <x:c r="V24" s="210" t="n">
        <x:v>2668.71</x:v>
      </x:c>
      <x:c r="W24" s="211" t="n">
        <x:v>46278</x:v>
      </x:c>
    </x:row>
    <x:row r="25">
      <x:c r="A25" s="208" t="str">
        <x:v>09/2026</x:v>
      </x:c>
      <x:c r="B25" s="208" t="n">
        <x:v>1019</x:v>
      </x:c>
      <x:c r="C25" s="208" t="str">
        <x:v>Natalia Freitas</x:v>
      </x:c>
      <x:c r="D25" s="210" t="n">
        <x:v>0</x:v>
      </x:c>
      <x:c r="E25" s="210" t="n">
        <x:v>0</x:v>
      </x:c>
      <x:c r="F25" s="210" t="n">
        <x:v>126.82</x:v>
      </x:c>
      <x:c r="G25" s="210" t="n">
        <x:v>0</x:v>
      </x:c>
      <x:c r="H25" s="210" t="n">
        <x:v>0</x:v>
      </x:c>
      <x:c r="I25" s="210" t="n">
        <x:v>0</x:v>
      </x:c>
      <x:c r="J25" s="210" t="n">
        <x:v>0</x:v>
      </x:c>
      <x:c r="K25" s="210" t="n">
        <x:v>23.06</x:v>
      </x:c>
      <x:c r="L25" s="210" t="n">
        <x:v>0</x:v>
      </x:c>
      <x:c r="M25" s="210" t="n">
        <x:v>180</x:v>
      </x:c>
      <x:c r="N25" s="210" t="n">
        <x:v>288.81</x:v>
      </x:c>
      <x:c r="O25" s="210" t="n">
        <x:v>0</x:v>
      </x:c>
      <x:c r="P25" s="210" t="n">
        <x:v>100</x:v>
      </x:c>
      <x:c r="Q25" s="210" t="n">
        <x:v>150</x:v>
      </x:c>
      <x:c r="R25" s="210" t="n">
        <x:v>0</x:v>
      </x:c>
      <x:c r="S25" s="210" t="n">
        <x:v>0</x:v>
      </x:c>
      <x:c r="T25" s="210" t="n">
        <x:v>3249.88</x:v>
      </x:c>
      <x:c r="U25" s="210" t="n">
        <x:v>718.81</x:v>
      </x:c>
      <x:c r="V25" s="210" t="n">
        <x:v>2531.07</x:v>
      </x:c>
      <x:c r="W25" s="211" t="n">
        <x:v>46278</x:v>
      </x:c>
    </x:row>
    <x:row r="26">
      <x:c r="A26" s="208" t="str">
        <x:v>09/2026</x:v>
      </x:c>
      <x:c r="B26" s="208" t="n">
        <x:v>1020</x:v>
      </x:c>
      <x:c r="C26" s="208" t="str">
        <x:v>Felipe Cardoso</x:v>
      </x:c>
      <x:c r="D26" s="210" t="n">
        <x:v>0</x:v>
      </x:c>
      <x:c r="E26" s="210" t="n">
        <x:v>0</x:v>
      </x:c>
      <x:c r="F26" s="210" t="n">
        <x:v>79.77</x:v>
      </x:c>
      <x:c r="G26" s="210" t="n">
        <x:v>0</x:v>
      </x:c>
      <x:c r="H26" s="210" t="n">
        <x:v>1845</x:v>
      </x:c>
      <x:c r="I26" s="210" t="n">
        <x:v>0</x:v>
      </x:c>
      <x:c r="J26" s="210" t="n">
        <x:v>0</x:v>
      </x:c>
      <x:c r="K26" s="210" t="n">
        <x:v>14.5</x:v>
      </x:c>
      <x:c r="L26" s="210" t="n">
        <x:v>345.45</x:v>
      </x:c>
      <x:c r="M26" s="210" t="n">
        <x:v>234</x:v>
      </x:c>
      <x:c r="N26" s="210" t="n">
        <x:v>692.38</x:v>
      </x:c>
      <x:c r="O26" s="210" t="n">
        <x:v>0</x:v>
      </x:c>
      <x:c r="P26" s="210" t="n">
        <x:v>120</x:v>
      </x:c>
      <x:c r="Q26" s="210" t="n">
        <x:v>180</x:v>
      </x:c>
      <x:c r="R26" s="210" t="n">
        <x:v>0</x:v>
      </x:c>
      <x:c r="S26" s="210" t="n">
        <x:v>0</x:v>
      </x:c>
      <x:c r="T26" s="210" t="n">
        <x:v>6294.73</x:v>
      </x:c>
      <x:c r="U26" s="210" t="n">
        <x:v>1246.38</x:v>
      </x:c>
      <x:c r="V26" s="210" t="n">
        <x:v>5048.35</x:v>
      </x:c>
      <x:c r="W26" s="211" t="n">
        <x:v>46278</x:v>
      </x:c>
    </x:row>
    <x:row r="27"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212"/>
    </x:row>
    <x:row r="28"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212"/>
    </x:row>
    <x:row r="29"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212"/>
    </x:row>
    <x:row r="30"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212"/>
    </x:row>
    <x:row r="31"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212"/>
    </x:row>
    <x:row r="32"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212"/>
    </x:row>
    <x:row r="33"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212"/>
    </x:row>
    <x:row r="34"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212"/>
    </x:row>
    <x:row r="35"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212"/>
    </x:row>
    <x:row r="36"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212"/>
    </x:row>
    <x:row r="37"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212"/>
    </x:row>
    <x:row r="38"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212"/>
    </x:row>
    <x:row r="39"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212"/>
    </x:row>
    <x:row r="40"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212"/>
    </x:row>
    <x:row r="41"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212"/>
    </x:row>
    <x:row r="42"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212"/>
    </x:row>
    <x:row r="43"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212"/>
    </x:row>
    <x:row r="44"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212"/>
    </x:row>
    <x:row r="45"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212"/>
    </x:row>
    <x:row r="46"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212"/>
    </x:row>
    <x:row r="47"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212"/>
    </x:row>
    <x:row r="48"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212"/>
    </x:row>
    <x:row r="49"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212"/>
    </x:row>
    <x:row r="50"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212"/>
    </x:row>
    <x:row r="51"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212"/>
    </x:row>
    <x:row r="52"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212"/>
    </x:row>
    <x:row r="53"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212"/>
    </x:row>
    <x:row r="54"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212"/>
    </x:row>
    <x:row r="55"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212"/>
    </x:row>
    <x:row r="56"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212"/>
    </x:row>
    <x:row r="57"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212"/>
    </x:row>
    <x:row r="58"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212"/>
    </x:row>
    <x:row r="59"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212"/>
    </x:row>
    <x:row r="60"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212"/>
    </x:row>
    <x:row r="61"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212"/>
    </x:row>
    <x:row r="62"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212"/>
    </x:row>
    <x:row r="63"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212"/>
    </x:row>
    <x:row r="64"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212"/>
    </x:row>
    <x:row r="65"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212"/>
    </x:row>
    <x:row r="66"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212"/>
    </x:row>
    <x:row r="67"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212"/>
    </x:row>
    <x:row r="68"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212"/>
    </x:row>
    <x:row r="69"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212"/>
    </x:row>
    <x:row r="70"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212"/>
    </x:row>
    <x:row r="71"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212"/>
    </x:row>
    <x:row r="72"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212"/>
    </x:row>
    <x:row r="73"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212"/>
    </x:row>
    <x:row r="74"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212"/>
    </x:row>
    <x:row r="75"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212"/>
    </x:row>
    <x:row r="76"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212"/>
    </x:row>
    <x:row r="77"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212"/>
    </x:row>
    <x:row r="78"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212"/>
    </x:row>
    <x:row r="79"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212"/>
    </x:row>
    <x:row r="80"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212"/>
    </x:row>
    <x:row r="81"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212"/>
    </x:row>
    <x:row r="82"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212"/>
    </x:row>
    <x:row r="83"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212"/>
    </x:row>
    <x:row r="84"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212"/>
    </x:row>
    <x:row r="85"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212"/>
    </x:row>
    <x:row r="86"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212"/>
    </x:row>
    <x:row r="87"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212"/>
    </x:row>
    <x:row r="88"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212"/>
    </x:row>
    <x:row r="89"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212"/>
    </x:row>
    <x:row r="90"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212"/>
    </x:row>
    <x:row r="91"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212"/>
    </x:row>
    <x:row r="92"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212"/>
    </x:row>
    <x:row r="93"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212"/>
    </x:row>
    <x:row r="94"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212"/>
    </x:row>
    <x:row r="95"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212"/>
    </x:row>
    <x:row r="96"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212"/>
    </x:row>
    <x:row r="97"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212"/>
    </x:row>
    <x:row r="98"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212"/>
    </x:row>
    <x:row r="99"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212"/>
    </x:row>
    <x:row r="100"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212"/>
    </x:row>
    <x:row r="101"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212"/>
    </x:row>
    <x:row r="102"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212"/>
    </x:row>
    <x:row r="103"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212"/>
    </x:row>
    <x:row r="104"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212"/>
    </x:row>
    <x:row r="105"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212"/>
    </x:row>
    <x:row r="106"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212"/>
    </x:row>
    <x:row r="107"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212"/>
    </x:row>
    <x:row r="108"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212"/>
    </x:row>
    <x:row r="109"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212"/>
    </x:row>
    <x:row r="110"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212"/>
    </x:row>
    <x:row r="111"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212"/>
    </x:row>
    <x:row r="112"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212"/>
    </x:row>
    <x:row r="113"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212"/>
    </x:row>
    <x:row r="114"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212"/>
    </x:row>
    <x:row r="115"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212"/>
    </x:row>
    <x:row r="116"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212"/>
    </x:row>
    <x:row r="117"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212"/>
    </x:row>
    <x:row r="118"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212"/>
    </x:row>
    <x:row r="119"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212"/>
    </x:row>
    <x:row r="120"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212"/>
    </x:row>
    <x:row r="121"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212"/>
    </x:row>
    <x:row r="122"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212"/>
    </x:row>
    <x:row r="123"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212"/>
    </x:row>
    <x:row r="124"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212"/>
    </x:row>
    <x:row r="125"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212"/>
    </x:row>
    <x:row r="126"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212"/>
    </x:row>
    <x:row r="127"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212"/>
    </x:row>
    <x:row r="128"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212"/>
    </x:row>
    <x:row r="129"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212"/>
    </x:row>
    <x:row r="130"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212"/>
    </x:row>
    <x:row r="131"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212"/>
    </x:row>
    <x:row r="132"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212"/>
    </x:row>
    <x:row r="133"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212"/>
    </x:row>
    <x:row r="134"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212"/>
    </x:row>
    <x:row r="135"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212"/>
    </x:row>
    <x:row r="136"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212"/>
    </x:row>
    <x:row r="137"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212"/>
    </x:row>
    <x:row r="138"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212"/>
    </x:row>
    <x:row r="139"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212"/>
    </x:row>
    <x:row r="140"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212"/>
    </x:row>
    <x:row r="141"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212"/>
    </x:row>
    <x:row r="142"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212"/>
    </x:row>
    <x:row r="143"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212"/>
    </x:row>
    <x:row r="144"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212"/>
    </x:row>
    <x:row r="145"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212"/>
    </x:row>
    <x:row r="146"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212"/>
    </x:row>
    <x:row r="147"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212"/>
    </x:row>
    <x:row r="148"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212"/>
    </x:row>
    <x:row r="149"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212"/>
    </x:row>
    <x:row r="150"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212"/>
    </x:row>
    <x:row r="151"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212"/>
    </x:row>
    <x:row r="152"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212"/>
    </x:row>
    <x:row r="153"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212"/>
    </x:row>
    <x:row r="154"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212"/>
    </x:row>
    <x:row r="155"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212"/>
    </x:row>
    <x:row r="156"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212"/>
    </x:row>
    <x:row r="157"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212"/>
    </x:row>
    <x:row r="158"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212"/>
    </x:row>
    <x:row r="159"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212"/>
    </x:row>
    <x:row r="160"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212"/>
    </x:row>
    <x:row r="161"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212"/>
    </x:row>
    <x:row r="162"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212"/>
    </x:row>
    <x:row r="163"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212"/>
    </x:row>
    <x:row r="164"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212"/>
    </x:row>
    <x:row r="165"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212"/>
    </x:row>
    <x:row r="166"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212"/>
    </x:row>
    <x:row r="167"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212"/>
    </x:row>
    <x:row r="168"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212"/>
    </x:row>
    <x:row r="169"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212"/>
    </x:row>
    <x:row r="170"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212"/>
    </x:row>
    <x:row r="171"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212"/>
    </x:row>
    <x:row r="172"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212"/>
    </x:row>
    <x:row r="173"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212"/>
    </x:row>
    <x:row r="174"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212"/>
    </x:row>
    <x:row r="175"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212"/>
    </x:row>
    <x:row r="176"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212"/>
    </x:row>
    <x:row r="177"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212"/>
    </x:row>
    <x:row r="178"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212"/>
    </x:row>
    <x:row r="179"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212"/>
    </x:row>
    <x:row r="180"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212"/>
    </x:row>
    <x:row r="181"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212"/>
    </x:row>
    <x:row r="182"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212"/>
    </x:row>
    <x:row r="183"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212"/>
    </x:row>
    <x:row r="184"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212"/>
    </x:row>
    <x:row r="185"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212"/>
    </x:row>
    <x:row r="186"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212"/>
    </x:row>
    <x:row r="187"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212"/>
    </x:row>
    <x:row r="188"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212"/>
    </x:row>
    <x:row r="189"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212"/>
    </x:row>
    <x:row r="190"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212"/>
    </x:row>
    <x:row r="191"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212"/>
    </x:row>
    <x:row r="192"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212"/>
    </x:row>
    <x:row r="193"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212"/>
    </x:row>
    <x:row r="194"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212"/>
    </x:row>
    <x:row r="195"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212"/>
    </x:row>
    <x:row r="196"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212"/>
    </x:row>
    <x:row r="197"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212"/>
    </x:row>
    <x:row r="198"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212"/>
    </x:row>
    <x:row r="199"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212"/>
    </x:row>
    <x:row r="200"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212"/>
    </x:row>
    <x:row r="201">
      <x:c r="D201" s="35"/>
      <x:c r="E201" s="35"/>
      <x:c r="F201" s="35"/>
      <x:c r="G201" s="35"/>
      <x:c r="H201" s="35"/>
      <x:c r="I201" s="35"/>
      <x:c r="J201" s="35"/>
      <x:c r="K201" s="35"/>
      <x:c r="L201" s="35"/>
      <x:c r="M201" s="35"/>
      <x:c r="N201" s="35"/>
      <x:c r="O201" s="35"/>
      <x:c r="P201" s="35"/>
      <x:c r="Q201" s="35"/>
      <x:c r="R201" s="35"/>
      <x:c r="S201" s="35"/>
      <x:c r="T201" s="35"/>
      <x:c r="U201" s="35"/>
      <x:c r="V201" s="35"/>
      <x:c r="W201" s="212"/>
    </x:row>
    <x:row r="202">
      <x:c r="D202" s="35"/>
      <x:c r="E202" s="35"/>
      <x:c r="F202" s="35"/>
      <x:c r="G202" s="35"/>
      <x:c r="H202" s="35"/>
      <x:c r="I202" s="35"/>
      <x:c r="J202" s="35"/>
      <x:c r="K202" s="35"/>
      <x:c r="L202" s="35"/>
      <x:c r="M202" s="35"/>
      <x:c r="N202" s="35"/>
      <x:c r="O202" s="35"/>
      <x:c r="P202" s="35"/>
      <x:c r="Q202" s="35"/>
      <x:c r="R202" s="35"/>
      <x:c r="S202" s="35"/>
      <x:c r="T202" s="35"/>
      <x:c r="U202" s="35"/>
      <x:c r="V202" s="35"/>
      <x:c r="W202" s="212"/>
    </x:row>
    <x:row r="203">
      <x:c r="D203" s="35"/>
      <x:c r="E203" s="35"/>
      <x:c r="F203" s="35"/>
      <x:c r="G203" s="35"/>
      <x:c r="H203" s="35"/>
      <x:c r="I203" s="35"/>
      <x:c r="J203" s="35"/>
      <x:c r="K203" s="35"/>
      <x:c r="L203" s="35"/>
      <x:c r="M203" s="35"/>
      <x:c r="N203" s="35"/>
      <x:c r="O203" s="35"/>
      <x:c r="P203" s="35"/>
      <x:c r="Q203" s="35"/>
      <x:c r="R203" s="35"/>
      <x:c r="S203" s="35"/>
      <x:c r="T203" s="35"/>
      <x:c r="U203" s="35"/>
      <x:c r="V203" s="35"/>
      <x:c r="W203" s="212"/>
    </x:row>
    <x:row r="204">
      <x:c r="D204" s="35"/>
      <x:c r="E204" s="35"/>
      <x:c r="F204" s="35"/>
      <x:c r="G204" s="35"/>
      <x:c r="H204" s="35"/>
      <x:c r="I204" s="35"/>
      <x:c r="J204" s="35"/>
      <x:c r="K204" s="35"/>
      <x:c r="L204" s="35"/>
      <x:c r="M204" s="35"/>
      <x:c r="N204" s="35"/>
      <x:c r="O204" s="35"/>
      <x:c r="P204" s="35"/>
      <x:c r="Q204" s="35"/>
      <x:c r="R204" s="35"/>
      <x:c r="S204" s="35"/>
      <x:c r="T204" s="35"/>
      <x:c r="U204" s="35"/>
      <x:c r="V204" s="35"/>
      <x:c r="W204" s="212"/>
    </x:row>
    <x:row r="205">
      <x:c r="D205" s="35"/>
      <x:c r="E205" s="35"/>
      <x:c r="F205" s="35"/>
      <x:c r="G205" s="35"/>
      <x:c r="H205" s="35"/>
      <x:c r="I205" s="35"/>
      <x:c r="J205" s="35"/>
      <x:c r="K205" s="35"/>
      <x:c r="L205" s="35"/>
      <x:c r="M205" s="35"/>
      <x:c r="N205" s="35"/>
      <x:c r="O205" s="35"/>
      <x:c r="P205" s="35"/>
      <x:c r="Q205" s="35"/>
      <x:c r="R205" s="35"/>
      <x:c r="S205" s="35"/>
      <x:c r="T205" s="35"/>
      <x:c r="U205" s="35"/>
      <x:c r="V205" s="35"/>
      <x:c r="W205" s="212"/>
    </x:row>
    <x:row r="206">
      <x:c r="D206" s="35"/>
      <x:c r="E206" s="35"/>
      <x:c r="F206" s="35"/>
      <x:c r="G206" s="35"/>
      <x:c r="H206" s="35"/>
      <x:c r="I206" s="35"/>
      <x:c r="J206" s="35"/>
      <x:c r="K206" s="35"/>
      <x:c r="L206" s="35"/>
      <x:c r="M206" s="35"/>
      <x:c r="N206" s="35"/>
      <x:c r="O206" s="35"/>
      <x:c r="P206" s="35"/>
      <x:c r="Q206" s="35"/>
      <x:c r="R206" s="35"/>
      <x:c r="S206" s="35"/>
      <x:c r="T206" s="35"/>
      <x:c r="U206" s="35"/>
      <x:c r="V206" s="35"/>
      <x:c r="W206" s="212"/>
    </x:row>
    <x:row r="207">
      <x:c r="D207" s="35"/>
      <x:c r="E207" s="35"/>
      <x:c r="F207" s="35"/>
      <x:c r="G207" s="35"/>
      <x:c r="H207" s="35"/>
      <x:c r="I207" s="35"/>
      <x:c r="J207" s="35"/>
      <x:c r="K207" s="35"/>
      <x:c r="L207" s="35"/>
      <x:c r="M207" s="35"/>
      <x:c r="N207" s="35"/>
      <x:c r="O207" s="35"/>
      <x:c r="P207" s="35"/>
      <x:c r="Q207" s="35"/>
      <x:c r="R207" s="35"/>
      <x:c r="S207" s="35"/>
      <x:c r="T207" s="35"/>
      <x:c r="U207" s="35"/>
      <x:c r="V207" s="35"/>
      <x:c r="W207" s="212"/>
    </x:row>
    <x:row r="208">
      <x:c r="D208" s="35"/>
      <x:c r="E208" s="35"/>
      <x:c r="F208" s="35"/>
      <x:c r="G208" s="35"/>
      <x:c r="H208" s="35"/>
      <x:c r="I208" s="35"/>
      <x:c r="J208" s="35"/>
      <x:c r="K208" s="35"/>
      <x:c r="L208" s="35"/>
      <x:c r="M208" s="35"/>
      <x:c r="N208" s="35"/>
      <x:c r="O208" s="35"/>
      <x:c r="P208" s="35"/>
      <x:c r="Q208" s="35"/>
      <x:c r="R208" s="35"/>
      <x:c r="S208" s="35"/>
      <x:c r="T208" s="35"/>
      <x:c r="U208" s="35"/>
      <x:c r="V208" s="35"/>
      <x:c r="W208" s="212"/>
    </x:row>
    <x:row r="209">
      <x:c r="D209" s="35"/>
      <x:c r="E209" s="35"/>
      <x:c r="F209" s="35"/>
      <x:c r="G209" s="35"/>
      <x:c r="H209" s="35"/>
      <x:c r="I209" s="35"/>
      <x:c r="J209" s="35"/>
      <x:c r="K209" s="35"/>
      <x:c r="L209" s="35"/>
      <x:c r="M209" s="35"/>
      <x:c r="N209" s="35"/>
      <x:c r="O209" s="35"/>
      <x:c r="P209" s="35"/>
      <x:c r="Q209" s="35"/>
      <x:c r="R209" s="35"/>
      <x:c r="S209" s="35"/>
      <x:c r="T209" s="35"/>
      <x:c r="U209" s="35"/>
      <x:c r="V209" s="35"/>
      <x:c r="W209" s="212"/>
    </x:row>
    <x:row r="210">
      <x:c r="D210" s="35"/>
      <x:c r="E210" s="35"/>
      <x:c r="F210" s="35"/>
      <x:c r="G210" s="35"/>
      <x:c r="H210" s="35"/>
      <x:c r="I210" s="35"/>
      <x:c r="J210" s="35"/>
      <x:c r="K210" s="35"/>
      <x:c r="L210" s="35"/>
      <x:c r="M210" s="35"/>
      <x:c r="N210" s="35"/>
      <x:c r="O210" s="35"/>
      <x:c r="P210" s="35"/>
      <x:c r="Q210" s="35"/>
      <x:c r="R210" s="35"/>
      <x:c r="S210" s="35"/>
      <x:c r="T210" s="35"/>
      <x:c r="U210" s="35"/>
      <x:c r="V210" s="35"/>
      <x:c r="W210" s="212"/>
    </x:row>
    <x:row r="211">
      <x:c r="D211" s="35"/>
      <x:c r="E211" s="35"/>
      <x:c r="F211" s="35"/>
      <x:c r="G211" s="35"/>
      <x:c r="H211" s="35"/>
      <x:c r="I211" s="35"/>
      <x:c r="J211" s="35"/>
      <x:c r="K211" s="35"/>
      <x:c r="L211" s="35"/>
      <x:c r="M211" s="35"/>
      <x:c r="N211" s="35"/>
      <x:c r="O211" s="35"/>
      <x:c r="P211" s="35"/>
      <x:c r="Q211" s="35"/>
      <x:c r="R211" s="35"/>
      <x:c r="S211" s="35"/>
      <x:c r="T211" s="35"/>
      <x:c r="U211" s="35"/>
      <x:c r="V211" s="35"/>
      <x:c r="W211" s="212"/>
    </x:row>
    <x:row r="212">
      <x:c r="D212" s="35"/>
      <x:c r="E212" s="35"/>
      <x:c r="F212" s="35"/>
      <x:c r="G212" s="35"/>
      <x:c r="H212" s="35"/>
      <x:c r="I212" s="35"/>
      <x:c r="J212" s="35"/>
      <x:c r="K212" s="35"/>
      <x:c r="L212" s="35"/>
      <x:c r="M212" s="35"/>
      <x:c r="N212" s="35"/>
      <x:c r="O212" s="35"/>
      <x:c r="P212" s="35"/>
      <x:c r="Q212" s="35"/>
      <x:c r="R212" s="35"/>
      <x:c r="S212" s="35"/>
      <x:c r="T212" s="35"/>
      <x:c r="U212" s="35"/>
      <x:c r="V212" s="35"/>
      <x:c r="W212" s="212"/>
    </x:row>
    <x:row r="213">
      <x:c r="D213" s="35"/>
      <x:c r="E213" s="35"/>
      <x:c r="F213" s="35"/>
      <x:c r="G213" s="35"/>
      <x:c r="H213" s="35"/>
      <x:c r="I213" s="35"/>
      <x:c r="J213" s="35"/>
      <x:c r="K213" s="35"/>
      <x:c r="L213" s="35"/>
      <x:c r="M213" s="35"/>
      <x:c r="N213" s="35"/>
      <x:c r="O213" s="35"/>
      <x:c r="P213" s="35"/>
      <x:c r="Q213" s="35"/>
      <x:c r="R213" s="35"/>
      <x:c r="S213" s="35"/>
      <x:c r="T213" s="35"/>
      <x:c r="U213" s="35"/>
      <x:c r="V213" s="35"/>
      <x:c r="W213" s="212"/>
    </x:row>
    <x:row r="214">
      <x:c r="D214" s="35"/>
      <x:c r="E214" s="35"/>
      <x:c r="F214" s="35"/>
      <x:c r="G214" s="35"/>
      <x:c r="H214" s="35"/>
      <x:c r="I214" s="35"/>
      <x:c r="J214" s="35"/>
      <x:c r="K214" s="35"/>
      <x:c r="L214" s="35"/>
      <x:c r="M214" s="35"/>
      <x:c r="N214" s="35"/>
      <x:c r="O214" s="35"/>
      <x:c r="P214" s="35"/>
      <x:c r="Q214" s="35"/>
      <x:c r="R214" s="35"/>
      <x:c r="S214" s="35"/>
      <x:c r="T214" s="35"/>
      <x:c r="U214" s="35"/>
      <x:c r="V214" s="35"/>
      <x:c r="W214" s="212"/>
    </x:row>
    <x:row r="215">
      <x:c r="D215" s="35"/>
      <x:c r="E215" s="35"/>
      <x:c r="F215" s="35"/>
      <x:c r="G215" s="35"/>
      <x:c r="H215" s="35"/>
      <x:c r="I215" s="35"/>
      <x:c r="J215" s="35"/>
      <x:c r="K215" s="35"/>
      <x:c r="L215" s="35"/>
      <x:c r="M215" s="35"/>
      <x:c r="N215" s="35"/>
      <x:c r="O215" s="35"/>
      <x:c r="P215" s="35"/>
      <x:c r="Q215" s="35"/>
      <x:c r="R215" s="35"/>
      <x:c r="S215" s="35"/>
      <x:c r="T215" s="35"/>
      <x:c r="U215" s="35"/>
      <x:c r="V215" s="35"/>
      <x:c r="W215" s="212"/>
    </x:row>
    <x:row r="216">
      <x:c r="D216" s="35"/>
      <x:c r="E216" s="35"/>
      <x:c r="F216" s="35"/>
      <x:c r="G216" s="35"/>
      <x:c r="H216" s="35"/>
      <x:c r="I216" s="35"/>
      <x:c r="J216" s="35"/>
      <x:c r="K216" s="35"/>
      <x:c r="L216" s="35"/>
      <x:c r="M216" s="35"/>
      <x:c r="N216" s="35"/>
      <x:c r="O216" s="35"/>
      <x:c r="P216" s="35"/>
      <x:c r="Q216" s="35"/>
      <x:c r="R216" s="35"/>
      <x:c r="S216" s="35"/>
      <x:c r="T216" s="35"/>
      <x:c r="U216" s="35"/>
      <x:c r="V216" s="35"/>
      <x:c r="W216" s="212"/>
    </x:row>
    <x:row r="217">
      <x:c r="D217" s="35"/>
      <x:c r="E217" s="35"/>
      <x:c r="F217" s="35"/>
      <x:c r="G217" s="35"/>
      <x:c r="H217" s="35"/>
      <x:c r="I217" s="35"/>
      <x:c r="J217" s="35"/>
      <x:c r="K217" s="35"/>
      <x:c r="L217" s="35"/>
      <x:c r="M217" s="35"/>
      <x:c r="N217" s="35"/>
      <x:c r="O217" s="35"/>
      <x:c r="P217" s="35"/>
      <x:c r="Q217" s="35"/>
      <x:c r="R217" s="35"/>
      <x:c r="S217" s="35"/>
      <x:c r="T217" s="35"/>
      <x:c r="U217" s="35"/>
      <x:c r="V217" s="35"/>
      <x:c r="W217" s="212"/>
    </x:row>
    <x:row r="218">
      <x:c r="D218" s="35"/>
      <x:c r="E218" s="35"/>
      <x:c r="F218" s="35"/>
      <x:c r="G218" s="35"/>
      <x:c r="H218" s="35"/>
      <x:c r="I218" s="35"/>
      <x:c r="J218" s="35"/>
      <x:c r="K218" s="35"/>
      <x:c r="L218" s="35"/>
      <x:c r="M218" s="35"/>
      <x:c r="N218" s="35"/>
      <x:c r="O218" s="35"/>
      <x:c r="P218" s="35"/>
      <x:c r="Q218" s="35"/>
      <x:c r="R218" s="35"/>
      <x:c r="S218" s="35"/>
      <x:c r="T218" s="35"/>
      <x:c r="U218" s="35"/>
      <x:c r="V218" s="35"/>
      <x:c r="W218" s="212"/>
    </x:row>
    <x:row r="219">
      <x:c r="D219" s="35"/>
      <x:c r="E219" s="35"/>
      <x:c r="F219" s="35"/>
      <x:c r="G219" s="35"/>
      <x:c r="H219" s="35"/>
      <x:c r="I219" s="35"/>
      <x:c r="J219" s="35"/>
      <x:c r="K219" s="35"/>
      <x:c r="L219" s="35"/>
      <x:c r="M219" s="35"/>
      <x:c r="N219" s="35"/>
      <x:c r="O219" s="35"/>
      <x:c r="P219" s="35"/>
      <x:c r="Q219" s="35"/>
      <x:c r="R219" s="35"/>
      <x:c r="S219" s="35"/>
      <x:c r="T219" s="35"/>
      <x:c r="U219" s="35"/>
      <x:c r="V219" s="35"/>
      <x:c r="W219" s="212"/>
    </x:row>
    <x:row r="220">
      <x:c r="D220" s="35"/>
      <x:c r="E220" s="35"/>
      <x:c r="F220" s="35"/>
      <x:c r="G220" s="35"/>
      <x:c r="H220" s="35"/>
      <x:c r="I220" s="35"/>
      <x:c r="J220" s="35"/>
      <x:c r="K220" s="35"/>
      <x:c r="L220" s="35"/>
      <x:c r="M220" s="35"/>
      <x:c r="N220" s="35"/>
      <x:c r="O220" s="35"/>
      <x:c r="P220" s="35"/>
      <x:c r="Q220" s="35"/>
      <x:c r="R220" s="35"/>
      <x:c r="S220" s="35"/>
      <x:c r="T220" s="35"/>
      <x:c r="U220" s="35"/>
      <x:c r="V220" s="35"/>
      <x:c r="W220" s="212"/>
    </x:row>
    <x:row r="221">
      <x:c r="D221" s="35"/>
      <x:c r="E221" s="35"/>
      <x:c r="F221" s="35"/>
      <x:c r="G221" s="35"/>
      <x:c r="H221" s="35"/>
      <x:c r="I221" s="35"/>
      <x:c r="J221" s="35"/>
      <x:c r="K221" s="35"/>
      <x:c r="L221" s="35"/>
      <x:c r="M221" s="35"/>
      <x:c r="N221" s="35"/>
      <x:c r="O221" s="35"/>
      <x:c r="P221" s="35"/>
      <x:c r="Q221" s="35"/>
      <x:c r="R221" s="35"/>
      <x:c r="S221" s="35"/>
      <x:c r="T221" s="35"/>
      <x:c r="U221" s="35"/>
      <x:c r="V221" s="35"/>
      <x:c r="W221" s="212"/>
    </x:row>
    <x:row r="222">
      <x:c r="D222" s="35"/>
      <x:c r="E222" s="35"/>
      <x:c r="F222" s="35"/>
      <x:c r="G222" s="35"/>
      <x:c r="H222" s="35"/>
      <x:c r="I222" s="35"/>
      <x:c r="J222" s="35"/>
      <x:c r="K222" s="35"/>
      <x:c r="L222" s="35"/>
      <x:c r="M222" s="35"/>
      <x:c r="N222" s="35"/>
      <x:c r="O222" s="35"/>
      <x:c r="P222" s="35"/>
      <x:c r="Q222" s="35"/>
      <x:c r="R222" s="35"/>
      <x:c r="S222" s="35"/>
      <x:c r="T222" s="35"/>
      <x:c r="U222" s="35"/>
      <x:c r="V222" s="35"/>
      <x:c r="W222" s="212"/>
    </x:row>
    <x:row r="223">
      <x:c r="D223" s="35"/>
      <x:c r="E223" s="35"/>
      <x:c r="F223" s="35"/>
      <x:c r="G223" s="35"/>
      <x:c r="H223" s="35"/>
      <x:c r="I223" s="35"/>
      <x:c r="J223" s="35"/>
      <x:c r="K223" s="35"/>
      <x:c r="L223" s="35"/>
      <x:c r="M223" s="35"/>
      <x:c r="N223" s="35"/>
      <x:c r="O223" s="35"/>
      <x:c r="P223" s="35"/>
      <x:c r="Q223" s="35"/>
      <x:c r="R223" s="35"/>
      <x:c r="S223" s="35"/>
      <x:c r="T223" s="35"/>
      <x:c r="U223" s="35"/>
      <x:c r="V223" s="35"/>
      <x:c r="W223" s="212"/>
    </x:row>
    <x:row r="224">
      <x:c r="D224" s="35"/>
      <x:c r="E224" s="35"/>
      <x:c r="F224" s="35"/>
      <x:c r="G224" s="35"/>
      <x:c r="H224" s="35"/>
      <x:c r="I224" s="35"/>
      <x:c r="J224" s="35"/>
      <x:c r="K224" s="35"/>
      <x:c r="L224" s="35"/>
      <x:c r="M224" s="35"/>
      <x:c r="N224" s="35"/>
      <x:c r="O224" s="35"/>
      <x:c r="P224" s="35"/>
      <x:c r="Q224" s="35"/>
      <x:c r="R224" s="35"/>
      <x:c r="S224" s="35"/>
      <x:c r="T224" s="35"/>
      <x:c r="U224" s="35"/>
      <x:c r="V224" s="35"/>
      <x:c r="W224" s="212"/>
    </x:row>
    <x:row r="225">
      <x:c r="D225" s="35"/>
      <x:c r="E225" s="35"/>
      <x:c r="F225" s="35"/>
      <x:c r="G225" s="35"/>
      <x:c r="H225" s="35"/>
      <x:c r="I225" s="35"/>
      <x:c r="J225" s="35"/>
      <x:c r="K225" s="35"/>
      <x:c r="L225" s="35"/>
      <x:c r="M225" s="35"/>
      <x:c r="N225" s="35"/>
      <x:c r="O225" s="35"/>
      <x:c r="P225" s="35"/>
      <x:c r="Q225" s="35"/>
      <x:c r="R225" s="35"/>
      <x:c r="S225" s="35"/>
      <x:c r="T225" s="35"/>
      <x:c r="U225" s="35"/>
      <x:c r="V225" s="35"/>
      <x:c r="W225" s="212"/>
    </x:row>
    <x:row r="226">
      <x:c r="D226" s="35"/>
      <x:c r="E226" s="35"/>
      <x:c r="F226" s="35"/>
      <x:c r="G226" s="35"/>
      <x:c r="H226" s="35"/>
      <x:c r="I226" s="35"/>
      <x:c r="J226" s="35"/>
      <x:c r="K226" s="35"/>
      <x:c r="L226" s="35"/>
      <x:c r="M226" s="35"/>
      <x:c r="N226" s="35"/>
      <x:c r="O226" s="35"/>
      <x:c r="P226" s="35"/>
      <x:c r="Q226" s="35"/>
      <x:c r="R226" s="35"/>
      <x:c r="S226" s="35"/>
      <x:c r="T226" s="35"/>
      <x:c r="U226" s="35"/>
      <x:c r="V226" s="35"/>
      <x:c r="W226" s="212"/>
    </x:row>
    <x:row r="227">
      <x:c r="D227" s="35"/>
      <x:c r="E227" s="35"/>
      <x:c r="F227" s="35"/>
      <x:c r="G227" s="35"/>
      <x:c r="H227" s="35"/>
      <x:c r="I227" s="35"/>
      <x:c r="J227" s="35"/>
      <x:c r="K227" s="35"/>
      <x:c r="L227" s="35"/>
      <x:c r="M227" s="35"/>
      <x:c r="N227" s="35"/>
      <x:c r="O227" s="35"/>
      <x:c r="P227" s="35"/>
      <x:c r="Q227" s="35"/>
      <x:c r="R227" s="35"/>
      <x:c r="S227" s="35"/>
      <x:c r="T227" s="35"/>
      <x:c r="U227" s="35"/>
      <x:c r="V227" s="35"/>
      <x:c r="W227" s="212"/>
    </x:row>
    <x:row r="228">
      <x:c r="D228" s="35"/>
      <x:c r="E228" s="35"/>
      <x:c r="F228" s="35"/>
      <x:c r="G228" s="35"/>
      <x:c r="H228" s="35"/>
      <x:c r="I228" s="35"/>
      <x:c r="J228" s="35"/>
      <x:c r="K228" s="35"/>
      <x:c r="L228" s="35"/>
      <x:c r="M228" s="35"/>
      <x:c r="N228" s="35"/>
      <x:c r="O228" s="35"/>
      <x:c r="P228" s="35"/>
      <x:c r="Q228" s="35"/>
      <x:c r="R228" s="35"/>
      <x:c r="S228" s="35"/>
      <x:c r="T228" s="35"/>
      <x:c r="U228" s="35"/>
      <x:c r="V228" s="35"/>
      <x:c r="W228" s="212"/>
    </x:row>
    <x:row r="229">
      <x:c r="D229" s="35"/>
      <x:c r="E229" s="35"/>
      <x:c r="F229" s="35"/>
      <x:c r="G229" s="35"/>
      <x:c r="H229" s="35"/>
      <x:c r="I229" s="35"/>
      <x:c r="J229" s="35"/>
      <x:c r="K229" s="35"/>
      <x:c r="L229" s="35"/>
      <x:c r="M229" s="35"/>
      <x:c r="N229" s="35"/>
      <x:c r="O229" s="35"/>
      <x:c r="P229" s="35"/>
      <x:c r="Q229" s="35"/>
      <x:c r="R229" s="35"/>
      <x:c r="S229" s="35"/>
      <x:c r="T229" s="35"/>
      <x:c r="U229" s="35"/>
      <x:c r="V229" s="35"/>
      <x:c r="W229" s="212"/>
    </x:row>
    <x:row r="230">
      <x:c r="D230" s="35"/>
      <x:c r="E230" s="35"/>
      <x:c r="F230" s="35"/>
      <x:c r="G230" s="35"/>
      <x:c r="H230" s="35"/>
      <x:c r="I230" s="35"/>
      <x:c r="J230" s="35"/>
      <x:c r="K230" s="35"/>
      <x:c r="L230" s="35"/>
      <x:c r="M230" s="35"/>
      <x:c r="N230" s="35"/>
      <x:c r="O230" s="35"/>
      <x:c r="P230" s="35"/>
      <x:c r="Q230" s="35"/>
      <x:c r="R230" s="35"/>
      <x:c r="S230" s="35"/>
      <x:c r="T230" s="35"/>
      <x:c r="U230" s="35"/>
      <x:c r="V230" s="35"/>
      <x:c r="W230" s="212"/>
    </x:row>
    <x:row r="231">
      <x:c r="D231" s="35"/>
      <x:c r="E231" s="35"/>
      <x:c r="F231" s="35"/>
      <x:c r="G231" s="35"/>
      <x:c r="H231" s="35"/>
      <x:c r="I231" s="35"/>
      <x:c r="J231" s="35"/>
      <x:c r="K231" s="35"/>
      <x:c r="L231" s="35"/>
      <x:c r="M231" s="35"/>
      <x:c r="N231" s="35"/>
      <x:c r="O231" s="35"/>
      <x:c r="P231" s="35"/>
      <x:c r="Q231" s="35"/>
      <x:c r="R231" s="35"/>
      <x:c r="S231" s="35"/>
      <x:c r="T231" s="35"/>
      <x:c r="U231" s="35"/>
      <x:c r="V231" s="35"/>
      <x:c r="W231" s="212"/>
    </x:row>
    <x:row r="232">
      <x:c r="D232" s="35"/>
      <x:c r="E232" s="35"/>
      <x:c r="F232" s="35"/>
      <x:c r="G232" s="35"/>
      <x:c r="H232" s="35"/>
      <x:c r="I232" s="35"/>
      <x:c r="J232" s="35"/>
      <x:c r="K232" s="35"/>
      <x:c r="L232" s="35"/>
      <x:c r="M232" s="35"/>
      <x:c r="N232" s="35"/>
      <x:c r="O232" s="35"/>
      <x:c r="P232" s="35"/>
      <x:c r="Q232" s="35"/>
      <x:c r="R232" s="35"/>
      <x:c r="S232" s="35"/>
      <x:c r="T232" s="35"/>
      <x:c r="U232" s="35"/>
      <x:c r="V232" s="35"/>
      <x:c r="W232" s="212"/>
    </x:row>
    <x:row r="233">
      <x:c r="D233" s="35"/>
      <x:c r="E233" s="35"/>
      <x:c r="F233" s="35"/>
      <x:c r="G233" s="35"/>
      <x:c r="H233" s="35"/>
      <x:c r="I233" s="35"/>
      <x:c r="J233" s="35"/>
      <x:c r="K233" s="35"/>
      <x:c r="L233" s="35"/>
      <x:c r="M233" s="35"/>
      <x:c r="N233" s="35"/>
      <x:c r="O233" s="35"/>
      <x:c r="P233" s="35"/>
      <x:c r="Q233" s="35"/>
      <x:c r="R233" s="35"/>
      <x:c r="S233" s="35"/>
      <x:c r="T233" s="35"/>
      <x:c r="U233" s="35"/>
      <x:c r="V233" s="35"/>
      <x:c r="W233" s="212"/>
    </x:row>
    <x:row r="234">
      <x:c r="D234" s="35"/>
      <x:c r="E234" s="35"/>
      <x:c r="F234" s="35"/>
      <x:c r="G234" s="35"/>
      <x:c r="H234" s="35"/>
      <x:c r="I234" s="35"/>
      <x:c r="J234" s="35"/>
      <x:c r="K234" s="35"/>
      <x:c r="L234" s="35"/>
      <x:c r="M234" s="35"/>
      <x:c r="N234" s="35"/>
      <x:c r="O234" s="35"/>
      <x:c r="P234" s="35"/>
      <x:c r="Q234" s="35"/>
      <x:c r="R234" s="35"/>
      <x:c r="S234" s="35"/>
      <x:c r="T234" s="35"/>
      <x:c r="U234" s="35"/>
      <x:c r="V234" s="35"/>
      <x:c r="W234" s="212"/>
    </x:row>
    <x:row r="235">
      <x:c r="D235" s="35"/>
      <x:c r="E235" s="35"/>
      <x:c r="F235" s="35"/>
      <x:c r="G235" s="35"/>
      <x:c r="H235" s="35"/>
      <x:c r="I235" s="35"/>
      <x:c r="J235" s="35"/>
      <x:c r="K235" s="35"/>
      <x:c r="L235" s="35"/>
      <x:c r="M235" s="35"/>
      <x:c r="N235" s="35"/>
      <x:c r="O235" s="35"/>
      <x:c r="P235" s="35"/>
      <x:c r="Q235" s="35"/>
      <x:c r="R235" s="35"/>
      <x:c r="S235" s="35"/>
      <x:c r="T235" s="35"/>
      <x:c r="U235" s="35"/>
      <x:c r="V235" s="35"/>
      <x:c r="W235" s="212"/>
    </x:row>
    <x:row r="236">
      <x:c r="D236" s="35"/>
      <x:c r="E236" s="35"/>
      <x:c r="F236" s="35"/>
      <x:c r="G236" s="35"/>
      <x:c r="H236" s="35"/>
      <x:c r="I236" s="35"/>
      <x:c r="J236" s="35"/>
      <x:c r="K236" s="35"/>
      <x:c r="L236" s="35"/>
      <x:c r="M236" s="35"/>
      <x:c r="N236" s="35"/>
      <x:c r="O236" s="35"/>
      <x:c r="P236" s="35"/>
      <x:c r="Q236" s="35"/>
      <x:c r="R236" s="35"/>
      <x:c r="S236" s="35"/>
      <x:c r="T236" s="35"/>
      <x:c r="U236" s="35"/>
      <x:c r="V236" s="35"/>
      <x:c r="W236" s="212"/>
    </x:row>
    <x:row r="237">
      <x:c r="D237" s="35"/>
      <x:c r="E237" s="35"/>
      <x:c r="F237" s="35"/>
      <x:c r="G237" s="35"/>
      <x:c r="H237" s="35"/>
      <x:c r="I237" s="35"/>
      <x:c r="J237" s="35"/>
      <x:c r="K237" s="35"/>
      <x:c r="L237" s="35"/>
      <x:c r="M237" s="35"/>
      <x:c r="N237" s="35"/>
      <x:c r="O237" s="35"/>
      <x:c r="P237" s="35"/>
      <x:c r="Q237" s="35"/>
      <x:c r="R237" s="35"/>
      <x:c r="S237" s="35"/>
      <x:c r="T237" s="35"/>
      <x:c r="U237" s="35"/>
      <x:c r="V237" s="35"/>
      <x:c r="W237" s="212"/>
    </x:row>
    <x:row r="238">
      <x:c r="D238" s="35"/>
      <x:c r="E238" s="35"/>
      <x:c r="F238" s="35"/>
      <x:c r="G238" s="35"/>
      <x:c r="H238" s="35"/>
      <x:c r="I238" s="35"/>
      <x:c r="J238" s="35"/>
      <x:c r="K238" s="35"/>
      <x:c r="L238" s="35"/>
      <x:c r="M238" s="35"/>
      <x:c r="N238" s="35"/>
      <x:c r="O238" s="35"/>
      <x:c r="P238" s="35"/>
      <x:c r="Q238" s="35"/>
      <x:c r="R238" s="35"/>
      <x:c r="S238" s="35"/>
      <x:c r="T238" s="35"/>
      <x:c r="U238" s="35"/>
      <x:c r="V238" s="35"/>
      <x:c r="W238" s="212"/>
    </x:row>
    <x:row r="239">
      <x:c r="D239" s="35"/>
      <x:c r="E239" s="35"/>
      <x:c r="F239" s="35"/>
      <x:c r="G239" s="35"/>
      <x:c r="H239" s="35"/>
      <x:c r="I239" s="35"/>
      <x:c r="J239" s="35"/>
      <x:c r="K239" s="35"/>
      <x:c r="L239" s="35"/>
      <x:c r="M239" s="35"/>
      <x:c r="N239" s="35"/>
      <x:c r="O239" s="35"/>
      <x:c r="P239" s="35"/>
      <x:c r="Q239" s="35"/>
      <x:c r="R239" s="35"/>
      <x:c r="S239" s="35"/>
      <x:c r="T239" s="35"/>
      <x:c r="U239" s="35"/>
      <x:c r="V239" s="35"/>
      <x:c r="W239" s="212"/>
    </x:row>
    <x:row r="240">
      <x:c r="D240" s="35"/>
      <x:c r="E240" s="35"/>
      <x:c r="F240" s="35"/>
      <x:c r="G240" s="35"/>
      <x:c r="H240" s="35"/>
      <x:c r="I240" s="35"/>
      <x:c r="J240" s="35"/>
      <x:c r="K240" s="35"/>
      <x:c r="L240" s="35"/>
      <x:c r="M240" s="35"/>
      <x:c r="N240" s="35"/>
      <x:c r="O240" s="35"/>
      <x:c r="P240" s="35"/>
      <x:c r="Q240" s="35"/>
      <x:c r="R240" s="35"/>
      <x:c r="S240" s="35"/>
      <x:c r="T240" s="35"/>
      <x:c r="U240" s="35"/>
      <x:c r="V240" s="35"/>
      <x:c r="W240" s="212"/>
    </x:row>
    <x:row r="241">
      <x:c r="D241" s="35"/>
      <x:c r="E241" s="35"/>
      <x:c r="F241" s="35"/>
      <x:c r="G241" s="35"/>
      <x:c r="H241" s="35"/>
      <x:c r="I241" s="35"/>
      <x:c r="J241" s="35"/>
      <x:c r="K241" s="35"/>
      <x:c r="L241" s="35"/>
      <x:c r="M241" s="35"/>
      <x:c r="N241" s="35"/>
      <x:c r="O241" s="35"/>
      <x:c r="P241" s="35"/>
      <x:c r="Q241" s="35"/>
      <x:c r="R241" s="35"/>
      <x:c r="S241" s="35"/>
      <x:c r="T241" s="35"/>
      <x:c r="U241" s="35"/>
      <x:c r="V241" s="35"/>
      <x:c r="W241" s="212"/>
    </x:row>
    <x:row r="242">
      <x:c r="D242" s="35"/>
      <x:c r="E242" s="35"/>
      <x:c r="F242" s="35"/>
      <x:c r="G242" s="35"/>
      <x:c r="H242" s="35"/>
      <x:c r="I242" s="35"/>
      <x:c r="J242" s="35"/>
      <x:c r="K242" s="35"/>
      <x:c r="L242" s="35"/>
      <x:c r="M242" s="35"/>
      <x:c r="N242" s="35"/>
      <x:c r="O242" s="35"/>
      <x:c r="P242" s="35"/>
      <x:c r="Q242" s="35"/>
      <x:c r="R242" s="35"/>
      <x:c r="S242" s="35"/>
      <x:c r="T242" s="35"/>
      <x:c r="U242" s="35"/>
      <x:c r="V242" s="35"/>
      <x:c r="W242" s="212"/>
    </x:row>
    <x:row r="243">
      <x:c r="D243" s="35"/>
      <x:c r="E243" s="35"/>
      <x:c r="F243" s="35"/>
      <x:c r="G243" s="35"/>
      <x:c r="H243" s="35"/>
      <x:c r="I243" s="35"/>
      <x:c r="J243" s="35"/>
      <x:c r="K243" s="35"/>
      <x:c r="L243" s="35"/>
      <x:c r="M243" s="35"/>
      <x:c r="N243" s="35"/>
      <x:c r="O243" s="35"/>
      <x:c r="P243" s="35"/>
      <x:c r="Q243" s="35"/>
      <x:c r="R243" s="35"/>
      <x:c r="S243" s="35"/>
      <x:c r="T243" s="35"/>
      <x:c r="U243" s="35"/>
      <x:c r="V243" s="35"/>
      <x:c r="W243" s="212"/>
    </x:row>
    <x:row r="244">
      <x:c r="D244" s="35"/>
      <x:c r="E244" s="35"/>
      <x:c r="F244" s="35"/>
      <x:c r="G244" s="35"/>
      <x:c r="H244" s="35"/>
      <x:c r="I244" s="35"/>
      <x:c r="J244" s="35"/>
      <x:c r="K244" s="35"/>
      <x:c r="L244" s="35"/>
      <x:c r="M244" s="35"/>
      <x:c r="N244" s="35"/>
      <x:c r="O244" s="35"/>
      <x:c r="P244" s="35"/>
      <x:c r="Q244" s="35"/>
      <x:c r="R244" s="35"/>
      <x:c r="S244" s="35"/>
      <x:c r="T244" s="35"/>
      <x:c r="U244" s="35"/>
      <x:c r="V244" s="35"/>
      <x:c r="W244" s="212"/>
    </x:row>
    <x:row r="245">
      <x:c r="D245" s="35"/>
      <x:c r="E245" s="35"/>
      <x:c r="F245" s="35"/>
      <x:c r="G245" s="35"/>
      <x:c r="H245" s="35"/>
      <x:c r="I245" s="35"/>
      <x:c r="J245" s="35"/>
      <x:c r="K245" s="35"/>
      <x:c r="L245" s="35"/>
      <x:c r="M245" s="35"/>
      <x:c r="N245" s="35"/>
      <x:c r="O245" s="35"/>
      <x:c r="P245" s="35"/>
      <x:c r="Q245" s="35"/>
      <x:c r="R245" s="35"/>
      <x:c r="S245" s="35"/>
      <x:c r="T245" s="35"/>
      <x:c r="U245" s="35"/>
      <x:c r="V245" s="35"/>
      <x:c r="W245" s="212"/>
    </x:row>
    <x:row r="246">
      <x:c r="D246" s="35"/>
      <x:c r="E246" s="35"/>
      <x:c r="F246" s="35"/>
      <x:c r="G246" s="35"/>
      <x:c r="H246" s="35"/>
      <x:c r="I246" s="35"/>
      <x:c r="J246" s="35"/>
      <x:c r="K246" s="35"/>
      <x:c r="L246" s="35"/>
      <x:c r="M246" s="35"/>
      <x:c r="N246" s="35"/>
      <x:c r="O246" s="35"/>
      <x:c r="P246" s="35"/>
      <x:c r="Q246" s="35"/>
      <x:c r="R246" s="35"/>
      <x:c r="S246" s="35"/>
      <x:c r="T246" s="35"/>
      <x:c r="U246" s="35"/>
      <x:c r="V246" s="35"/>
      <x:c r="W246" s="212"/>
    </x:row>
    <x:row r="247">
      <x:c r="D247" s="35"/>
      <x:c r="E247" s="35"/>
      <x:c r="F247" s="35"/>
      <x:c r="G247" s="35"/>
      <x:c r="H247" s="35"/>
      <x:c r="I247" s="35"/>
      <x:c r="J247" s="35"/>
      <x:c r="K247" s="35"/>
      <x:c r="L247" s="35"/>
      <x:c r="M247" s="35"/>
      <x:c r="N247" s="35"/>
      <x:c r="O247" s="35"/>
      <x:c r="P247" s="35"/>
      <x:c r="Q247" s="35"/>
      <x:c r="R247" s="35"/>
      <x:c r="S247" s="35"/>
      <x:c r="T247" s="35"/>
      <x:c r="U247" s="35"/>
      <x:c r="V247" s="35"/>
      <x:c r="W247" s="212"/>
    </x:row>
    <x:row r="248">
      <x:c r="D248" s="35"/>
      <x:c r="E248" s="35"/>
      <x:c r="F248" s="35"/>
      <x:c r="G248" s="35"/>
      <x:c r="H248" s="35"/>
      <x:c r="I248" s="35"/>
      <x:c r="J248" s="35"/>
      <x:c r="K248" s="35"/>
      <x:c r="L248" s="35"/>
      <x:c r="M248" s="35"/>
      <x:c r="N248" s="35"/>
      <x:c r="O248" s="35"/>
      <x:c r="P248" s="35"/>
      <x:c r="Q248" s="35"/>
      <x:c r="R248" s="35"/>
      <x:c r="S248" s="35"/>
      <x:c r="T248" s="35"/>
      <x:c r="U248" s="35"/>
      <x:c r="V248" s="35"/>
      <x:c r="W248" s="212"/>
    </x:row>
    <x:row r="249">
      <x:c r="D249" s="35"/>
      <x:c r="E249" s="35"/>
      <x:c r="F249" s="35"/>
      <x:c r="G249" s="35"/>
      <x:c r="H249" s="35"/>
      <x:c r="I249" s="35"/>
      <x:c r="J249" s="35"/>
      <x:c r="K249" s="35"/>
      <x:c r="L249" s="35"/>
      <x:c r="M249" s="35"/>
      <x:c r="N249" s="35"/>
      <x:c r="O249" s="35"/>
      <x:c r="P249" s="35"/>
      <x:c r="Q249" s="35"/>
      <x:c r="R249" s="35"/>
      <x:c r="S249" s="35"/>
      <x:c r="T249" s="35"/>
      <x:c r="U249" s="35"/>
      <x:c r="V249" s="35"/>
      <x:c r="W249" s="212"/>
    </x:row>
    <x:row r="250">
      <x:c r="D250" s="35"/>
      <x:c r="E250" s="35"/>
      <x:c r="F250" s="35"/>
      <x:c r="G250" s="35"/>
      <x:c r="H250" s="35"/>
      <x:c r="I250" s="35"/>
      <x:c r="J250" s="35"/>
      <x:c r="K250" s="35"/>
      <x:c r="L250" s="35"/>
      <x:c r="M250" s="35"/>
      <x:c r="N250" s="35"/>
      <x:c r="O250" s="35"/>
      <x:c r="P250" s="35"/>
      <x:c r="Q250" s="35"/>
      <x:c r="R250" s="35"/>
      <x:c r="S250" s="35"/>
      <x:c r="T250" s="35"/>
      <x:c r="U250" s="35"/>
      <x:c r="V250" s="35"/>
      <x:c r="W250" s="212"/>
    </x:row>
    <x:row r="251">
      <x:c r="D251" s="35"/>
      <x:c r="E251" s="35"/>
      <x:c r="F251" s="35"/>
      <x:c r="G251" s="35"/>
      <x:c r="H251" s="35"/>
      <x:c r="I251" s="35"/>
      <x:c r="J251" s="35"/>
      <x:c r="K251" s="35"/>
      <x:c r="L251" s="35"/>
      <x:c r="M251" s="35"/>
      <x:c r="N251" s="35"/>
      <x:c r="O251" s="35"/>
      <x:c r="P251" s="35"/>
      <x:c r="Q251" s="35"/>
      <x:c r="R251" s="35"/>
      <x:c r="S251" s="35"/>
      <x:c r="T251" s="35"/>
      <x:c r="U251" s="35"/>
      <x:c r="V251" s="35"/>
      <x:c r="W251" s="212"/>
    </x:row>
    <x:row r="252">
      <x:c r="D252" s="35"/>
      <x:c r="E252" s="35"/>
      <x:c r="F252" s="35"/>
      <x:c r="G252" s="35"/>
      <x:c r="H252" s="35"/>
      <x:c r="I252" s="35"/>
      <x:c r="J252" s="35"/>
      <x:c r="K252" s="35"/>
      <x:c r="L252" s="35"/>
      <x:c r="M252" s="35"/>
      <x:c r="N252" s="35"/>
      <x:c r="O252" s="35"/>
      <x:c r="P252" s="35"/>
      <x:c r="Q252" s="35"/>
      <x:c r="R252" s="35"/>
      <x:c r="S252" s="35"/>
      <x:c r="T252" s="35"/>
      <x:c r="U252" s="35"/>
      <x:c r="V252" s="35"/>
      <x:c r="W252" s="212"/>
    </x:row>
    <x:row r="253">
      <x:c r="D253" s="35"/>
      <x:c r="E253" s="35"/>
      <x:c r="F253" s="35"/>
      <x:c r="G253" s="35"/>
      <x:c r="H253" s="35"/>
      <x:c r="I253" s="35"/>
      <x:c r="J253" s="35"/>
      <x:c r="K253" s="35"/>
      <x:c r="L253" s="35"/>
      <x:c r="M253" s="35"/>
      <x:c r="N253" s="35"/>
      <x:c r="O253" s="35"/>
      <x:c r="P253" s="35"/>
      <x:c r="Q253" s="35"/>
      <x:c r="R253" s="35"/>
      <x:c r="S253" s="35"/>
      <x:c r="T253" s="35"/>
      <x:c r="U253" s="35"/>
      <x:c r="V253" s="35"/>
      <x:c r="W253" s="212"/>
    </x:row>
    <x:row r="254">
      <x:c r="D254" s="35"/>
      <x:c r="E254" s="35"/>
      <x:c r="F254" s="35"/>
      <x:c r="G254" s="35"/>
      <x:c r="H254" s="35"/>
      <x:c r="I254" s="35"/>
      <x:c r="J254" s="35"/>
      <x:c r="K254" s="35"/>
      <x:c r="L254" s="35"/>
      <x:c r="M254" s="35"/>
      <x:c r="N254" s="35"/>
      <x:c r="O254" s="35"/>
      <x:c r="P254" s="35"/>
      <x:c r="Q254" s="35"/>
      <x:c r="R254" s="35"/>
      <x:c r="S254" s="35"/>
      <x:c r="T254" s="35"/>
      <x:c r="U254" s="35"/>
      <x:c r="V254" s="35"/>
      <x:c r="W254" s="212"/>
    </x:row>
    <x:row r="255">
      <x:c r="D255" s="35"/>
      <x:c r="E255" s="35"/>
      <x:c r="F255" s="35"/>
      <x:c r="G255" s="35"/>
      <x:c r="H255" s="35"/>
      <x:c r="I255" s="35"/>
      <x:c r="J255" s="35"/>
      <x:c r="K255" s="35"/>
      <x:c r="L255" s="35"/>
      <x:c r="M255" s="35"/>
      <x:c r="N255" s="35"/>
      <x:c r="O255" s="35"/>
      <x:c r="P255" s="35"/>
      <x:c r="Q255" s="35"/>
      <x:c r="R255" s="35"/>
      <x:c r="S255" s="35"/>
      <x:c r="T255" s="35"/>
      <x:c r="U255" s="35"/>
      <x:c r="V255" s="35"/>
      <x:c r="W255" s="212"/>
    </x:row>
    <x:row r="256">
      <x:c r="D256" s="35"/>
      <x:c r="E256" s="35"/>
      <x:c r="F256" s="35"/>
      <x:c r="G256" s="35"/>
      <x:c r="H256" s="35"/>
      <x:c r="I256" s="35"/>
      <x:c r="J256" s="35"/>
      <x:c r="K256" s="35"/>
      <x:c r="L256" s="35"/>
      <x:c r="M256" s="35"/>
      <x:c r="N256" s="35"/>
      <x:c r="O256" s="35"/>
      <x:c r="P256" s="35"/>
      <x:c r="Q256" s="35"/>
      <x:c r="R256" s="35"/>
      <x:c r="S256" s="35"/>
      <x:c r="T256" s="35"/>
      <x:c r="U256" s="35"/>
      <x:c r="V256" s="35"/>
      <x:c r="W256" s="212"/>
    </x:row>
    <x:row r="257">
      <x:c r="D257" s="35"/>
      <x:c r="E257" s="35"/>
      <x:c r="F257" s="35"/>
      <x:c r="G257" s="35"/>
      <x:c r="H257" s="35"/>
      <x:c r="I257" s="35"/>
      <x:c r="J257" s="35"/>
      <x:c r="K257" s="35"/>
      <x:c r="L257" s="35"/>
      <x:c r="M257" s="35"/>
      <x:c r="N257" s="35"/>
      <x:c r="O257" s="35"/>
      <x:c r="P257" s="35"/>
      <x:c r="Q257" s="35"/>
      <x:c r="R257" s="35"/>
      <x:c r="S257" s="35"/>
      <x:c r="T257" s="35"/>
      <x:c r="U257" s="35"/>
      <x:c r="V257" s="35"/>
      <x:c r="W257" s="212"/>
    </x:row>
    <x:row r="258">
      <x:c r="D258" s="35"/>
      <x:c r="E258" s="35"/>
      <x:c r="F258" s="35"/>
      <x:c r="G258" s="35"/>
      <x:c r="H258" s="35"/>
      <x:c r="I258" s="35"/>
      <x:c r="J258" s="35"/>
      <x:c r="K258" s="35"/>
      <x:c r="L258" s="35"/>
      <x:c r="M258" s="35"/>
      <x:c r="N258" s="35"/>
      <x:c r="O258" s="35"/>
      <x:c r="P258" s="35"/>
      <x:c r="Q258" s="35"/>
      <x:c r="R258" s="35"/>
      <x:c r="S258" s="35"/>
      <x:c r="T258" s="35"/>
      <x:c r="U258" s="35"/>
      <x:c r="V258" s="35"/>
      <x:c r="W258" s="212"/>
    </x:row>
    <x:row r="259">
      <x:c r="D259" s="35"/>
      <x:c r="E259" s="35"/>
      <x:c r="F259" s="35"/>
      <x:c r="G259" s="35"/>
      <x:c r="H259" s="35"/>
      <x:c r="I259" s="35"/>
      <x:c r="J259" s="35"/>
      <x:c r="K259" s="35"/>
      <x:c r="L259" s="35"/>
      <x:c r="M259" s="35"/>
      <x:c r="N259" s="35"/>
      <x:c r="O259" s="35"/>
      <x:c r="P259" s="35"/>
      <x:c r="Q259" s="35"/>
      <x:c r="R259" s="35"/>
      <x:c r="S259" s="35"/>
      <x:c r="T259" s="35"/>
      <x:c r="U259" s="35"/>
      <x:c r="V259" s="35"/>
      <x:c r="W259" s="212"/>
    </x:row>
    <x:row r="260">
      <x:c r="D260" s="35"/>
      <x:c r="E260" s="35"/>
      <x:c r="F260" s="35"/>
      <x:c r="G260" s="35"/>
      <x:c r="H260" s="35"/>
      <x:c r="I260" s="35"/>
      <x:c r="J260" s="35"/>
      <x:c r="K260" s="35"/>
      <x:c r="L260" s="35"/>
      <x:c r="M260" s="35"/>
      <x:c r="N260" s="35"/>
      <x:c r="O260" s="35"/>
      <x:c r="P260" s="35"/>
      <x:c r="Q260" s="35"/>
      <x:c r="R260" s="35"/>
      <x:c r="S260" s="35"/>
      <x:c r="T260" s="35"/>
      <x:c r="U260" s="35"/>
      <x:c r="V260" s="35"/>
      <x:c r="W260" s="212"/>
    </x:row>
    <x:row r="261">
      <x:c r="D261" s="35"/>
      <x:c r="E261" s="35"/>
      <x:c r="F261" s="35"/>
      <x:c r="G261" s="35"/>
      <x:c r="H261" s="35"/>
      <x:c r="I261" s="35"/>
      <x:c r="J261" s="35"/>
      <x:c r="K261" s="35"/>
      <x:c r="L261" s="35"/>
      <x:c r="M261" s="35"/>
      <x:c r="N261" s="35"/>
      <x:c r="O261" s="35"/>
      <x:c r="P261" s="35"/>
      <x:c r="Q261" s="35"/>
      <x:c r="R261" s="35"/>
      <x:c r="S261" s="35"/>
      <x:c r="T261" s="35"/>
      <x:c r="U261" s="35"/>
      <x:c r="V261" s="35"/>
      <x:c r="W261" s="212"/>
    </x:row>
    <x:row r="262">
      <x:c r="D262" s="35"/>
      <x:c r="E262" s="35"/>
      <x:c r="F262" s="35"/>
      <x:c r="G262" s="35"/>
      <x:c r="H262" s="35"/>
      <x:c r="I262" s="35"/>
      <x:c r="J262" s="35"/>
      <x:c r="K262" s="35"/>
      <x:c r="L262" s="35"/>
      <x:c r="M262" s="35"/>
      <x:c r="N262" s="35"/>
      <x:c r="O262" s="35"/>
      <x:c r="P262" s="35"/>
      <x:c r="Q262" s="35"/>
      <x:c r="R262" s="35"/>
      <x:c r="S262" s="35"/>
      <x:c r="T262" s="35"/>
      <x:c r="U262" s="35"/>
      <x:c r="V262" s="35"/>
      <x:c r="W262" s="212"/>
    </x:row>
    <x:row r="263">
      <x:c r="D263" s="35"/>
      <x:c r="E263" s="35"/>
      <x:c r="F263" s="35"/>
      <x:c r="G263" s="35"/>
      <x:c r="H263" s="35"/>
      <x:c r="I263" s="35"/>
      <x:c r="J263" s="35"/>
      <x:c r="K263" s="35"/>
      <x:c r="L263" s="35"/>
      <x:c r="M263" s="35"/>
      <x:c r="N263" s="35"/>
      <x:c r="O263" s="35"/>
      <x:c r="P263" s="35"/>
      <x:c r="Q263" s="35"/>
      <x:c r="R263" s="35"/>
      <x:c r="S263" s="35"/>
      <x:c r="T263" s="35"/>
      <x:c r="U263" s="35"/>
      <x:c r="V263" s="35"/>
      <x:c r="W263" s="212"/>
    </x:row>
    <x:row r="264">
      <x:c r="D264" s="35"/>
      <x:c r="E264" s="35"/>
      <x:c r="F264" s="35"/>
      <x:c r="G264" s="35"/>
      <x:c r="H264" s="35"/>
      <x:c r="I264" s="35"/>
      <x:c r="J264" s="35"/>
      <x:c r="K264" s="35"/>
      <x:c r="L264" s="35"/>
      <x:c r="M264" s="35"/>
      <x:c r="N264" s="35"/>
      <x:c r="O264" s="35"/>
      <x:c r="P264" s="35"/>
      <x:c r="Q264" s="35"/>
      <x:c r="R264" s="35"/>
      <x:c r="S264" s="35"/>
      <x:c r="T264" s="35"/>
      <x:c r="U264" s="35"/>
      <x:c r="V264" s="35"/>
      <x:c r="W264" s="212"/>
    </x:row>
    <x:row r="265">
      <x:c r="D265" s="35"/>
      <x:c r="E265" s="35"/>
      <x:c r="F265" s="35"/>
      <x:c r="G265" s="35"/>
      <x:c r="H265" s="35"/>
      <x:c r="I265" s="35"/>
      <x:c r="J265" s="35"/>
      <x:c r="K265" s="35"/>
      <x:c r="L265" s="35"/>
      <x:c r="M265" s="35"/>
      <x:c r="N265" s="35"/>
      <x:c r="O265" s="35"/>
      <x:c r="P265" s="35"/>
      <x:c r="Q265" s="35"/>
      <x:c r="R265" s="35"/>
      <x:c r="S265" s="35"/>
      <x:c r="T265" s="35"/>
      <x:c r="U265" s="35"/>
      <x:c r="V265" s="35"/>
      <x:c r="W265" s="212"/>
    </x:row>
    <x:row r="266">
      <x:c r="D266" s="35"/>
      <x:c r="E266" s="35"/>
      <x:c r="F266" s="35"/>
      <x:c r="G266" s="35"/>
      <x:c r="H266" s="35"/>
      <x:c r="I266" s="35"/>
      <x:c r="J266" s="35"/>
      <x:c r="K266" s="35"/>
      <x:c r="L266" s="35"/>
      <x:c r="M266" s="35"/>
      <x:c r="N266" s="35"/>
      <x:c r="O266" s="35"/>
      <x:c r="P266" s="35"/>
      <x:c r="Q266" s="35"/>
      <x:c r="R266" s="35"/>
      <x:c r="S266" s="35"/>
      <x:c r="T266" s="35"/>
      <x:c r="U266" s="35"/>
      <x:c r="V266" s="35"/>
      <x:c r="W266" s="212"/>
    </x:row>
    <x:row r="267">
      <x:c r="D267" s="35"/>
      <x:c r="E267" s="35"/>
      <x:c r="F267" s="35"/>
      <x:c r="G267" s="35"/>
      <x:c r="H267" s="35"/>
      <x:c r="I267" s="35"/>
      <x:c r="J267" s="35"/>
      <x:c r="K267" s="35"/>
      <x:c r="L267" s="35"/>
      <x:c r="M267" s="35"/>
      <x:c r="N267" s="35"/>
      <x:c r="O267" s="35"/>
      <x:c r="P267" s="35"/>
      <x:c r="Q267" s="35"/>
      <x:c r="R267" s="35"/>
      <x:c r="S267" s="35"/>
      <x:c r="T267" s="35"/>
      <x:c r="U267" s="35"/>
      <x:c r="V267" s="35"/>
      <x:c r="W267" s="212"/>
    </x:row>
    <x:row r="268">
      <x:c r="D268" s="35"/>
      <x:c r="E268" s="35"/>
      <x:c r="F268" s="35"/>
      <x:c r="G268" s="35"/>
      <x:c r="H268" s="35"/>
      <x:c r="I268" s="35"/>
      <x:c r="J268" s="35"/>
      <x:c r="K268" s="35"/>
      <x:c r="L268" s="35"/>
      <x:c r="M268" s="35"/>
      <x:c r="N268" s="35"/>
      <x:c r="O268" s="35"/>
      <x:c r="P268" s="35"/>
      <x:c r="Q268" s="35"/>
      <x:c r="R268" s="35"/>
      <x:c r="S268" s="35"/>
      <x:c r="T268" s="35"/>
      <x:c r="U268" s="35"/>
      <x:c r="V268" s="35"/>
      <x:c r="W268" s="212"/>
    </x:row>
    <x:row r="269">
      <x:c r="D269" s="35"/>
      <x:c r="E269" s="35"/>
      <x:c r="F269" s="35"/>
      <x:c r="G269" s="35"/>
      <x:c r="H269" s="35"/>
      <x:c r="I269" s="35"/>
      <x:c r="J269" s="35"/>
      <x:c r="K269" s="35"/>
      <x:c r="L269" s="35"/>
      <x:c r="M269" s="35"/>
      <x:c r="N269" s="35"/>
      <x:c r="O269" s="35"/>
      <x:c r="P269" s="35"/>
      <x:c r="Q269" s="35"/>
      <x:c r="R269" s="35"/>
      <x:c r="S269" s="35"/>
      <x:c r="T269" s="35"/>
      <x:c r="U269" s="35"/>
      <x:c r="V269" s="35"/>
      <x:c r="W269" s="212"/>
    </x:row>
    <x:row r="270">
      <x:c r="D270" s="35"/>
      <x:c r="E270" s="35"/>
      <x:c r="F270" s="35"/>
      <x:c r="G270" s="35"/>
      <x:c r="H270" s="35"/>
      <x:c r="I270" s="35"/>
      <x:c r="J270" s="35"/>
      <x:c r="K270" s="35"/>
      <x:c r="L270" s="35"/>
      <x:c r="M270" s="35"/>
      <x:c r="N270" s="35"/>
      <x:c r="O270" s="35"/>
      <x:c r="P270" s="35"/>
      <x:c r="Q270" s="35"/>
      <x:c r="R270" s="35"/>
      <x:c r="S270" s="35"/>
      <x:c r="T270" s="35"/>
      <x:c r="U270" s="35"/>
      <x:c r="V270" s="35"/>
      <x:c r="W270" s="212"/>
    </x:row>
    <x:row r="271">
      <x:c r="D271" s="35"/>
      <x:c r="E271" s="35"/>
      <x:c r="F271" s="35"/>
      <x:c r="G271" s="35"/>
      <x:c r="H271" s="35"/>
      <x:c r="I271" s="35"/>
      <x:c r="J271" s="35"/>
      <x:c r="K271" s="35"/>
      <x:c r="L271" s="35"/>
      <x:c r="M271" s="35"/>
      <x:c r="N271" s="35"/>
      <x:c r="O271" s="35"/>
      <x:c r="P271" s="35"/>
      <x:c r="Q271" s="35"/>
      <x:c r="R271" s="35"/>
      <x:c r="S271" s="35"/>
      <x:c r="T271" s="35"/>
      <x:c r="U271" s="35"/>
      <x:c r="V271" s="35"/>
      <x:c r="W271" s="212"/>
    </x:row>
    <x:row r="272">
      <x:c r="D272" s="35"/>
      <x:c r="E272" s="35"/>
      <x:c r="F272" s="35"/>
      <x:c r="G272" s="35"/>
      <x:c r="H272" s="35"/>
      <x:c r="I272" s="35"/>
      <x:c r="J272" s="35"/>
      <x:c r="K272" s="35"/>
      <x:c r="L272" s="35"/>
      <x:c r="M272" s="35"/>
      <x:c r="N272" s="35"/>
      <x:c r="O272" s="35"/>
      <x:c r="P272" s="35"/>
      <x:c r="Q272" s="35"/>
      <x:c r="R272" s="35"/>
      <x:c r="S272" s="35"/>
      <x:c r="T272" s="35"/>
      <x:c r="U272" s="35"/>
      <x:c r="V272" s="35"/>
      <x:c r="W272" s="212"/>
    </x:row>
    <x:row r="273">
      <x:c r="D273" s="35"/>
      <x:c r="E273" s="35"/>
      <x:c r="F273" s="35"/>
      <x:c r="G273" s="35"/>
      <x:c r="H273" s="35"/>
      <x:c r="I273" s="35"/>
      <x:c r="J273" s="35"/>
      <x:c r="K273" s="35"/>
      <x:c r="L273" s="35"/>
      <x:c r="M273" s="35"/>
      <x:c r="N273" s="35"/>
      <x:c r="O273" s="35"/>
      <x:c r="P273" s="35"/>
      <x:c r="Q273" s="35"/>
      <x:c r="R273" s="35"/>
      <x:c r="S273" s="35"/>
      <x:c r="T273" s="35"/>
      <x:c r="U273" s="35"/>
      <x:c r="V273" s="35"/>
      <x:c r="W273" s="212"/>
    </x:row>
    <x:row r="274">
      <x:c r="D274" s="35"/>
      <x:c r="E274" s="35"/>
      <x:c r="F274" s="35"/>
      <x:c r="G274" s="35"/>
      <x:c r="H274" s="35"/>
      <x:c r="I274" s="35"/>
      <x:c r="J274" s="35"/>
      <x:c r="K274" s="35"/>
      <x:c r="L274" s="35"/>
      <x:c r="M274" s="35"/>
      <x:c r="N274" s="35"/>
      <x:c r="O274" s="35"/>
      <x:c r="P274" s="35"/>
      <x:c r="Q274" s="35"/>
      <x:c r="R274" s="35"/>
      <x:c r="S274" s="35"/>
      <x:c r="T274" s="35"/>
      <x:c r="U274" s="35"/>
      <x:c r="V274" s="35"/>
      <x:c r="W274" s="212"/>
    </x:row>
    <x:row r="275">
      <x:c r="D275" s="35"/>
      <x:c r="E275" s="35"/>
      <x:c r="F275" s="35"/>
      <x:c r="G275" s="35"/>
      <x:c r="H275" s="35"/>
      <x:c r="I275" s="35"/>
      <x:c r="J275" s="35"/>
      <x:c r="K275" s="35"/>
      <x:c r="L275" s="35"/>
      <x:c r="M275" s="35"/>
      <x:c r="N275" s="35"/>
      <x:c r="O275" s="35"/>
      <x:c r="P275" s="35"/>
      <x:c r="Q275" s="35"/>
      <x:c r="R275" s="35"/>
      <x:c r="S275" s="35"/>
      <x:c r="T275" s="35"/>
      <x:c r="U275" s="35"/>
      <x:c r="V275" s="35"/>
      <x:c r="W275" s="212"/>
    </x:row>
    <x:row r="276">
      <x:c r="D276" s="35"/>
      <x:c r="E276" s="35"/>
      <x:c r="F276" s="35"/>
      <x:c r="G276" s="35"/>
      <x:c r="H276" s="35"/>
      <x:c r="I276" s="35"/>
      <x:c r="J276" s="35"/>
      <x:c r="K276" s="35"/>
      <x:c r="L276" s="35"/>
      <x:c r="M276" s="35"/>
      <x:c r="N276" s="35"/>
      <x:c r="O276" s="35"/>
      <x:c r="P276" s="35"/>
      <x:c r="Q276" s="35"/>
      <x:c r="R276" s="35"/>
      <x:c r="S276" s="35"/>
      <x:c r="T276" s="35"/>
      <x:c r="U276" s="35"/>
      <x:c r="V276" s="35"/>
      <x:c r="W276" s="212"/>
    </x:row>
    <x:row r="277">
      <x:c r="D277" s="35"/>
      <x:c r="E277" s="35"/>
      <x:c r="F277" s="35"/>
      <x:c r="G277" s="35"/>
      <x:c r="H277" s="35"/>
      <x:c r="I277" s="35"/>
      <x:c r="J277" s="35"/>
      <x:c r="K277" s="35"/>
      <x:c r="L277" s="35"/>
      <x:c r="M277" s="35"/>
      <x:c r="N277" s="35"/>
      <x:c r="O277" s="35"/>
      <x:c r="P277" s="35"/>
      <x:c r="Q277" s="35"/>
      <x:c r="R277" s="35"/>
      <x:c r="S277" s="35"/>
      <x:c r="T277" s="35"/>
      <x:c r="U277" s="35"/>
      <x:c r="V277" s="35"/>
      <x:c r="W277" s="212"/>
    </x:row>
    <x:row r="278">
      <x:c r="D278" s="35"/>
      <x:c r="E278" s="35"/>
      <x:c r="F278" s="35"/>
      <x:c r="G278" s="35"/>
      <x:c r="H278" s="35"/>
      <x:c r="I278" s="35"/>
      <x:c r="J278" s="35"/>
      <x:c r="K278" s="35"/>
      <x:c r="L278" s="35"/>
      <x:c r="M278" s="35"/>
      <x:c r="N278" s="35"/>
      <x:c r="O278" s="35"/>
      <x:c r="P278" s="35"/>
      <x:c r="Q278" s="35"/>
      <x:c r="R278" s="35"/>
      <x:c r="S278" s="35"/>
      <x:c r="T278" s="35"/>
      <x:c r="U278" s="35"/>
      <x:c r="V278" s="35"/>
      <x:c r="W278" s="212"/>
    </x:row>
    <x:row r="279">
      <x:c r="D279" s="35"/>
      <x:c r="E279" s="35"/>
      <x:c r="F279" s="35"/>
      <x:c r="G279" s="35"/>
      <x:c r="H279" s="35"/>
      <x:c r="I279" s="35"/>
      <x:c r="J279" s="35"/>
      <x:c r="K279" s="35"/>
      <x:c r="L279" s="35"/>
      <x:c r="M279" s="35"/>
      <x:c r="N279" s="35"/>
      <x:c r="O279" s="35"/>
      <x:c r="P279" s="35"/>
      <x:c r="Q279" s="35"/>
      <x:c r="R279" s="35"/>
      <x:c r="S279" s="35"/>
      <x:c r="T279" s="35"/>
      <x:c r="U279" s="35"/>
      <x:c r="V279" s="35"/>
      <x:c r="W279" s="212"/>
    </x:row>
    <x:row r="280">
      <x:c r="D280" s="35"/>
      <x:c r="E280" s="35"/>
      <x:c r="F280" s="35"/>
      <x:c r="G280" s="35"/>
      <x:c r="H280" s="35"/>
      <x:c r="I280" s="35"/>
      <x:c r="J280" s="35"/>
      <x:c r="K280" s="35"/>
      <x:c r="L280" s="35"/>
      <x:c r="M280" s="35"/>
      <x:c r="N280" s="35"/>
      <x:c r="O280" s="35"/>
      <x:c r="P280" s="35"/>
      <x:c r="Q280" s="35"/>
      <x:c r="R280" s="35"/>
      <x:c r="S280" s="35"/>
      <x:c r="T280" s="35"/>
      <x:c r="U280" s="35"/>
      <x:c r="V280" s="35"/>
      <x:c r="W280" s="212"/>
    </x:row>
    <x:row r="281">
      <x:c r="D281" s="35"/>
      <x:c r="E281" s="35"/>
      <x:c r="F281" s="35"/>
      <x:c r="G281" s="35"/>
      <x:c r="H281" s="35"/>
      <x:c r="I281" s="35"/>
      <x:c r="J281" s="35"/>
      <x:c r="K281" s="35"/>
      <x:c r="L281" s="35"/>
      <x:c r="M281" s="35"/>
      <x:c r="N281" s="35"/>
      <x:c r="O281" s="35"/>
      <x:c r="P281" s="35"/>
      <x:c r="Q281" s="35"/>
      <x:c r="R281" s="35"/>
      <x:c r="S281" s="35"/>
      <x:c r="T281" s="35"/>
      <x:c r="U281" s="35"/>
      <x:c r="V281" s="35"/>
      <x:c r="W281" s="212"/>
    </x:row>
    <x:row r="282">
      <x:c r="D282" s="35"/>
      <x:c r="E282" s="35"/>
      <x:c r="F282" s="35"/>
      <x:c r="G282" s="35"/>
      <x:c r="H282" s="35"/>
      <x:c r="I282" s="35"/>
      <x:c r="J282" s="35"/>
      <x:c r="K282" s="35"/>
      <x:c r="L282" s="35"/>
      <x:c r="M282" s="35"/>
      <x:c r="N282" s="35"/>
      <x:c r="O282" s="35"/>
      <x:c r="P282" s="35"/>
      <x:c r="Q282" s="35"/>
      <x:c r="R282" s="35"/>
      <x:c r="S282" s="35"/>
      <x:c r="T282" s="35"/>
      <x:c r="U282" s="35"/>
      <x:c r="V282" s="35"/>
      <x:c r="W282" s="212"/>
    </x:row>
    <x:row r="283">
      <x:c r="D283" s="35"/>
      <x:c r="E283" s="35"/>
      <x:c r="F283" s="35"/>
      <x:c r="G283" s="35"/>
      <x:c r="H283" s="35"/>
      <x:c r="I283" s="35"/>
      <x:c r="J283" s="35"/>
      <x:c r="K283" s="35"/>
      <x:c r="L283" s="35"/>
      <x:c r="M283" s="35"/>
      <x:c r="N283" s="35"/>
      <x:c r="O283" s="35"/>
      <x:c r="P283" s="35"/>
      <x:c r="Q283" s="35"/>
      <x:c r="R283" s="35"/>
      <x:c r="S283" s="35"/>
      <x:c r="T283" s="35"/>
      <x:c r="U283" s="35"/>
      <x:c r="V283" s="35"/>
      <x:c r="W283" s="212"/>
    </x:row>
    <x:row r="284">
      <x:c r="D284" s="35"/>
      <x:c r="E284" s="35"/>
      <x:c r="F284" s="35"/>
      <x:c r="G284" s="35"/>
      <x:c r="H284" s="35"/>
      <x:c r="I284" s="35"/>
      <x:c r="J284" s="35"/>
      <x:c r="K284" s="35"/>
      <x:c r="L284" s="35"/>
      <x:c r="M284" s="35"/>
      <x:c r="N284" s="35"/>
      <x:c r="O284" s="35"/>
      <x:c r="P284" s="35"/>
      <x:c r="Q284" s="35"/>
      <x:c r="R284" s="35"/>
      <x:c r="S284" s="35"/>
      <x:c r="T284" s="35"/>
      <x:c r="U284" s="35"/>
      <x:c r="V284" s="35"/>
      <x:c r="W284" s="212"/>
    </x:row>
    <x:row r="285">
      <x:c r="D285" s="35"/>
      <x:c r="E285" s="35"/>
      <x:c r="F285" s="35"/>
      <x:c r="G285" s="35"/>
      <x:c r="H285" s="35"/>
      <x:c r="I285" s="35"/>
      <x:c r="J285" s="35"/>
      <x:c r="K285" s="35"/>
      <x:c r="L285" s="35"/>
      <x:c r="M285" s="35"/>
      <x:c r="N285" s="35"/>
      <x:c r="O285" s="35"/>
      <x:c r="P285" s="35"/>
      <x:c r="Q285" s="35"/>
      <x:c r="R285" s="35"/>
      <x:c r="S285" s="35"/>
      <x:c r="T285" s="35"/>
      <x:c r="U285" s="35"/>
      <x:c r="V285" s="35"/>
      <x:c r="W285" s="212"/>
    </x:row>
    <x:row r="286">
      <x:c r="D286" s="35"/>
      <x:c r="E286" s="35"/>
      <x:c r="F286" s="35"/>
      <x:c r="G286" s="35"/>
      <x:c r="H286" s="35"/>
      <x:c r="I286" s="35"/>
      <x:c r="J286" s="35"/>
      <x:c r="K286" s="35"/>
      <x:c r="L286" s="35"/>
      <x:c r="M286" s="35"/>
      <x:c r="N286" s="35"/>
      <x:c r="O286" s="35"/>
      <x:c r="P286" s="35"/>
      <x:c r="Q286" s="35"/>
      <x:c r="R286" s="35"/>
      <x:c r="S286" s="35"/>
      <x:c r="T286" s="35"/>
      <x:c r="U286" s="35"/>
      <x:c r="V286" s="35"/>
      <x:c r="W286" s="212"/>
    </x:row>
    <x:row r="287">
      <x:c r="D287" s="35"/>
      <x:c r="E287" s="35"/>
      <x:c r="F287" s="35"/>
      <x:c r="G287" s="35"/>
      <x:c r="H287" s="35"/>
      <x:c r="I287" s="35"/>
      <x:c r="J287" s="35"/>
      <x:c r="K287" s="35"/>
      <x:c r="L287" s="35"/>
      <x:c r="M287" s="35"/>
      <x:c r="N287" s="35"/>
      <x:c r="O287" s="35"/>
      <x:c r="P287" s="35"/>
      <x:c r="Q287" s="35"/>
      <x:c r="R287" s="35"/>
      <x:c r="S287" s="35"/>
      <x:c r="T287" s="35"/>
      <x:c r="U287" s="35"/>
      <x:c r="V287" s="35"/>
      <x:c r="W287" s="212"/>
    </x:row>
    <x:row r="288">
      <x:c r="D288" s="35"/>
      <x:c r="E288" s="35"/>
      <x:c r="F288" s="35"/>
      <x:c r="G288" s="35"/>
      <x:c r="H288" s="35"/>
      <x:c r="I288" s="35"/>
      <x:c r="J288" s="35"/>
      <x:c r="K288" s="35"/>
      <x:c r="L288" s="35"/>
      <x:c r="M288" s="35"/>
      <x:c r="N288" s="35"/>
      <x:c r="O288" s="35"/>
      <x:c r="P288" s="35"/>
      <x:c r="Q288" s="35"/>
      <x:c r="R288" s="35"/>
      <x:c r="S288" s="35"/>
      <x:c r="T288" s="35"/>
      <x:c r="U288" s="35"/>
      <x:c r="V288" s="35"/>
      <x:c r="W288" s="212"/>
    </x:row>
    <x:row r="289">
      <x:c r="D289" s="35"/>
      <x:c r="E289" s="35"/>
      <x:c r="F289" s="35"/>
      <x:c r="G289" s="35"/>
      <x:c r="H289" s="35"/>
      <x:c r="I289" s="35"/>
      <x:c r="J289" s="35"/>
      <x:c r="K289" s="35"/>
      <x:c r="L289" s="35"/>
      <x:c r="M289" s="35"/>
      <x:c r="N289" s="35"/>
      <x:c r="O289" s="35"/>
      <x:c r="P289" s="35"/>
      <x:c r="Q289" s="35"/>
      <x:c r="R289" s="35"/>
      <x:c r="S289" s="35"/>
      <x:c r="T289" s="35"/>
      <x:c r="U289" s="35"/>
      <x:c r="V289" s="35"/>
      <x:c r="W289" s="212"/>
    </x:row>
    <x:row r="290">
      <x:c r="D290" s="35"/>
      <x:c r="E290" s="35"/>
      <x:c r="F290" s="35"/>
      <x:c r="G290" s="35"/>
      <x:c r="H290" s="35"/>
      <x:c r="I290" s="35"/>
      <x:c r="J290" s="35"/>
      <x:c r="K290" s="35"/>
      <x:c r="L290" s="35"/>
      <x:c r="M290" s="35"/>
      <x:c r="N290" s="35"/>
      <x:c r="O290" s="35"/>
      <x:c r="P290" s="35"/>
      <x:c r="Q290" s="35"/>
      <x:c r="R290" s="35"/>
      <x:c r="S290" s="35"/>
      <x:c r="T290" s="35"/>
      <x:c r="U290" s="35"/>
      <x:c r="V290" s="35"/>
      <x:c r="W290" s="212"/>
    </x:row>
    <x:row r="291">
      <x:c r="D291" s="35"/>
      <x:c r="E291" s="35"/>
      <x:c r="F291" s="35"/>
      <x:c r="G291" s="35"/>
      <x:c r="H291" s="35"/>
      <x:c r="I291" s="35"/>
      <x:c r="J291" s="35"/>
      <x:c r="K291" s="35"/>
      <x:c r="L291" s="35"/>
      <x:c r="M291" s="35"/>
      <x:c r="N291" s="35"/>
      <x:c r="O291" s="35"/>
      <x:c r="P291" s="35"/>
      <x:c r="Q291" s="35"/>
      <x:c r="R291" s="35"/>
      <x:c r="S291" s="35"/>
      <x:c r="T291" s="35"/>
      <x:c r="U291" s="35"/>
      <x:c r="V291" s="35"/>
      <x:c r="W291" s="212"/>
    </x:row>
    <x:row r="292">
      <x:c r="D292" s="35"/>
      <x:c r="E292" s="35"/>
      <x:c r="F292" s="35"/>
      <x:c r="G292" s="35"/>
      <x:c r="H292" s="35"/>
      <x:c r="I292" s="35"/>
      <x:c r="J292" s="35"/>
      <x:c r="K292" s="35"/>
      <x:c r="L292" s="35"/>
      <x:c r="M292" s="35"/>
      <x:c r="N292" s="35"/>
      <x:c r="O292" s="35"/>
      <x:c r="P292" s="35"/>
      <x:c r="Q292" s="35"/>
      <x:c r="R292" s="35"/>
      <x:c r="S292" s="35"/>
      <x:c r="T292" s="35"/>
      <x:c r="U292" s="35"/>
      <x:c r="V292" s="35"/>
      <x:c r="W292" s="212"/>
    </x:row>
    <x:row r="293">
      <x:c r="D293" s="35"/>
      <x:c r="E293" s="35"/>
      <x:c r="F293" s="35"/>
      <x:c r="G293" s="35"/>
      <x:c r="H293" s="35"/>
      <x:c r="I293" s="35"/>
      <x:c r="J293" s="35"/>
      <x:c r="K293" s="35"/>
      <x:c r="L293" s="35"/>
      <x:c r="M293" s="35"/>
      <x:c r="N293" s="35"/>
      <x:c r="O293" s="35"/>
      <x:c r="P293" s="35"/>
      <x:c r="Q293" s="35"/>
      <x:c r="R293" s="35"/>
      <x:c r="S293" s="35"/>
      <x:c r="T293" s="35"/>
      <x:c r="U293" s="35"/>
      <x:c r="V293" s="35"/>
      <x:c r="W293" s="212"/>
    </x:row>
    <x:row r="294">
      <x:c r="D294" s="35"/>
      <x:c r="E294" s="35"/>
      <x:c r="F294" s="35"/>
      <x:c r="G294" s="35"/>
      <x:c r="H294" s="35"/>
      <x:c r="I294" s="35"/>
      <x:c r="J294" s="35"/>
      <x:c r="K294" s="35"/>
      <x:c r="L294" s="35"/>
      <x:c r="M294" s="35"/>
      <x:c r="N294" s="35"/>
      <x:c r="O294" s="35"/>
      <x:c r="P294" s="35"/>
      <x:c r="Q294" s="35"/>
      <x:c r="R294" s="35"/>
      <x:c r="S294" s="35"/>
      <x:c r="T294" s="35"/>
      <x:c r="U294" s="35"/>
      <x:c r="V294" s="35"/>
      <x:c r="W294" s="212"/>
    </x:row>
    <x:row r="295">
      <x:c r="D295" s="35"/>
      <x:c r="E295" s="35"/>
      <x:c r="F295" s="35"/>
      <x:c r="G295" s="35"/>
      <x:c r="H295" s="35"/>
      <x:c r="I295" s="35"/>
      <x:c r="J295" s="35"/>
      <x:c r="K295" s="35"/>
      <x:c r="L295" s="35"/>
      <x:c r="M295" s="35"/>
      <x:c r="N295" s="35"/>
      <x:c r="O295" s="35"/>
      <x:c r="P295" s="35"/>
      <x:c r="Q295" s="35"/>
      <x:c r="R295" s="35"/>
      <x:c r="S295" s="35"/>
      <x:c r="T295" s="35"/>
      <x:c r="U295" s="35"/>
      <x:c r="V295" s="35"/>
      <x:c r="W295" s="212"/>
    </x:row>
    <x:row r="296">
      <x:c r="D296" s="35"/>
      <x:c r="E296" s="35"/>
      <x:c r="F296" s="35"/>
      <x:c r="G296" s="35"/>
      <x:c r="H296" s="35"/>
      <x:c r="I296" s="35"/>
      <x:c r="J296" s="35"/>
      <x:c r="K296" s="35"/>
      <x:c r="L296" s="35"/>
      <x:c r="M296" s="35"/>
      <x:c r="N296" s="35"/>
      <x:c r="O296" s="35"/>
      <x:c r="P296" s="35"/>
      <x:c r="Q296" s="35"/>
      <x:c r="R296" s="35"/>
      <x:c r="S296" s="35"/>
      <x:c r="T296" s="35"/>
      <x:c r="U296" s="35"/>
      <x:c r="V296" s="35"/>
      <x:c r="W296" s="212"/>
    </x:row>
    <x:row r="297">
      <x:c r="D297" s="35"/>
      <x:c r="E297" s="35"/>
      <x:c r="F297" s="35"/>
      <x:c r="G297" s="35"/>
      <x:c r="H297" s="35"/>
      <x:c r="I297" s="35"/>
      <x:c r="J297" s="35"/>
      <x:c r="K297" s="35"/>
      <x:c r="L297" s="35"/>
      <x:c r="M297" s="35"/>
      <x:c r="N297" s="35"/>
      <x:c r="O297" s="35"/>
      <x:c r="P297" s="35"/>
      <x:c r="Q297" s="35"/>
      <x:c r="R297" s="35"/>
      <x:c r="S297" s="35"/>
      <x:c r="T297" s="35"/>
      <x:c r="U297" s="35"/>
      <x:c r="V297" s="35"/>
      <x:c r="W297" s="212"/>
    </x:row>
    <x:row r="298">
      <x:c r="D298" s="35"/>
      <x:c r="E298" s="35"/>
      <x:c r="F298" s="35"/>
      <x:c r="G298" s="35"/>
      <x:c r="H298" s="35"/>
      <x:c r="I298" s="35"/>
      <x:c r="J298" s="35"/>
      <x:c r="K298" s="35"/>
      <x:c r="L298" s="35"/>
      <x:c r="M298" s="35"/>
      <x:c r="N298" s="35"/>
      <x:c r="O298" s="35"/>
      <x:c r="P298" s="35"/>
      <x:c r="Q298" s="35"/>
      <x:c r="R298" s="35"/>
      <x:c r="S298" s="35"/>
      <x:c r="T298" s="35"/>
      <x:c r="U298" s="35"/>
      <x:c r="V298" s="35"/>
      <x:c r="W298" s="212"/>
    </x:row>
    <x:row r="299">
      <x:c r="D299" s="35"/>
      <x:c r="E299" s="35"/>
      <x:c r="F299" s="35"/>
      <x:c r="G299" s="35"/>
      <x:c r="H299" s="35"/>
      <x:c r="I299" s="35"/>
      <x:c r="J299" s="35"/>
      <x:c r="K299" s="35"/>
      <x:c r="L299" s="35"/>
      <x:c r="M299" s="35"/>
      <x:c r="N299" s="35"/>
      <x:c r="O299" s="35"/>
      <x:c r="P299" s="35"/>
      <x:c r="Q299" s="35"/>
      <x:c r="R299" s="35"/>
      <x:c r="S299" s="35"/>
      <x:c r="T299" s="35"/>
      <x:c r="U299" s="35"/>
      <x:c r="V299" s="35"/>
      <x:c r="W299" s="212"/>
    </x:row>
    <x:row r="300">
      <x:c r="D300" s="35"/>
      <x:c r="E300" s="35"/>
      <x:c r="F300" s="35"/>
      <x:c r="G300" s="35"/>
      <x:c r="H300" s="35"/>
      <x:c r="I300" s="35"/>
      <x:c r="J300" s="35"/>
      <x:c r="K300" s="35"/>
      <x:c r="L300" s="35"/>
      <x:c r="M300" s="35"/>
      <x:c r="N300" s="35"/>
      <x:c r="O300" s="35"/>
      <x:c r="P300" s="35"/>
      <x:c r="Q300" s="35"/>
      <x:c r="R300" s="35"/>
      <x:c r="S300" s="35"/>
      <x:c r="T300" s="35"/>
      <x:c r="U300" s="35"/>
      <x:c r="V300" s="35"/>
      <x:c r="W300" s="212"/>
    </x:row>
    <x:row r="301">
      <x:c r="D301" s="35"/>
      <x:c r="E301" s="35"/>
      <x:c r="F301" s="35"/>
      <x:c r="G301" s="35"/>
      <x:c r="H301" s="35"/>
      <x:c r="I301" s="35"/>
      <x:c r="J301" s="35"/>
      <x:c r="K301" s="35"/>
      <x:c r="L301" s="35"/>
      <x:c r="M301" s="35"/>
      <x:c r="N301" s="35"/>
      <x:c r="O301" s="35"/>
      <x:c r="P301" s="35"/>
      <x:c r="Q301" s="35"/>
      <x:c r="R301" s="35"/>
      <x:c r="S301" s="35"/>
      <x:c r="T301" s="35"/>
      <x:c r="U301" s="35"/>
      <x:c r="V301" s="35"/>
      <x:c r="W301" s="212"/>
    </x:row>
    <x:row r="302">
      <x:c r="D302" s="35"/>
      <x:c r="E302" s="35"/>
      <x:c r="F302" s="35"/>
      <x:c r="G302" s="35"/>
      <x:c r="H302" s="35"/>
      <x:c r="I302" s="35"/>
      <x:c r="J302" s="35"/>
      <x:c r="K302" s="35"/>
      <x:c r="L302" s="35"/>
      <x:c r="M302" s="35"/>
      <x:c r="N302" s="35"/>
      <x:c r="O302" s="35"/>
      <x:c r="P302" s="35"/>
      <x:c r="Q302" s="35"/>
      <x:c r="R302" s="35"/>
      <x:c r="S302" s="35"/>
      <x:c r="T302" s="35"/>
      <x:c r="U302" s="35"/>
      <x:c r="V302" s="35"/>
      <x:c r="W302" s="212"/>
    </x:row>
    <x:row r="303">
      <x:c r="D303" s="35"/>
      <x:c r="E303" s="35"/>
      <x:c r="F303" s="35"/>
      <x:c r="G303" s="35"/>
      <x:c r="H303" s="35"/>
      <x:c r="I303" s="35"/>
      <x:c r="J303" s="35"/>
      <x:c r="K303" s="35"/>
      <x:c r="L303" s="35"/>
      <x:c r="M303" s="35"/>
      <x:c r="N303" s="35"/>
      <x:c r="O303" s="35"/>
      <x:c r="P303" s="35"/>
      <x:c r="Q303" s="35"/>
      <x:c r="R303" s="35"/>
      <x:c r="S303" s="35"/>
      <x:c r="T303" s="35"/>
      <x:c r="U303" s="35"/>
      <x:c r="V303" s="35"/>
      <x:c r="W303" s="212"/>
    </x:row>
    <x:row r="304">
      <x:c r="D304" s="35"/>
      <x:c r="E304" s="35"/>
      <x:c r="F304" s="35"/>
      <x:c r="G304" s="35"/>
      <x:c r="H304" s="35"/>
      <x:c r="I304" s="35"/>
      <x:c r="J304" s="35"/>
      <x:c r="K304" s="35"/>
      <x:c r="L304" s="35"/>
      <x:c r="M304" s="35"/>
      <x:c r="N304" s="35"/>
      <x:c r="O304" s="35"/>
      <x:c r="P304" s="35"/>
      <x:c r="Q304" s="35"/>
      <x:c r="R304" s="35"/>
      <x:c r="S304" s="35"/>
      <x:c r="T304" s="35"/>
      <x:c r="U304" s="35"/>
      <x:c r="V304" s="35"/>
      <x:c r="W304" s="212"/>
    </x:row>
    <x:row r="305">
      <x:c r="D305" s="35"/>
      <x:c r="E305" s="35"/>
      <x:c r="F305" s="35"/>
      <x:c r="G305" s="35"/>
      <x:c r="H305" s="35"/>
      <x:c r="I305" s="35"/>
      <x:c r="J305" s="35"/>
      <x:c r="K305" s="35"/>
      <x:c r="L305" s="35"/>
      <x:c r="M305" s="35"/>
      <x:c r="N305" s="35"/>
      <x:c r="O305" s="35"/>
      <x:c r="P305" s="35"/>
      <x:c r="Q305" s="35"/>
      <x:c r="R305" s="35"/>
      <x:c r="S305" s="35"/>
      <x:c r="T305" s="35"/>
      <x:c r="U305" s="35"/>
      <x:c r="V305" s="35"/>
      <x:c r="W305" s="212"/>
    </x:row>
    <x:row r="306">
      <x:c r="D306" s="35"/>
      <x:c r="E306" s="35"/>
      <x:c r="F306" s="35"/>
      <x:c r="G306" s="35"/>
      <x:c r="H306" s="35"/>
      <x:c r="I306" s="35"/>
      <x:c r="J306" s="35"/>
      <x:c r="K306" s="35"/>
      <x:c r="L306" s="35"/>
      <x:c r="M306" s="35"/>
      <x:c r="N306" s="35"/>
      <x:c r="O306" s="35"/>
      <x:c r="P306" s="35"/>
      <x:c r="Q306" s="35"/>
      <x:c r="R306" s="35"/>
      <x:c r="S306" s="35"/>
      <x:c r="T306" s="35"/>
      <x:c r="U306" s="35"/>
      <x:c r="V306" s="35"/>
      <x:c r="W306" s="212"/>
    </x:row>
    <x:row r="307">
      <x:c r="D307" s="35"/>
      <x:c r="E307" s="35"/>
      <x:c r="F307" s="35"/>
      <x:c r="G307" s="35"/>
      <x:c r="H307" s="35"/>
      <x:c r="I307" s="35"/>
      <x:c r="J307" s="35"/>
      <x:c r="K307" s="35"/>
      <x:c r="L307" s="35"/>
      <x:c r="M307" s="35"/>
      <x:c r="N307" s="35"/>
      <x:c r="O307" s="35"/>
      <x:c r="P307" s="35"/>
      <x:c r="Q307" s="35"/>
      <x:c r="R307" s="35"/>
      <x:c r="S307" s="35"/>
      <x:c r="T307" s="35"/>
      <x:c r="U307" s="35"/>
      <x:c r="V307" s="35"/>
      <x:c r="W307" s="212"/>
    </x:row>
    <x:row r="308">
      <x:c r="D308" s="35"/>
      <x:c r="E308" s="35"/>
      <x:c r="F308" s="35"/>
      <x:c r="G308" s="35"/>
      <x:c r="H308" s="35"/>
      <x:c r="I308" s="35"/>
      <x:c r="J308" s="35"/>
      <x:c r="K308" s="35"/>
      <x:c r="L308" s="35"/>
      <x:c r="M308" s="35"/>
      <x:c r="N308" s="35"/>
      <x:c r="O308" s="35"/>
      <x:c r="P308" s="35"/>
      <x:c r="Q308" s="35"/>
      <x:c r="R308" s="35"/>
      <x:c r="S308" s="35"/>
      <x:c r="T308" s="35"/>
      <x:c r="U308" s="35"/>
      <x:c r="V308" s="35"/>
      <x:c r="W308" s="212"/>
    </x:row>
    <x:row r="309">
      <x:c r="D309" s="35"/>
      <x:c r="E309" s="35"/>
      <x:c r="F309" s="35"/>
      <x:c r="G309" s="35"/>
      <x:c r="H309" s="35"/>
      <x:c r="I309" s="35"/>
      <x:c r="J309" s="35"/>
      <x:c r="K309" s="35"/>
      <x:c r="L309" s="35"/>
      <x:c r="M309" s="35"/>
      <x:c r="N309" s="35"/>
      <x:c r="O309" s="35"/>
      <x:c r="P309" s="35"/>
      <x:c r="Q309" s="35"/>
      <x:c r="R309" s="35"/>
      <x:c r="S309" s="35"/>
      <x:c r="T309" s="35"/>
      <x:c r="U309" s="35"/>
      <x:c r="V309" s="35"/>
      <x:c r="W309" s="212"/>
    </x:row>
    <x:row r="310">
      <x:c r="D310" s="35"/>
      <x:c r="E310" s="35"/>
      <x:c r="F310" s="35"/>
      <x:c r="G310" s="35"/>
      <x:c r="H310" s="35"/>
      <x:c r="I310" s="35"/>
      <x:c r="J310" s="35"/>
      <x:c r="K310" s="35"/>
      <x:c r="L310" s="35"/>
      <x:c r="M310" s="35"/>
      <x:c r="N310" s="35"/>
      <x:c r="O310" s="35"/>
      <x:c r="P310" s="35"/>
      <x:c r="Q310" s="35"/>
      <x:c r="R310" s="35"/>
      <x:c r="S310" s="35"/>
      <x:c r="T310" s="35"/>
      <x:c r="U310" s="35"/>
      <x:c r="V310" s="35"/>
      <x:c r="W310" s="212"/>
    </x:row>
    <x:row r="311">
      <x:c r="D311" s="35"/>
      <x:c r="E311" s="35"/>
      <x:c r="F311" s="35"/>
      <x:c r="G311" s="35"/>
      <x:c r="H311" s="35"/>
      <x:c r="I311" s="35"/>
      <x:c r="J311" s="35"/>
      <x:c r="K311" s="35"/>
      <x:c r="L311" s="35"/>
      <x:c r="M311" s="35"/>
      <x:c r="N311" s="35"/>
      <x:c r="O311" s="35"/>
      <x:c r="P311" s="35"/>
      <x:c r="Q311" s="35"/>
      <x:c r="R311" s="35"/>
      <x:c r="S311" s="35"/>
      <x:c r="T311" s="35"/>
      <x:c r="U311" s="35"/>
      <x:c r="V311" s="35"/>
      <x:c r="W311" s="212"/>
    </x:row>
    <x:row r="312">
      <x:c r="D312" s="35"/>
      <x:c r="E312" s="35"/>
      <x:c r="F312" s="35"/>
      <x:c r="G312" s="35"/>
      <x:c r="H312" s="35"/>
      <x:c r="I312" s="35"/>
      <x:c r="J312" s="35"/>
      <x:c r="K312" s="35"/>
      <x:c r="L312" s="35"/>
      <x:c r="M312" s="35"/>
      <x:c r="N312" s="35"/>
      <x:c r="O312" s="35"/>
      <x:c r="P312" s="35"/>
      <x:c r="Q312" s="35"/>
      <x:c r="R312" s="35"/>
      <x:c r="S312" s="35"/>
      <x:c r="T312" s="35"/>
      <x:c r="U312" s="35"/>
      <x:c r="V312" s="35"/>
      <x:c r="W312" s="212"/>
    </x:row>
    <x:row r="313">
      <x:c r="D313" s="35"/>
      <x:c r="E313" s="35"/>
      <x:c r="F313" s="35"/>
      <x:c r="G313" s="35"/>
      <x:c r="H313" s="35"/>
      <x:c r="I313" s="35"/>
      <x:c r="J313" s="35"/>
      <x:c r="K313" s="35"/>
      <x:c r="L313" s="35"/>
      <x:c r="M313" s="35"/>
      <x:c r="N313" s="35"/>
      <x:c r="O313" s="35"/>
      <x:c r="P313" s="35"/>
      <x:c r="Q313" s="35"/>
      <x:c r="R313" s="35"/>
      <x:c r="S313" s="35"/>
      <x:c r="T313" s="35"/>
      <x:c r="U313" s="35"/>
      <x:c r="V313" s="35"/>
      <x:c r="W313" s="212"/>
    </x:row>
    <x:row r="314">
      <x:c r="D314" s="35"/>
      <x:c r="E314" s="35"/>
      <x:c r="F314" s="35"/>
      <x:c r="G314" s="35"/>
      <x:c r="H314" s="35"/>
      <x:c r="I314" s="35"/>
      <x:c r="J314" s="35"/>
      <x:c r="K314" s="35"/>
      <x:c r="L314" s="35"/>
      <x:c r="M314" s="35"/>
      <x:c r="N314" s="35"/>
      <x:c r="O314" s="35"/>
      <x:c r="P314" s="35"/>
      <x:c r="Q314" s="35"/>
      <x:c r="R314" s="35"/>
      <x:c r="S314" s="35"/>
      <x:c r="T314" s="35"/>
      <x:c r="U314" s="35"/>
      <x:c r="V314" s="35"/>
      <x:c r="W314" s="212"/>
    </x:row>
    <x:row r="315">
      <x:c r="D315" s="35"/>
      <x:c r="E315" s="35"/>
      <x:c r="F315" s="35"/>
      <x:c r="G315" s="35"/>
      <x:c r="H315" s="35"/>
      <x:c r="I315" s="35"/>
      <x:c r="J315" s="35"/>
      <x:c r="K315" s="35"/>
      <x:c r="L315" s="35"/>
      <x:c r="M315" s="35"/>
      <x:c r="N315" s="35"/>
      <x:c r="O315" s="35"/>
      <x:c r="P315" s="35"/>
      <x:c r="Q315" s="35"/>
      <x:c r="R315" s="35"/>
      <x:c r="S315" s="35"/>
      <x:c r="T315" s="35"/>
      <x:c r="U315" s="35"/>
      <x:c r="V315" s="35"/>
      <x:c r="W315" s="212"/>
    </x:row>
    <x:row r="316">
      <x:c r="D316" s="35"/>
      <x:c r="E316" s="35"/>
      <x:c r="F316" s="35"/>
      <x:c r="G316" s="35"/>
      <x:c r="H316" s="35"/>
      <x:c r="I316" s="35"/>
      <x:c r="J316" s="35"/>
      <x:c r="K316" s="35"/>
      <x:c r="L316" s="35"/>
      <x:c r="M316" s="35"/>
      <x:c r="N316" s="35"/>
      <x:c r="O316" s="35"/>
      <x:c r="P316" s="35"/>
      <x:c r="Q316" s="35"/>
      <x:c r="R316" s="35"/>
      <x:c r="S316" s="35"/>
      <x:c r="T316" s="35"/>
      <x:c r="U316" s="35"/>
      <x:c r="V316" s="35"/>
      <x:c r="W316" s="212"/>
    </x:row>
    <x:row r="317">
      <x:c r="D317" s="35"/>
      <x:c r="E317" s="35"/>
      <x:c r="F317" s="35"/>
      <x:c r="G317" s="35"/>
      <x:c r="H317" s="35"/>
      <x:c r="I317" s="35"/>
      <x:c r="J317" s="35"/>
      <x:c r="K317" s="35"/>
      <x:c r="L317" s="35"/>
      <x:c r="M317" s="35"/>
      <x:c r="N317" s="35"/>
      <x:c r="O317" s="35"/>
      <x:c r="P317" s="35"/>
      <x:c r="Q317" s="35"/>
      <x:c r="R317" s="35"/>
      <x:c r="S317" s="35"/>
      <x:c r="T317" s="35"/>
      <x:c r="U317" s="35"/>
      <x:c r="V317" s="35"/>
      <x:c r="W317" s="212"/>
    </x:row>
    <x:row r="318">
      <x:c r="D318" s="35"/>
      <x:c r="E318" s="35"/>
      <x:c r="F318" s="35"/>
      <x:c r="G318" s="35"/>
      <x:c r="H318" s="35"/>
      <x:c r="I318" s="35"/>
      <x:c r="J318" s="35"/>
      <x:c r="K318" s="35"/>
      <x:c r="L318" s="35"/>
      <x:c r="M318" s="35"/>
      <x:c r="N318" s="35"/>
      <x:c r="O318" s="35"/>
      <x:c r="P318" s="35"/>
      <x:c r="Q318" s="35"/>
      <x:c r="R318" s="35"/>
      <x:c r="S318" s="35"/>
      <x:c r="T318" s="35"/>
      <x:c r="U318" s="35"/>
      <x:c r="V318" s="35"/>
      <x:c r="W318" s="212"/>
    </x:row>
    <x:row r="319">
      <x:c r="D319" s="35"/>
      <x:c r="E319" s="35"/>
      <x:c r="F319" s="35"/>
      <x:c r="G319" s="35"/>
      <x:c r="H319" s="35"/>
      <x:c r="I319" s="35"/>
      <x:c r="J319" s="35"/>
      <x:c r="K319" s="35"/>
      <x:c r="L319" s="35"/>
      <x:c r="M319" s="35"/>
      <x:c r="N319" s="35"/>
      <x:c r="O319" s="35"/>
      <x:c r="P319" s="35"/>
      <x:c r="Q319" s="35"/>
      <x:c r="R319" s="35"/>
      <x:c r="S319" s="35"/>
      <x:c r="T319" s="35"/>
      <x:c r="U319" s="35"/>
      <x:c r="V319" s="35"/>
      <x:c r="W319" s="212"/>
    </x:row>
    <x:row r="320">
      <x:c r="D320" s="35"/>
      <x:c r="E320" s="35"/>
      <x:c r="F320" s="35"/>
      <x:c r="G320" s="35"/>
      <x:c r="H320" s="35"/>
      <x:c r="I320" s="35"/>
      <x:c r="J320" s="35"/>
      <x:c r="K320" s="35"/>
      <x:c r="L320" s="35"/>
      <x:c r="M320" s="35"/>
      <x:c r="N320" s="35"/>
      <x:c r="O320" s="35"/>
      <x:c r="P320" s="35"/>
      <x:c r="Q320" s="35"/>
      <x:c r="R320" s="35"/>
      <x:c r="S320" s="35"/>
      <x:c r="T320" s="35"/>
      <x:c r="U320" s="35"/>
      <x:c r="V320" s="35"/>
      <x:c r="W320" s="212"/>
    </x:row>
    <x:row r="321">
      <x:c r="D321" s="35"/>
      <x:c r="E321" s="35"/>
      <x:c r="F321" s="35"/>
      <x:c r="G321" s="35"/>
      <x:c r="H321" s="35"/>
      <x:c r="I321" s="35"/>
      <x:c r="J321" s="35"/>
      <x:c r="K321" s="35"/>
      <x:c r="L321" s="35"/>
      <x:c r="M321" s="35"/>
      <x:c r="N321" s="35"/>
      <x:c r="O321" s="35"/>
      <x:c r="P321" s="35"/>
      <x:c r="Q321" s="35"/>
      <x:c r="R321" s="35"/>
      <x:c r="S321" s="35"/>
      <x:c r="T321" s="35"/>
      <x:c r="U321" s="35"/>
      <x:c r="V321" s="35"/>
      <x:c r="W321" s="212"/>
    </x:row>
    <x:row r="322">
      <x:c r="D322" s="35"/>
      <x:c r="E322" s="35"/>
      <x:c r="F322" s="35"/>
      <x:c r="G322" s="35"/>
      <x:c r="H322" s="35"/>
      <x:c r="I322" s="35"/>
      <x:c r="J322" s="35"/>
      <x:c r="K322" s="35"/>
      <x:c r="L322" s="35"/>
      <x:c r="M322" s="35"/>
      <x:c r="N322" s="35"/>
      <x:c r="O322" s="35"/>
      <x:c r="P322" s="35"/>
      <x:c r="Q322" s="35"/>
      <x:c r="R322" s="35"/>
      <x:c r="S322" s="35"/>
      <x:c r="T322" s="35"/>
      <x:c r="U322" s="35"/>
      <x:c r="V322" s="35"/>
      <x:c r="W322" s="212"/>
    </x:row>
    <x:row r="323">
      <x:c r="D323" s="35"/>
      <x:c r="E323" s="35"/>
      <x:c r="F323" s="35"/>
      <x:c r="G323" s="35"/>
      <x:c r="H323" s="35"/>
      <x:c r="I323" s="35"/>
      <x:c r="J323" s="35"/>
      <x:c r="K323" s="35"/>
      <x:c r="L323" s="35"/>
      <x:c r="M323" s="35"/>
      <x:c r="N323" s="35"/>
      <x:c r="O323" s="35"/>
      <x:c r="P323" s="35"/>
      <x:c r="Q323" s="35"/>
      <x:c r="R323" s="35"/>
      <x:c r="S323" s="35"/>
      <x:c r="T323" s="35"/>
      <x:c r="U323" s="35"/>
      <x:c r="V323" s="35"/>
      <x:c r="W323" s="212"/>
    </x:row>
    <x:row r="324">
      <x:c r="D324" s="35"/>
      <x:c r="E324" s="35"/>
      <x:c r="F324" s="35"/>
      <x:c r="G324" s="35"/>
      <x:c r="H324" s="35"/>
      <x:c r="I324" s="35"/>
      <x:c r="J324" s="35"/>
      <x:c r="K324" s="35"/>
      <x:c r="L324" s="35"/>
      <x:c r="M324" s="35"/>
      <x:c r="N324" s="35"/>
      <x:c r="O324" s="35"/>
      <x:c r="P324" s="35"/>
      <x:c r="Q324" s="35"/>
      <x:c r="R324" s="35"/>
      <x:c r="S324" s="35"/>
      <x:c r="T324" s="35"/>
      <x:c r="U324" s="35"/>
      <x:c r="V324" s="35"/>
      <x:c r="W324" s="212"/>
    </x:row>
    <x:row r="325">
      <x:c r="D325" s="35"/>
      <x:c r="E325" s="35"/>
      <x:c r="F325" s="35"/>
      <x:c r="G325" s="35"/>
      <x:c r="H325" s="35"/>
      <x:c r="I325" s="35"/>
      <x:c r="J325" s="35"/>
      <x:c r="K325" s="35"/>
      <x:c r="L325" s="35"/>
      <x:c r="M325" s="35"/>
      <x:c r="N325" s="35"/>
      <x:c r="O325" s="35"/>
      <x:c r="P325" s="35"/>
      <x:c r="Q325" s="35"/>
      <x:c r="R325" s="35"/>
      <x:c r="S325" s="35"/>
      <x:c r="T325" s="35"/>
      <x:c r="U325" s="35"/>
      <x:c r="V325" s="35"/>
      <x:c r="W325" s="212"/>
    </x:row>
    <x:row r="326">
      <x:c r="D326" s="35"/>
      <x:c r="E326" s="35"/>
      <x:c r="F326" s="35"/>
      <x:c r="G326" s="35"/>
      <x:c r="H326" s="35"/>
      <x:c r="I326" s="35"/>
      <x:c r="J326" s="35"/>
      <x:c r="K326" s="35"/>
      <x:c r="L326" s="35"/>
      <x:c r="M326" s="35"/>
      <x:c r="N326" s="35"/>
      <x:c r="O326" s="35"/>
      <x:c r="P326" s="35"/>
      <x:c r="Q326" s="35"/>
      <x:c r="R326" s="35"/>
      <x:c r="S326" s="35"/>
      <x:c r="T326" s="35"/>
      <x:c r="U326" s="35"/>
      <x:c r="V326" s="35"/>
      <x:c r="W326" s="212"/>
    </x:row>
    <x:row r="327">
      <x:c r="D327" s="35"/>
      <x:c r="E327" s="35"/>
      <x:c r="F327" s="35"/>
      <x:c r="G327" s="35"/>
      <x:c r="H327" s="35"/>
      <x:c r="I327" s="35"/>
      <x:c r="J327" s="35"/>
      <x:c r="K327" s="35"/>
      <x:c r="L327" s="35"/>
      <x:c r="M327" s="35"/>
      <x:c r="N327" s="35"/>
      <x:c r="O327" s="35"/>
      <x:c r="P327" s="35"/>
      <x:c r="Q327" s="35"/>
      <x:c r="R327" s="35"/>
      <x:c r="S327" s="35"/>
      <x:c r="T327" s="35"/>
      <x:c r="U327" s="35"/>
      <x:c r="V327" s="35"/>
      <x:c r="W327" s="212"/>
    </x:row>
    <x:row r="328">
      <x:c r="D328" s="35"/>
      <x:c r="E328" s="35"/>
      <x:c r="F328" s="35"/>
      <x:c r="G328" s="35"/>
      <x:c r="H328" s="35"/>
      <x:c r="I328" s="35"/>
      <x:c r="J328" s="35"/>
      <x:c r="K328" s="35"/>
      <x:c r="L328" s="35"/>
      <x:c r="M328" s="35"/>
      <x:c r="N328" s="35"/>
      <x:c r="O328" s="35"/>
      <x:c r="P328" s="35"/>
      <x:c r="Q328" s="35"/>
      <x:c r="R328" s="35"/>
      <x:c r="S328" s="35"/>
      <x:c r="T328" s="35"/>
      <x:c r="U328" s="35"/>
      <x:c r="V328" s="35"/>
      <x:c r="W328" s="212"/>
    </x:row>
    <x:row r="329">
      <x:c r="D329" s="35"/>
      <x:c r="E329" s="35"/>
      <x:c r="F329" s="35"/>
      <x:c r="G329" s="35"/>
      <x:c r="H329" s="35"/>
      <x:c r="I329" s="35"/>
      <x:c r="J329" s="35"/>
      <x:c r="K329" s="35"/>
      <x:c r="L329" s="35"/>
      <x:c r="M329" s="35"/>
      <x:c r="N329" s="35"/>
      <x:c r="O329" s="35"/>
      <x:c r="P329" s="35"/>
      <x:c r="Q329" s="35"/>
      <x:c r="R329" s="35"/>
      <x:c r="S329" s="35"/>
      <x:c r="T329" s="35"/>
      <x:c r="U329" s="35"/>
      <x:c r="V329" s="35"/>
      <x:c r="W329" s="212"/>
    </x:row>
    <x:row r="330">
      <x:c r="D330" s="35"/>
      <x:c r="E330" s="35"/>
      <x:c r="F330" s="35"/>
      <x:c r="G330" s="35"/>
      <x:c r="H330" s="35"/>
      <x:c r="I330" s="35"/>
      <x:c r="J330" s="35"/>
      <x:c r="K330" s="35"/>
      <x:c r="L330" s="35"/>
      <x:c r="M330" s="35"/>
      <x:c r="N330" s="35"/>
      <x:c r="O330" s="35"/>
      <x:c r="P330" s="35"/>
      <x:c r="Q330" s="35"/>
      <x:c r="R330" s="35"/>
      <x:c r="S330" s="35"/>
      <x:c r="T330" s="35"/>
      <x:c r="U330" s="35"/>
      <x:c r="V330" s="35"/>
      <x:c r="W330" s="212"/>
    </x:row>
    <x:row r="331">
      <x:c r="D331" s="35"/>
      <x:c r="E331" s="35"/>
      <x:c r="F331" s="35"/>
      <x:c r="G331" s="35"/>
      <x:c r="H331" s="35"/>
      <x:c r="I331" s="35"/>
      <x:c r="J331" s="35"/>
      <x:c r="K331" s="35"/>
      <x:c r="L331" s="35"/>
      <x:c r="M331" s="35"/>
      <x:c r="N331" s="35"/>
      <x:c r="O331" s="35"/>
      <x:c r="P331" s="35"/>
      <x:c r="Q331" s="35"/>
      <x:c r="R331" s="35"/>
      <x:c r="S331" s="35"/>
      <x:c r="T331" s="35"/>
      <x:c r="U331" s="35"/>
      <x:c r="V331" s="35"/>
      <x:c r="W331" s="212"/>
    </x:row>
    <x:row r="332">
      <x:c r="D332" s="35"/>
      <x:c r="E332" s="35"/>
      <x:c r="F332" s="35"/>
      <x:c r="G332" s="35"/>
      <x:c r="H332" s="35"/>
      <x:c r="I332" s="35"/>
      <x:c r="J332" s="35"/>
      <x:c r="K332" s="35"/>
      <x:c r="L332" s="35"/>
      <x:c r="M332" s="35"/>
      <x:c r="N332" s="35"/>
      <x:c r="O332" s="35"/>
      <x:c r="P332" s="35"/>
      <x:c r="Q332" s="35"/>
      <x:c r="R332" s="35"/>
      <x:c r="S332" s="35"/>
      <x:c r="T332" s="35"/>
      <x:c r="U332" s="35"/>
      <x:c r="V332" s="35"/>
      <x:c r="W332" s="212"/>
    </x:row>
    <x:row r="333">
      <x:c r="D333" s="35"/>
      <x:c r="E333" s="35"/>
      <x:c r="F333" s="35"/>
      <x:c r="G333" s="35"/>
      <x:c r="H333" s="35"/>
      <x:c r="I333" s="35"/>
      <x:c r="J333" s="35"/>
      <x:c r="K333" s="35"/>
      <x:c r="L333" s="35"/>
      <x:c r="M333" s="35"/>
      <x:c r="N333" s="35"/>
      <x:c r="O333" s="35"/>
      <x:c r="P333" s="35"/>
      <x:c r="Q333" s="35"/>
      <x:c r="R333" s="35"/>
      <x:c r="S333" s="35"/>
      <x:c r="T333" s="35"/>
      <x:c r="U333" s="35"/>
      <x:c r="V333" s="35"/>
      <x:c r="W333" s="212"/>
    </x:row>
    <x:row r="334">
      <x:c r="D334" s="35"/>
      <x:c r="E334" s="35"/>
      <x:c r="F334" s="35"/>
      <x:c r="G334" s="35"/>
      <x:c r="H334" s="35"/>
      <x:c r="I334" s="35"/>
      <x:c r="J334" s="35"/>
      <x:c r="K334" s="35"/>
      <x:c r="L334" s="35"/>
      <x:c r="M334" s="35"/>
      <x:c r="N334" s="35"/>
      <x:c r="O334" s="35"/>
      <x:c r="P334" s="35"/>
      <x:c r="Q334" s="35"/>
      <x:c r="R334" s="35"/>
      <x:c r="S334" s="35"/>
      <x:c r="T334" s="35"/>
      <x:c r="U334" s="35"/>
      <x:c r="V334" s="35"/>
      <x:c r="W334" s="212"/>
    </x:row>
    <x:row r="335">
      <x:c r="D335" s="35"/>
      <x:c r="E335" s="35"/>
      <x:c r="F335" s="35"/>
      <x:c r="G335" s="35"/>
      <x:c r="H335" s="35"/>
      <x:c r="I335" s="35"/>
      <x:c r="J335" s="35"/>
      <x:c r="K335" s="35"/>
      <x:c r="L335" s="35"/>
      <x:c r="M335" s="35"/>
      <x:c r="N335" s="35"/>
      <x:c r="O335" s="35"/>
      <x:c r="P335" s="35"/>
      <x:c r="Q335" s="35"/>
      <x:c r="R335" s="35"/>
      <x:c r="S335" s="35"/>
      <x:c r="T335" s="35"/>
      <x:c r="U335" s="35"/>
      <x:c r="V335" s="35"/>
      <x:c r="W335" s="212"/>
    </x:row>
    <x:row r="336">
      <x:c r="D336" s="35"/>
      <x:c r="E336" s="35"/>
      <x:c r="F336" s="35"/>
      <x:c r="G336" s="35"/>
      <x:c r="H336" s="35"/>
      <x:c r="I336" s="35"/>
      <x:c r="J336" s="35"/>
      <x:c r="K336" s="35"/>
      <x:c r="L336" s="35"/>
      <x:c r="M336" s="35"/>
      <x:c r="N336" s="35"/>
      <x:c r="O336" s="35"/>
      <x:c r="P336" s="35"/>
      <x:c r="Q336" s="35"/>
      <x:c r="R336" s="35"/>
      <x:c r="S336" s="35"/>
      <x:c r="T336" s="35"/>
      <x:c r="U336" s="35"/>
      <x:c r="V336" s="35"/>
      <x:c r="W336" s="212"/>
    </x:row>
    <x:row r="337">
      <x:c r="D337" s="35"/>
      <x:c r="E337" s="35"/>
      <x:c r="F337" s="35"/>
      <x:c r="G337" s="35"/>
      <x:c r="H337" s="35"/>
      <x:c r="I337" s="35"/>
      <x:c r="J337" s="35"/>
      <x:c r="K337" s="35"/>
      <x:c r="L337" s="35"/>
      <x:c r="M337" s="35"/>
      <x:c r="N337" s="35"/>
      <x:c r="O337" s="35"/>
      <x:c r="P337" s="35"/>
      <x:c r="Q337" s="35"/>
      <x:c r="R337" s="35"/>
      <x:c r="S337" s="35"/>
      <x:c r="T337" s="35"/>
      <x:c r="U337" s="35"/>
      <x:c r="V337" s="35"/>
      <x:c r="W337" s="212"/>
    </x:row>
    <x:row r="338">
      <x:c r="D338" s="35"/>
      <x:c r="E338" s="35"/>
      <x:c r="F338" s="35"/>
      <x:c r="G338" s="35"/>
      <x:c r="H338" s="35"/>
      <x:c r="I338" s="35"/>
      <x:c r="J338" s="35"/>
      <x:c r="K338" s="35"/>
      <x:c r="L338" s="35"/>
      <x:c r="M338" s="35"/>
      <x:c r="N338" s="35"/>
      <x:c r="O338" s="35"/>
      <x:c r="P338" s="35"/>
      <x:c r="Q338" s="35"/>
      <x:c r="R338" s="35"/>
      <x:c r="S338" s="35"/>
      <x:c r="T338" s="35"/>
      <x:c r="U338" s="35"/>
      <x:c r="V338" s="35"/>
      <x:c r="W338" s="212"/>
    </x:row>
    <x:row r="339">
      <x:c r="D339" s="35"/>
      <x:c r="E339" s="35"/>
      <x:c r="F339" s="35"/>
      <x:c r="G339" s="35"/>
      <x:c r="H339" s="35"/>
      <x:c r="I339" s="35"/>
      <x:c r="J339" s="35"/>
      <x:c r="K339" s="35"/>
      <x:c r="L339" s="35"/>
      <x:c r="M339" s="35"/>
      <x:c r="N339" s="35"/>
      <x:c r="O339" s="35"/>
      <x:c r="P339" s="35"/>
      <x:c r="Q339" s="35"/>
      <x:c r="R339" s="35"/>
      <x:c r="S339" s="35"/>
      <x:c r="T339" s="35"/>
      <x:c r="U339" s="35"/>
      <x:c r="V339" s="35"/>
      <x:c r="W339" s="212"/>
    </x:row>
    <x:row r="340">
      <x:c r="D340" s="35"/>
      <x:c r="E340" s="35"/>
      <x:c r="F340" s="35"/>
      <x:c r="G340" s="35"/>
      <x:c r="H340" s="35"/>
      <x:c r="I340" s="35"/>
      <x:c r="J340" s="35"/>
      <x:c r="K340" s="35"/>
      <x:c r="L340" s="35"/>
      <x:c r="M340" s="35"/>
      <x:c r="N340" s="35"/>
      <x:c r="O340" s="35"/>
      <x:c r="P340" s="35"/>
      <x:c r="Q340" s="35"/>
      <x:c r="R340" s="35"/>
      <x:c r="S340" s="35"/>
      <x:c r="T340" s="35"/>
      <x:c r="U340" s="35"/>
      <x:c r="V340" s="35"/>
      <x:c r="W340" s="212"/>
    </x:row>
    <x:row r="341">
      <x:c r="D341" s="35"/>
      <x:c r="E341" s="35"/>
      <x:c r="F341" s="35"/>
      <x:c r="G341" s="35"/>
      <x:c r="H341" s="35"/>
      <x:c r="I341" s="35"/>
      <x:c r="J341" s="35"/>
      <x:c r="K341" s="35"/>
      <x:c r="L341" s="35"/>
      <x:c r="M341" s="35"/>
      <x:c r="N341" s="35"/>
      <x:c r="O341" s="35"/>
      <x:c r="P341" s="35"/>
      <x:c r="Q341" s="35"/>
      <x:c r="R341" s="35"/>
      <x:c r="S341" s="35"/>
      <x:c r="T341" s="35"/>
      <x:c r="U341" s="35"/>
      <x:c r="V341" s="35"/>
      <x:c r="W341" s="212"/>
    </x:row>
    <x:row r="342">
      <x:c r="D342" s="35"/>
      <x:c r="E342" s="35"/>
      <x:c r="F342" s="35"/>
      <x:c r="G342" s="35"/>
      <x:c r="H342" s="35"/>
      <x:c r="I342" s="35"/>
      <x:c r="J342" s="35"/>
      <x:c r="K342" s="35"/>
      <x:c r="L342" s="35"/>
      <x:c r="M342" s="35"/>
      <x:c r="N342" s="35"/>
      <x:c r="O342" s="35"/>
      <x:c r="P342" s="35"/>
      <x:c r="Q342" s="35"/>
      <x:c r="R342" s="35"/>
      <x:c r="S342" s="35"/>
      <x:c r="T342" s="35"/>
      <x:c r="U342" s="35"/>
      <x:c r="V342" s="35"/>
      <x:c r="W342" s="212"/>
    </x:row>
    <x:row r="343">
      <x:c r="D343" s="35"/>
      <x:c r="E343" s="35"/>
      <x:c r="F343" s="35"/>
      <x:c r="G343" s="35"/>
      <x:c r="H343" s="35"/>
      <x:c r="I343" s="35"/>
      <x:c r="J343" s="35"/>
      <x:c r="K343" s="35"/>
      <x:c r="L343" s="35"/>
      <x:c r="M343" s="35"/>
      <x:c r="N343" s="35"/>
      <x:c r="O343" s="35"/>
      <x:c r="P343" s="35"/>
      <x:c r="Q343" s="35"/>
      <x:c r="R343" s="35"/>
      <x:c r="S343" s="35"/>
      <x:c r="T343" s="35"/>
      <x:c r="U343" s="35"/>
      <x:c r="V343" s="35"/>
      <x:c r="W343" s="212"/>
    </x:row>
    <x:row r="344">
      <x:c r="D344" s="35"/>
      <x:c r="E344" s="35"/>
      <x:c r="F344" s="35"/>
      <x:c r="G344" s="35"/>
      <x:c r="H344" s="35"/>
      <x:c r="I344" s="35"/>
      <x:c r="J344" s="35"/>
      <x:c r="K344" s="35"/>
      <x:c r="L344" s="35"/>
      <x:c r="M344" s="35"/>
      <x:c r="N344" s="35"/>
      <x:c r="O344" s="35"/>
      <x:c r="P344" s="35"/>
      <x:c r="Q344" s="35"/>
      <x:c r="R344" s="35"/>
      <x:c r="S344" s="35"/>
      <x:c r="T344" s="35"/>
      <x:c r="U344" s="35"/>
      <x:c r="V344" s="35"/>
      <x:c r="W344" s="212"/>
    </x:row>
    <x:row r="345">
      <x:c r="D345" s="35"/>
      <x:c r="E345" s="35"/>
      <x:c r="F345" s="35"/>
      <x:c r="G345" s="35"/>
      <x:c r="H345" s="35"/>
      <x:c r="I345" s="35"/>
      <x:c r="J345" s="35"/>
      <x:c r="K345" s="35"/>
      <x:c r="L345" s="35"/>
      <x:c r="M345" s="35"/>
      <x:c r="N345" s="35"/>
      <x:c r="O345" s="35"/>
      <x:c r="P345" s="35"/>
      <x:c r="Q345" s="35"/>
      <x:c r="R345" s="35"/>
      <x:c r="S345" s="35"/>
      <x:c r="T345" s="35"/>
      <x:c r="U345" s="35"/>
      <x:c r="V345" s="35"/>
      <x:c r="W345" s="212"/>
    </x:row>
    <x:row r="346">
      <x:c r="D346" s="35"/>
      <x:c r="E346" s="35"/>
      <x:c r="F346" s="35"/>
      <x:c r="G346" s="35"/>
      <x:c r="H346" s="35"/>
      <x:c r="I346" s="35"/>
      <x:c r="J346" s="35"/>
      <x:c r="K346" s="35"/>
      <x:c r="L346" s="35"/>
      <x:c r="M346" s="35"/>
      <x:c r="N346" s="35"/>
      <x:c r="O346" s="35"/>
      <x:c r="P346" s="35"/>
      <x:c r="Q346" s="35"/>
      <x:c r="R346" s="35"/>
      <x:c r="S346" s="35"/>
      <x:c r="T346" s="35"/>
      <x:c r="U346" s="35"/>
      <x:c r="V346" s="35"/>
      <x:c r="W346" s="212"/>
    </x:row>
    <x:row r="347">
      <x:c r="D347" s="35"/>
      <x:c r="E347" s="35"/>
      <x:c r="F347" s="35"/>
      <x:c r="G347" s="35"/>
      <x:c r="H347" s="35"/>
      <x:c r="I347" s="35"/>
      <x:c r="J347" s="35"/>
      <x:c r="K347" s="35"/>
      <x:c r="L347" s="35"/>
      <x:c r="M347" s="35"/>
      <x:c r="N347" s="35"/>
      <x:c r="O347" s="35"/>
      <x:c r="P347" s="35"/>
      <x:c r="Q347" s="35"/>
      <x:c r="R347" s="35"/>
      <x:c r="S347" s="35"/>
      <x:c r="T347" s="35"/>
      <x:c r="U347" s="35"/>
      <x:c r="V347" s="35"/>
      <x:c r="W347" s="212"/>
    </x:row>
    <x:row r="348">
      <x:c r="D348" s="35"/>
      <x:c r="E348" s="35"/>
      <x:c r="F348" s="35"/>
      <x:c r="G348" s="35"/>
      <x:c r="H348" s="35"/>
      <x:c r="I348" s="35"/>
      <x:c r="J348" s="35"/>
      <x:c r="K348" s="35"/>
      <x:c r="L348" s="35"/>
      <x:c r="M348" s="35"/>
      <x:c r="N348" s="35"/>
      <x:c r="O348" s="35"/>
      <x:c r="P348" s="35"/>
      <x:c r="Q348" s="35"/>
      <x:c r="R348" s="35"/>
      <x:c r="S348" s="35"/>
      <x:c r="T348" s="35"/>
      <x:c r="U348" s="35"/>
      <x:c r="V348" s="35"/>
      <x:c r="W348" s="212"/>
    </x:row>
    <x:row r="349">
      <x:c r="D349" s="35"/>
      <x:c r="E349" s="35"/>
      <x:c r="F349" s="35"/>
      <x:c r="G349" s="35"/>
      <x:c r="H349" s="35"/>
      <x:c r="I349" s="35"/>
      <x:c r="J349" s="35"/>
      <x:c r="K349" s="35"/>
      <x:c r="L349" s="35"/>
      <x:c r="M349" s="35"/>
      <x:c r="N349" s="35"/>
      <x:c r="O349" s="35"/>
      <x:c r="P349" s="35"/>
      <x:c r="Q349" s="35"/>
      <x:c r="R349" s="35"/>
      <x:c r="S349" s="35"/>
      <x:c r="T349" s="35"/>
      <x:c r="U349" s="35"/>
      <x:c r="V349" s="35"/>
      <x:c r="W349" s="212"/>
    </x:row>
    <x:row r="350">
      <x:c r="D350" s="35"/>
      <x:c r="E350" s="35"/>
      <x:c r="F350" s="35"/>
      <x:c r="G350" s="35"/>
      <x:c r="H350" s="35"/>
      <x:c r="I350" s="35"/>
      <x:c r="J350" s="35"/>
      <x:c r="K350" s="35"/>
      <x:c r="L350" s="35"/>
      <x:c r="M350" s="35"/>
      <x:c r="N350" s="35"/>
      <x:c r="O350" s="35"/>
      <x:c r="P350" s="35"/>
      <x:c r="Q350" s="35"/>
      <x:c r="R350" s="35"/>
      <x:c r="S350" s="35"/>
      <x:c r="T350" s="35"/>
      <x:c r="U350" s="35"/>
      <x:c r="V350" s="35"/>
      <x:c r="W350" s="212"/>
    </x:row>
    <x:row r="351">
      <x:c r="D351" s="35"/>
      <x:c r="E351" s="35"/>
      <x:c r="F351" s="35"/>
      <x:c r="G351" s="35"/>
      <x:c r="H351" s="35"/>
      <x:c r="I351" s="35"/>
      <x:c r="J351" s="35"/>
      <x:c r="K351" s="35"/>
      <x:c r="L351" s="35"/>
      <x:c r="M351" s="35"/>
      <x:c r="N351" s="35"/>
      <x:c r="O351" s="35"/>
      <x:c r="P351" s="35"/>
      <x:c r="Q351" s="35"/>
      <x:c r="R351" s="35"/>
      <x:c r="S351" s="35"/>
      <x:c r="T351" s="35"/>
      <x:c r="U351" s="35"/>
      <x:c r="V351" s="35"/>
      <x:c r="W351" s="212"/>
    </x:row>
    <x:row r="352">
      <x:c r="D352" s="35"/>
      <x:c r="E352" s="35"/>
      <x:c r="F352" s="35"/>
      <x:c r="G352" s="35"/>
      <x:c r="H352" s="35"/>
      <x:c r="I352" s="35"/>
      <x:c r="J352" s="35"/>
      <x:c r="K352" s="35"/>
      <x:c r="L352" s="35"/>
      <x:c r="M352" s="35"/>
      <x:c r="N352" s="35"/>
      <x:c r="O352" s="35"/>
      <x:c r="P352" s="35"/>
      <x:c r="Q352" s="35"/>
      <x:c r="R352" s="35"/>
      <x:c r="S352" s="35"/>
      <x:c r="T352" s="35"/>
      <x:c r="U352" s="35"/>
      <x:c r="V352" s="35"/>
      <x:c r="W352" s="212"/>
    </x:row>
    <x:row r="353">
      <x:c r="D353" s="35"/>
      <x:c r="E353" s="35"/>
      <x:c r="F353" s="35"/>
      <x:c r="G353" s="35"/>
      <x:c r="H353" s="35"/>
      <x:c r="I353" s="35"/>
      <x:c r="J353" s="35"/>
      <x:c r="K353" s="35"/>
      <x:c r="L353" s="35"/>
      <x:c r="M353" s="35"/>
      <x:c r="N353" s="35"/>
      <x:c r="O353" s="35"/>
      <x:c r="P353" s="35"/>
      <x:c r="Q353" s="35"/>
      <x:c r="R353" s="35"/>
      <x:c r="S353" s="35"/>
      <x:c r="T353" s="35"/>
      <x:c r="U353" s="35"/>
      <x:c r="V353" s="35"/>
      <x:c r="W353" s="212"/>
    </x:row>
    <x:row r="354">
      <x:c r="D354" s="35"/>
      <x:c r="E354" s="35"/>
      <x:c r="F354" s="35"/>
      <x:c r="G354" s="35"/>
      <x:c r="H354" s="35"/>
      <x:c r="I354" s="35"/>
      <x:c r="J354" s="35"/>
      <x:c r="K354" s="35"/>
      <x:c r="L354" s="35"/>
      <x:c r="M354" s="35"/>
      <x:c r="N354" s="35"/>
      <x:c r="O354" s="35"/>
      <x:c r="P354" s="35"/>
      <x:c r="Q354" s="35"/>
      <x:c r="R354" s="35"/>
      <x:c r="S354" s="35"/>
      <x:c r="T354" s="35"/>
      <x:c r="U354" s="35"/>
      <x:c r="V354" s="35"/>
      <x:c r="W354" s="212"/>
    </x:row>
    <x:row r="355">
      <x:c r="D355" s="35"/>
      <x:c r="E355" s="35"/>
      <x:c r="F355" s="35"/>
      <x:c r="G355" s="35"/>
      <x:c r="H355" s="35"/>
      <x:c r="I355" s="35"/>
      <x:c r="J355" s="35"/>
      <x:c r="K355" s="35"/>
      <x:c r="L355" s="35"/>
      <x:c r="M355" s="35"/>
      <x:c r="N355" s="35"/>
      <x:c r="O355" s="35"/>
      <x:c r="P355" s="35"/>
      <x:c r="Q355" s="35"/>
      <x:c r="R355" s="35"/>
      <x:c r="S355" s="35"/>
      <x:c r="T355" s="35"/>
      <x:c r="U355" s="35"/>
      <x:c r="V355" s="35"/>
      <x:c r="W355" s="212"/>
    </x:row>
    <x:row r="356">
      <x:c r="D356" s="35"/>
      <x:c r="E356" s="35"/>
      <x:c r="F356" s="35"/>
      <x:c r="G356" s="35"/>
      <x:c r="H356" s="35"/>
      <x:c r="I356" s="35"/>
      <x:c r="J356" s="35"/>
      <x:c r="K356" s="35"/>
      <x:c r="L356" s="35"/>
      <x:c r="M356" s="35"/>
      <x:c r="N356" s="35"/>
      <x:c r="O356" s="35"/>
      <x:c r="P356" s="35"/>
      <x:c r="Q356" s="35"/>
      <x:c r="R356" s="35"/>
      <x:c r="S356" s="35"/>
      <x:c r="T356" s="35"/>
      <x:c r="U356" s="35"/>
      <x:c r="V356" s="35"/>
      <x:c r="W356" s="212"/>
    </x:row>
    <x:row r="357">
      <x:c r="D357" s="35"/>
      <x:c r="E357" s="35"/>
      <x:c r="F357" s="35"/>
      <x:c r="G357" s="35"/>
      <x:c r="H357" s="35"/>
      <x:c r="I357" s="35"/>
      <x:c r="J357" s="35"/>
      <x:c r="K357" s="35"/>
      <x:c r="L357" s="35"/>
      <x:c r="M357" s="35"/>
      <x:c r="N357" s="35"/>
      <x:c r="O357" s="35"/>
      <x:c r="P357" s="35"/>
      <x:c r="Q357" s="35"/>
      <x:c r="R357" s="35"/>
      <x:c r="S357" s="35"/>
      <x:c r="T357" s="35"/>
      <x:c r="U357" s="35"/>
      <x:c r="V357" s="35"/>
      <x:c r="W357" s="212"/>
    </x:row>
    <x:row r="358">
      <x:c r="D358" s="35"/>
      <x:c r="E358" s="35"/>
      <x:c r="F358" s="35"/>
      <x:c r="G358" s="35"/>
      <x:c r="H358" s="35"/>
      <x:c r="I358" s="35"/>
      <x:c r="J358" s="35"/>
      <x:c r="K358" s="35"/>
      <x:c r="L358" s="35"/>
      <x:c r="M358" s="35"/>
      <x:c r="N358" s="35"/>
      <x:c r="O358" s="35"/>
      <x:c r="P358" s="35"/>
      <x:c r="Q358" s="35"/>
      <x:c r="R358" s="35"/>
      <x:c r="S358" s="35"/>
      <x:c r="T358" s="35"/>
      <x:c r="U358" s="35"/>
      <x:c r="V358" s="35"/>
      <x:c r="W358" s="212"/>
    </x:row>
    <x:row r="359">
      <x:c r="D359" s="35"/>
      <x:c r="E359" s="35"/>
      <x:c r="F359" s="35"/>
      <x:c r="G359" s="35"/>
      <x:c r="H359" s="35"/>
      <x:c r="I359" s="35"/>
      <x:c r="J359" s="35"/>
      <x:c r="K359" s="35"/>
      <x:c r="L359" s="35"/>
      <x:c r="M359" s="35"/>
      <x:c r="N359" s="35"/>
      <x:c r="O359" s="35"/>
      <x:c r="P359" s="35"/>
      <x:c r="Q359" s="35"/>
      <x:c r="R359" s="35"/>
      <x:c r="S359" s="35"/>
      <x:c r="T359" s="35"/>
      <x:c r="U359" s="35"/>
      <x:c r="V359" s="35"/>
      <x:c r="W359" s="212"/>
    </x:row>
    <x:row r="360">
      <x:c r="D360" s="35"/>
      <x:c r="E360" s="35"/>
      <x:c r="F360" s="35"/>
      <x:c r="G360" s="35"/>
      <x:c r="H360" s="35"/>
      <x:c r="I360" s="35"/>
      <x:c r="J360" s="35"/>
      <x:c r="K360" s="35"/>
      <x:c r="L360" s="35"/>
      <x:c r="M360" s="35"/>
      <x:c r="N360" s="35"/>
      <x:c r="O360" s="35"/>
      <x:c r="P360" s="35"/>
      <x:c r="Q360" s="35"/>
      <x:c r="R360" s="35"/>
      <x:c r="S360" s="35"/>
      <x:c r="T360" s="35"/>
      <x:c r="U360" s="35"/>
      <x:c r="V360" s="35"/>
      <x:c r="W360" s="212"/>
    </x:row>
    <x:row r="361">
      <x:c r="D361" s="35"/>
      <x:c r="E361" s="35"/>
      <x:c r="F361" s="35"/>
      <x:c r="G361" s="35"/>
      <x:c r="H361" s="35"/>
      <x:c r="I361" s="35"/>
      <x:c r="J361" s="35"/>
      <x:c r="K361" s="35"/>
      <x:c r="L361" s="35"/>
      <x:c r="M361" s="35"/>
      <x:c r="N361" s="35"/>
      <x:c r="O361" s="35"/>
      <x:c r="P361" s="35"/>
      <x:c r="Q361" s="35"/>
      <x:c r="R361" s="35"/>
      <x:c r="S361" s="35"/>
      <x:c r="T361" s="35"/>
      <x:c r="U361" s="35"/>
      <x:c r="V361" s="35"/>
      <x:c r="W361" s="212"/>
    </x:row>
    <x:row r="362">
      <x:c r="D362" s="35"/>
      <x:c r="E362" s="35"/>
      <x:c r="F362" s="35"/>
      <x:c r="G362" s="35"/>
      <x:c r="H362" s="35"/>
      <x:c r="I362" s="35"/>
      <x:c r="J362" s="35"/>
      <x:c r="K362" s="35"/>
      <x:c r="L362" s="35"/>
      <x:c r="M362" s="35"/>
      <x:c r="N362" s="35"/>
      <x:c r="O362" s="35"/>
      <x:c r="P362" s="35"/>
      <x:c r="Q362" s="35"/>
      <x:c r="R362" s="35"/>
      <x:c r="S362" s="35"/>
      <x:c r="T362" s="35"/>
      <x:c r="U362" s="35"/>
      <x:c r="V362" s="35"/>
      <x:c r="W362" s="212"/>
    </x:row>
    <x:row r="363">
      <x:c r="D363" s="35"/>
      <x:c r="E363" s="35"/>
      <x:c r="F363" s="35"/>
      <x:c r="G363" s="35"/>
      <x:c r="H363" s="35"/>
      <x:c r="I363" s="35"/>
      <x:c r="J363" s="35"/>
      <x:c r="K363" s="35"/>
      <x:c r="L363" s="35"/>
      <x:c r="M363" s="35"/>
      <x:c r="N363" s="35"/>
      <x:c r="O363" s="35"/>
      <x:c r="P363" s="35"/>
      <x:c r="Q363" s="35"/>
      <x:c r="R363" s="35"/>
      <x:c r="S363" s="35"/>
      <x:c r="T363" s="35"/>
      <x:c r="U363" s="35"/>
      <x:c r="V363" s="35"/>
      <x:c r="W363" s="212"/>
    </x:row>
    <x:row r="364">
      <x:c r="D364" s="35"/>
      <x:c r="E364" s="35"/>
      <x:c r="F364" s="35"/>
      <x:c r="G364" s="35"/>
      <x:c r="H364" s="35"/>
      <x:c r="I364" s="35"/>
      <x:c r="J364" s="35"/>
      <x:c r="K364" s="35"/>
      <x:c r="L364" s="35"/>
      <x:c r="M364" s="35"/>
      <x:c r="N364" s="35"/>
      <x:c r="O364" s="35"/>
      <x:c r="P364" s="35"/>
      <x:c r="Q364" s="35"/>
      <x:c r="R364" s="35"/>
      <x:c r="S364" s="35"/>
      <x:c r="T364" s="35"/>
      <x:c r="U364" s="35"/>
      <x:c r="V364" s="35"/>
      <x:c r="W364" s="212"/>
    </x:row>
    <x:row r="365">
      <x:c r="D365" s="35"/>
      <x:c r="E365" s="35"/>
      <x:c r="F365" s="35"/>
      <x:c r="G365" s="35"/>
      <x:c r="H365" s="35"/>
      <x:c r="I365" s="35"/>
      <x:c r="J365" s="35"/>
      <x:c r="K365" s="35"/>
      <x:c r="L365" s="35"/>
      <x:c r="M365" s="35"/>
      <x:c r="N365" s="35"/>
      <x:c r="O365" s="35"/>
      <x:c r="P365" s="35"/>
      <x:c r="Q365" s="35"/>
      <x:c r="R365" s="35"/>
      <x:c r="S365" s="35"/>
      <x:c r="T365" s="35"/>
      <x:c r="U365" s="35"/>
      <x:c r="V365" s="35"/>
      <x:c r="W365" s="212"/>
    </x:row>
    <x:row r="366">
      <x:c r="D366" s="35"/>
      <x:c r="E366" s="35"/>
      <x:c r="F366" s="35"/>
      <x:c r="G366" s="35"/>
      <x:c r="H366" s="35"/>
      <x:c r="I366" s="35"/>
      <x:c r="J366" s="35"/>
      <x:c r="K366" s="35"/>
      <x:c r="L366" s="35"/>
      <x:c r="M366" s="35"/>
      <x:c r="N366" s="35"/>
      <x:c r="O366" s="35"/>
      <x:c r="P366" s="35"/>
      <x:c r="Q366" s="35"/>
      <x:c r="R366" s="35"/>
      <x:c r="S366" s="35"/>
      <x:c r="T366" s="35"/>
      <x:c r="U366" s="35"/>
      <x:c r="V366" s="35"/>
      <x:c r="W366" s="212"/>
    </x:row>
    <x:row r="367">
      <x:c r="D367" s="35"/>
      <x:c r="E367" s="35"/>
      <x:c r="F367" s="35"/>
      <x:c r="G367" s="35"/>
      <x:c r="H367" s="35"/>
      <x:c r="I367" s="35"/>
      <x:c r="J367" s="35"/>
      <x:c r="K367" s="35"/>
      <x:c r="L367" s="35"/>
      <x:c r="M367" s="35"/>
      <x:c r="N367" s="35"/>
      <x:c r="O367" s="35"/>
      <x:c r="P367" s="35"/>
      <x:c r="Q367" s="35"/>
      <x:c r="R367" s="35"/>
      <x:c r="S367" s="35"/>
      <x:c r="T367" s="35"/>
      <x:c r="U367" s="35"/>
      <x:c r="V367" s="35"/>
      <x:c r="W367" s="212"/>
    </x:row>
    <x:row r="368">
      <x:c r="D368" s="35"/>
      <x:c r="E368" s="35"/>
      <x:c r="F368" s="35"/>
      <x:c r="G368" s="35"/>
      <x:c r="H368" s="35"/>
      <x:c r="I368" s="35"/>
      <x:c r="J368" s="35"/>
      <x:c r="K368" s="35"/>
      <x:c r="L368" s="35"/>
      <x:c r="M368" s="35"/>
      <x:c r="N368" s="35"/>
      <x:c r="O368" s="35"/>
      <x:c r="P368" s="35"/>
      <x:c r="Q368" s="35"/>
      <x:c r="R368" s="35"/>
      <x:c r="S368" s="35"/>
      <x:c r="T368" s="35"/>
      <x:c r="U368" s="35"/>
      <x:c r="V368" s="35"/>
      <x:c r="W368" s="212"/>
    </x:row>
    <x:row r="369">
      <x:c r="D369" s="35"/>
      <x:c r="E369" s="35"/>
      <x:c r="F369" s="35"/>
      <x:c r="G369" s="35"/>
      <x:c r="H369" s="35"/>
      <x:c r="I369" s="35"/>
      <x:c r="J369" s="35"/>
      <x:c r="K369" s="35"/>
      <x:c r="L369" s="35"/>
      <x:c r="M369" s="35"/>
      <x:c r="N369" s="35"/>
      <x:c r="O369" s="35"/>
      <x:c r="P369" s="35"/>
      <x:c r="Q369" s="35"/>
      <x:c r="R369" s="35"/>
      <x:c r="S369" s="35"/>
      <x:c r="T369" s="35"/>
      <x:c r="U369" s="35"/>
      <x:c r="V369" s="35"/>
      <x:c r="W369" s="212"/>
    </x:row>
    <x:row r="370">
      <x:c r="D370" s="35"/>
      <x:c r="E370" s="35"/>
      <x:c r="F370" s="35"/>
      <x:c r="G370" s="35"/>
      <x:c r="H370" s="35"/>
      <x:c r="I370" s="35"/>
      <x:c r="J370" s="35"/>
      <x:c r="K370" s="35"/>
      <x:c r="L370" s="35"/>
      <x:c r="M370" s="35"/>
      <x:c r="N370" s="35"/>
      <x:c r="O370" s="35"/>
      <x:c r="P370" s="35"/>
      <x:c r="Q370" s="35"/>
      <x:c r="R370" s="35"/>
      <x:c r="S370" s="35"/>
      <x:c r="T370" s="35"/>
      <x:c r="U370" s="35"/>
      <x:c r="V370" s="35"/>
      <x:c r="W370" s="212"/>
    </x:row>
    <x:row r="371">
      <x:c r="D371" s="35"/>
      <x:c r="E371" s="35"/>
      <x:c r="F371" s="35"/>
      <x:c r="G371" s="35"/>
      <x:c r="H371" s="35"/>
      <x:c r="I371" s="35"/>
      <x:c r="J371" s="35"/>
      <x:c r="K371" s="35"/>
      <x:c r="L371" s="35"/>
      <x:c r="M371" s="35"/>
      <x:c r="N371" s="35"/>
      <x:c r="O371" s="35"/>
      <x:c r="P371" s="35"/>
      <x:c r="Q371" s="35"/>
      <x:c r="R371" s="35"/>
      <x:c r="S371" s="35"/>
      <x:c r="T371" s="35"/>
      <x:c r="U371" s="35"/>
      <x:c r="V371" s="35"/>
      <x:c r="W371" s="212"/>
    </x:row>
    <x:row r="372">
      <x:c r="D372" s="35"/>
      <x:c r="E372" s="35"/>
      <x:c r="F372" s="35"/>
      <x:c r="G372" s="35"/>
      <x:c r="H372" s="35"/>
      <x:c r="I372" s="35"/>
      <x:c r="J372" s="35"/>
      <x:c r="K372" s="35"/>
      <x:c r="L372" s="35"/>
      <x:c r="M372" s="35"/>
      <x:c r="N372" s="35"/>
      <x:c r="O372" s="35"/>
      <x:c r="P372" s="35"/>
      <x:c r="Q372" s="35"/>
      <x:c r="R372" s="35"/>
      <x:c r="S372" s="35"/>
      <x:c r="T372" s="35"/>
      <x:c r="U372" s="35"/>
      <x:c r="V372" s="35"/>
      <x:c r="W372" s="212"/>
    </x:row>
    <x:row r="373">
      <x:c r="D373" s="35"/>
      <x:c r="E373" s="35"/>
      <x:c r="F373" s="35"/>
      <x:c r="G373" s="35"/>
      <x:c r="H373" s="35"/>
      <x:c r="I373" s="35"/>
      <x:c r="J373" s="35"/>
      <x:c r="K373" s="35"/>
      <x:c r="L373" s="35"/>
      <x:c r="M373" s="35"/>
      <x:c r="N373" s="35"/>
      <x:c r="O373" s="35"/>
      <x:c r="P373" s="35"/>
      <x:c r="Q373" s="35"/>
      <x:c r="R373" s="35"/>
      <x:c r="S373" s="35"/>
      <x:c r="T373" s="35"/>
      <x:c r="U373" s="35"/>
      <x:c r="V373" s="35"/>
      <x:c r="W373" s="212"/>
    </x:row>
    <x:row r="374">
      <x:c r="D374" s="35"/>
      <x:c r="E374" s="35"/>
      <x:c r="F374" s="35"/>
      <x:c r="G374" s="35"/>
      <x:c r="H374" s="35"/>
      <x:c r="I374" s="35"/>
      <x:c r="J374" s="35"/>
      <x:c r="K374" s="35"/>
      <x:c r="L374" s="35"/>
      <x:c r="M374" s="35"/>
      <x:c r="N374" s="35"/>
      <x:c r="O374" s="35"/>
      <x:c r="P374" s="35"/>
      <x:c r="Q374" s="35"/>
      <x:c r="R374" s="35"/>
      <x:c r="S374" s="35"/>
      <x:c r="T374" s="35"/>
      <x:c r="U374" s="35"/>
      <x:c r="V374" s="35"/>
      <x:c r="W374" s="212"/>
    </x:row>
    <x:row r="375">
      <x:c r="D375" s="35"/>
      <x:c r="E375" s="35"/>
      <x:c r="F375" s="35"/>
      <x:c r="G375" s="35"/>
      <x:c r="H375" s="35"/>
      <x:c r="I375" s="35"/>
      <x:c r="J375" s="35"/>
      <x:c r="K375" s="35"/>
      <x:c r="L375" s="35"/>
      <x:c r="M375" s="35"/>
      <x:c r="N375" s="35"/>
      <x:c r="O375" s="35"/>
      <x:c r="P375" s="35"/>
      <x:c r="Q375" s="35"/>
      <x:c r="R375" s="35"/>
      <x:c r="S375" s="35"/>
      <x:c r="T375" s="35"/>
      <x:c r="U375" s="35"/>
      <x:c r="V375" s="35"/>
      <x:c r="W375" s="212"/>
    </x:row>
    <x:row r="376">
      <x:c r="D376" s="35"/>
      <x:c r="E376" s="35"/>
      <x:c r="F376" s="35"/>
      <x:c r="G376" s="35"/>
      <x:c r="H376" s="35"/>
      <x:c r="I376" s="35"/>
      <x:c r="J376" s="35"/>
      <x:c r="K376" s="35"/>
      <x:c r="L376" s="35"/>
      <x:c r="M376" s="35"/>
      <x:c r="N376" s="35"/>
      <x:c r="O376" s="35"/>
      <x:c r="P376" s="35"/>
      <x:c r="Q376" s="35"/>
      <x:c r="R376" s="35"/>
      <x:c r="S376" s="35"/>
      <x:c r="T376" s="35"/>
      <x:c r="U376" s="35"/>
      <x:c r="V376" s="35"/>
      <x:c r="W376" s="212"/>
    </x:row>
    <x:row r="377">
      <x:c r="D377" s="35"/>
      <x:c r="E377" s="35"/>
      <x:c r="F377" s="35"/>
      <x:c r="G377" s="35"/>
      <x:c r="H377" s="35"/>
      <x:c r="I377" s="35"/>
      <x:c r="J377" s="35"/>
      <x:c r="K377" s="35"/>
      <x:c r="L377" s="35"/>
      <x:c r="M377" s="35"/>
      <x:c r="N377" s="35"/>
      <x:c r="O377" s="35"/>
      <x:c r="P377" s="35"/>
      <x:c r="Q377" s="35"/>
      <x:c r="R377" s="35"/>
      <x:c r="S377" s="35"/>
      <x:c r="T377" s="35"/>
      <x:c r="U377" s="35"/>
      <x:c r="V377" s="35"/>
      <x:c r="W377" s="212"/>
    </x:row>
    <x:row r="378">
      <x:c r="D378" s="35"/>
      <x:c r="E378" s="35"/>
      <x:c r="F378" s="35"/>
      <x:c r="G378" s="35"/>
      <x:c r="H378" s="35"/>
      <x:c r="I378" s="35"/>
      <x:c r="J378" s="35"/>
      <x:c r="K378" s="35"/>
      <x:c r="L378" s="35"/>
      <x:c r="M378" s="35"/>
      <x:c r="N378" s="35"/>
      <x:c r="O378" s="35"/>
      <x:c r="P378" s="35"/>
      <x:c r="Q378" s="35"/>
      <x:c r="R378" s="35"/>
      <x:c r="S378" s="35"/>
      <x:c r="T378" s="35"/>
      <x:c r="U378" s="35"/>
      <x:c r="V378" s="35"/>
      <x:c r="W378" s="212"/>
    </x:row>
    <x:row r="379">
      <x:c r="D379" s="35"/>
      <x:c r="E379" s="35"/>
      <x:c r="F379" s="35"/>
      <x:c r="G379" s="35"/>
      <x:c r="H379" s="35"/>
      <x:c r="I379" s="35"/>
      <x:c r="J379" s="35"/>
      <x:c r="K379" s="35"/>
      <x:c r="L379" s="35"/>
      <x:c r="M379" s="35"/>
      <x:c r="N379" s="35"/>
      <x:c r="O379" s="35"/>
      <x:c r="P379" s="35"/>
      <x:c r="Q379" s="35"/>
      <x:c r="R379" s="35"/>
      <x:c r="S379" s="35"/>
      <x:c r="T379" s="35"/>
      <x:c r="U379" s="35"/>
      <x:c r="V379" s="35"/>
      <x:c r="W379" s="212"/>
    </x:row>
    <x:row r="380">
      <x:c r="D380" s="35"/>
      <x:c r="E380" s="35"/>
      <x:c r="F380" s="35"/>
      <x:c r="G380" s="35"/>
      <x:c r="H380" s="35"/>
      <x:c r="I380" s="35"/>
      <x:c r="J380" s="35"/>
      <x:c r="K380" s="35"/>
      <x:c r="L380" s="35"/>
      <x:c r="M380" s="35"/>
      <x:c r="N380" s="35"/>
      <x:c r="O380" s="35"/>
      <x:c r="P380" s="35"/>
      <x:c r="Q380" s="35"/>
      <x:c r="R380" s="35"/>
      <x:c r="S380" s="35"/>
      <x:c r="T380" s="35"/>
      <x:c r="U380" s="35"/>
      <x:c r="V380" s="35"/>
      <x:c r="W380" s="212"/>
    </x:row>
    <x:row r="381">
      <x:c r="D381" s="35"/>
      <x:c r="E381" s="35"/>
      <x:c r="F381" s="35"/>
      <x:c r="G381" s="35"/>
      <x:c r="H381" s="35"/>
      <x:c r="I381" s="35"/>
      <x:c r="J381" s="35"/>
      <x:c r="K381" s="35"/>
      <x:c r="L381" s="35"/>
      <x:c r="M381" s="35"/>
      <x:c r="N381" s="35"/>
      <x:c r="O381" s="35"/>
      <x:c r="P381" s="35"/>
      <x:c r="Q381" s="35"/>
      <x:c r="R381" s="35"/>
      <x:c r="S381" s="35"/>
      <x:c r="T381" s="35"/>
      <x:c r="U381" s="35"/>
      <x:c r="V381" s="35"/>
      <x:c r="W381" s="212"/>
    </x:row>
    <x:row r="382">
      <x:c r="D382" s="35"/>
      <x:c r="E382" s="35"/>
      <x:c r="F382" s="35"/>
      <x:c r="G382" s="35"/>
      <x:c r="H382" s="35"/>
      <x:c r="I382" s="35"/>
      <x:c r="J382" s="35"/>
      <x:c r="K382" s="35"/>
      <x:c r="L382" s="35"/>
      <x:c r="M382" s="35"/>
      <x:c r="N382" s="35"/>
      <x:c r="O382" s="35"/>
      <x:c r="P382" s="35"/>
      <x:c r="Q382" s="35"/>
      <x:c r="R382" s="35"/>
      <x:c r="S382" s="35"/>
      <x:c r="T382" s="35"/>
      <x:c r="U382" s="35"/>
      <x:c r="V382" s="35"/>
      <x:c r="W382" s="212"/>
    </x:row>
    <x:row r="383">
      <x:c r="D383" s="35"/>
      <x:c r="E383" s="35"/>
      <x:c r="F383" s="35"/>
      <x:c r="G383" s="35"/>
      <x:c r="H383" s="35"/>
      <x:c r="I383" s="35"/>
      <x:c r="J383" s="35"/>
      <x:c r="K383" s="35"/>
      <x:c r="L383" s="35"/>
      <x:c r="M383" s="35"/>
      <x:c r="N383" s="35"/>
      <x:c r="O383" s="35"/>
      <x:c r="P383" s="35"/>
      <x:c r="Q383" s="35"/>
      <x:c r="R383" s="35"/>
      <x:c r="S383" s="35"/>
      <x:c r="T383" s="35"/>
      <x:c r="U383" s="35"/>
      <x:c r="V383" s="35"/>
      <x:c r="W383" s="212"/>
    </x:row>
    <x:row r="384">
      <x:c r="D384" s="35"/>
      <x:c r="E384" s="35"/>
      <x:c r="F384" s="35"/>
      <x:c r="G384" s="35"/>
      <x:c r="H384" s="35"/>
      <x:c r="I384" s="35"/>
      <x:c r="J384" s="35"/>
      <x:c r="K384" s="35"/>
      <x:c r="L384" s="35"/>
      <x:c r="M384" s="35"/>
      <x:c r="N384" s="35"/>
      <x:c r="O384" s="35"/>
      <x:c r="P384" s="35"/>
      <x:c r="Q384" s="35"/>
      <x:c r="R384" s="35"/>
      <x:c r="S384" s="35"/>
      <x:c r="T384" s="35"/>
      <x:c r="U384" s="35"/>
      <x:c r="V384" s="35"/>
      <x:c r="W384" s="212"/>
    </x:row>
    <x:row r="385">
      <x:c r="D385" s="35"/>
      <x:c r="E385" s="35"/>
      <x:c r="F385" s="35"/>
      <x:c r="G385" s="35"/>
      <x:c r="H385" s="35"/>
      <x:c r="I385" s="35"/>
      <x:c r="J385" s="35"/>
      <x:c r="K385" s="35"/>
      <x:c r="L385" s="35"/>
      <x:c r="M385" s="35"/>
      <x:c r="N385" s="35"/>
      <x:c r="O385" s="35"/>
      <x:c r="P385" s="35"/>
      <x:c r="Q385" s="35"/>
      <x:c r="R385" s="35"/>
      <x:c r="S385" s="35"/>
      <x:c r="T385" s="35"/>
      <x:c r="U385" s="35"/>
      <x:c r="V385" s="35"/>
      <x:c r="W385" s="212"/>
    </x:row>
    <x:row r="386">
      <x:c r="D386" s="35"/>
      <x:c r="E386" s="35"/>
      <x:c r="F386" s="35"/>
      <x:c r="G386" s="35"/>
      <x:c r="H386" s="35"/>
      <x:c r="I386" s="35"/>
      <x:c r="J386" s="35"/>
      <x:c r="K386" s="35"/>
      <x:c r="L386" s="35"/>
      <x:c r="M386" s="35"/>
      <x:c r="N386" s="35"/>
      <x:c r="O386" s="35"/>
      <x:c r="P386" s="35"/>
      <x:c r="Q386" s="35"/>
      <x:c r="R386" s="35"/>
      <x:c r="S386" s="35"/>
      <x:c r="T386" s="35"/>
      <x:c r="U386" s="35"/>
      <x:c r="V386" s="35"/>
      <x:c r="W386" s="212"/>
    </x:row>
    <x:row r="387">
      <x:c r="D387" s="35"/>
      <x:c r="E387" s="35"/>
      <x:c r="F387" s="35"/>
      <x:c r="G387" s="35"/>
      <x:c r="H387" s="35"/>
      <x:c r="I387" s="35"/>
      <x:c r="J387" s="35"/>
      <x:c r="K387" s="35"/>
      <x:c r="L387" s="35"/>
      <x:c r="M387" s="35"/>
      <x:c r="N387" s="35"/>
      <x:c r="O387" s="35"/>
      <x:c r="P387" s="35"/>
      <x:c r="Q387" s="35"/>
      <x:c r="R387" s="35"/>
      <x:c r="S387" s="35"/>
      <x:c r="T387" s="35"/>
      <x:c r="U387" s="35"/>
      <x:c r="V387" s="35"/>
      <x:c r="W387" s="212"/>
    </x:row>
    <x:row r="388">
      <x:c r="D388" s="35"/>
      <x:c r="E388" s="35"/>
      <x:c r="F388" s="35"/>
      <x:c r="G388" s="35"/>
      <x:c r="H388" s="35"/>
      <x:c r="I388" s="35"/>
      <x:c r="J388" s="35"/>
      <x:c r="K388" s="35"/>
      <x:c r="L388" s="35"/>
      <x:c r="M388" s="35"/>
      <x:c r="N388" s="35"/>
      <x:c r="O388" s="35"/>
      <x:c r="P388" s="35"/>
      <x:c r="Q388" s="35"/>
      <x:c r="R388" s="35"/>
      <x:c r="S388" s="35"/>
      <x:c r="T388" s="35"/>
      <x:c r="U388" s="35"/>
      <x:c r="V388" s="35"/>
      <x:c r="W388" s="212"/>
    </x:row>
    <x:row r="389">
      <x:c r="D389" s="35"/>
      <x:c r="E389" s="35"/>
      <x:c r="F389" s="35"/>
      <x:c r="G389" s="35"/>
      <x:c r="H389" s="35"/>
      <x:c r="I389" s="35"/>
      <x:c r="J389" s="35"/>
      <x:c r="K389" s="35"/>
      <x:c r="L389" s="35"/>
      <x:c r="M389" s="35"/>
      <x:c r="N389" s="35"/>
      <x:c r="O389" s="35"/>
      <x:c r="P389" s="35"/>
      <x:c r="Q389" s="35"/>
      <x:c r="R389" s="35"/>
      <x:c r="S389" s="35"/>
      <x:c r="T389" s="35"/>
      <x:c r="U389" s="35"/>
      <x:c r="V389" s="35"/>
      <x:c r="W389" s="212"/>
    </x:row>
    <x:row r="390">
      <x:c r="D390" s="35"/>
      <x:c r="E390" s="35"/>
      <x:c r="F390" s="35"/>
      <x:c r="G390" s="35"/>
      <x:c r="H390" s="35"/>
      <x:c r="I390" s="35"/>
      <x:c r="J390" s="35"/>
      <x:c r="K390" s="35"/>
      <x:c r="L390" s="35"/>
      <x:c r="M390" s="35"/>
      <x:c r="N390" s="35"/>
      <x:c r="O390" s="35"/>
      <x:c r="P390" s="35"/>
      <x:c r="Q390" s="35"/>
      <x:c r="R390" s="35"/>
      <x:c r="S390" s="35"/>
      <x:c r="T390" s="35"/>
      <x:c r="U390" s="35"/>
      <x:c r="V390" s="35"/>
      <x:c r="W390" s="212"/>
    </x:row>
    <x:row r="391">
      <x:c r="D391" s="35"/>
      <x:c r="E391" s="35"/>
      <x:c r="F391" s="35"/>
      <x:c r="G391" s="35"/>
      <x:c r="H391" s="35"/>
      <x:c r="I391" s="35"/>
      <x:c r="J391" s="35"/>
      <x:c r="K391" s="35"/>
      <x:c r="L391" s="35"/>
      <x:c r="M391" s="35"/>
      <x:c r="N391" s="35"/>
      <x:c r="O391" s="35"/>
      <x:c r="P391" s="35"/>
      <x:c r="Q391" s="35"/>
      <x:c r="R391" s="35"/>
      <x:c r="S391" s="35"/>
      <x:c r="T391" s="35"/>
      <x:c r="U391" s="35"/>
      <x:c r="V391" s="35"/>
      <x:c r="W391" s="212"/>
    </x:row>
    <x:row r="392">
      <x:c r="D392" s="35"/>
      <x:c r="E392" s="35"/>
      <x:c r="F392" s="35"/>
      <x:c r="G392" s="35"/>
      <x:c r="H392" s="35"/>
      <x:c r="I392" s="35"/>
      <x:c r="J392" s="35"/>
      <x:c r="K392" s="35"/>
      <x:c r="L392" s="35"/>
      <x:c r="M392" s="35"/>
      <x:c r="N392" s="35"/>
      <x:c r="O392" s="35"/>
      <x:c r="P392" s="35"/>
      <x:c r="Q392" s="35"/>
      <x:c r="R392" s="35"/>
      <x:c r="S392" s="35"/>
      <x:c r="T392" s="35"/>
      <x:c r="U392" s="35"/>
      <x:c r="V392" s="35"/>
      <x:c r="W392" s="212"/>
    </x:row>
    <x:row r="393">
      <x:c r="D393" s="35"/>
      <x:c r="E393" s="35"/>
      <x:c r="F393" s="35"/>
      <x:c r="G393" s="35"/>
      <x:c r="H393" s="35"/>
      <x:c r="I393" s="35"/>
      <x:c r="J393" s="35"/>
      <x:c r="K393" s="35"/>
      <x:c r="L393" s="35"/>
      <x:c r="M393" s="35"/>
      <x:c r="N393" s="35"/>
      <x:c r="O393" s="35"/>
      <x:c r="P393" s="35"/>
      <x:c r="Q393" s="35"/>
      <x:c r="R393" s="35"/>
      <x:c r="S393" s="35"/>
      <x:c r="T393" s="35"/>
      <x:c r="U393" s="35"/>
      <x:c r="V393" s="35"/>
      <x:c r="W393" s="212"/>
    </x:row>
    <x:row r="394">
      <x:c r="D394" s="35"/>
      <x:c r="E394" s="35"/>
      <x:c r="F394" s="35"/>
      <x:c r="G394" s="35"/>
      <x:c r="H394" s="35"/>
      <x:c r="I394" s="35"/>
      <x:c r="J394" s="35"/>
      <x:c r="K394" s="35"/>
      <x:c r="L394" s="35"/>
      <x:c r="M394" s="35"/>
      <x:c r="N394" s="35"/>
      <x:c r="O394" s="35"/>
      <x:c r="P394" s="35"/>
      <x:c r="Q394" s="35"/>
      <x:c r="R394" s="35"/>
      <x:c r="S394" s="35"/>
      <x:c r="T394" s="35"/>
      <x:c r="U394" s="35"/>
      <x:c r="V394" s="35"/>
      <x:c r="W394" s="212"/>
    </x:row>
    <x:row r="395">
      <x:c r="D395" s="35"/>
      <x:c r="E395" s="35"/>
      <x:c r="F395" s="35"/>
      <x:c r="G395" s="35"/>
      <x:c r="H395" s="35"/>
      <x:c r="I395" s="35"/>
      <x:c r="J395" s="35"/>
      <x:c r="K395" s="35"/>
      <x:c r="L395" s="35"/>
      <x:c r="M395" s="35"/>
      <x:c r="N395" s="35"/>
      <x:c r="O395" s="35"/>
      <x:c r="P395" s="35"/>
      <x:c r="Q395" s="35"/>
      <x:c r="R395" s="35"/>
      <x:c r="S395" s="35"/>
      <x:c r="T395" s="35"/>
      <x:c r="U395" s="35"/>
      <x:c r="V395" s="35"/>
      <x:c r="W395" s="212"/>
    </x:row>
    <x:row r="396">
      <x:c r="D396" s="35"/>
      <x:c r="E396" s="35"/>
      <x:c r="F396" s="35"/>
      <x:c r="G396" s="35"/>
      <x:c r="H396" s="35"/>
      <x:c r="I396" s="35"/>
      <x:c r="J396" s="35"/>
      <x:c r="K396" s="35"/>
      <x:c r="L396" s="35"/>
      <x:c r="M396" s="35"/>
      <x:c r="N396" s="35"/>
      <x:c r="O396" s="35"/>
      <x:c r="P396" s="35"/>
      <x:c r="Q396" s="35"/>
      <x:c r="R396" s="35"/>
      <x:c r="S396" s="35"/>
      <x:c r="T396" s="35"/>
      <x:c r="U396" s="35"/>
      <x:c r="V396" s="35"/>
      <x:c r="W396" s="212"/>
    </x:row>
    <x:row r="397">
      <x:c r="D397" s="35"/>
      <x:c r="E397" s="35"/>
      <x:c r="F397" s="35"/>
      <x:c r="G397" s="35"/>
      <x:c r="H397" s="35"/>
      <x:c r="I397" s="35"/>
      <x:c r="J397" s="35"/>
      <x:c r="K397" s="35"/>
      <x:c r="L397" s="35"/>
      <x:c r="M397" s="35"/>
      <x:c r="N397" s="35"/>
      <x:c r="O397" s="35"/>
      <x:c r="P397" s="35"/>
      <x:c r="Q397" s="35"/>
      <x:c r="R397" s="35"/>
      <x:c r="S397" s="35"/>
      <x:c r="T397" s="35"/>
      <x:c r="U397" s="35"/>
      <x:c r="V397" s="35"/>
      <x:c r="W397" s="212"/>
    </x:row>
    <x:row r="398">
      <x:c r="D398" s="35"/>
      <x:c r="E398" s="35"/>
      <x:c r="F398" s="35"/>
      <x:c r="G398" s="35"/>
      <x:c r="H398" s="35"/>
      <x:c r="I398" s="35"/>
      <x:c r="J398" s="35"/>
      <x:c r="K398" s="35"/>
      <x:c r="L398" s="35"/>
      <x:c r="M398" s="35"/>
      <x:c r="N398" s="35"/>
      <x:c r="O398" s="35"/>
      <x:c r="P398" s="35"/>
      <x:c r="Q398" s="35"/>
      <x:c r="R398" s="35"/>
      <x:c r="S398" s="35"/>
      <x:c r="T398" s="35"/>
      <x:c r="U398" s="35"/>
      <x:c r="V398" s="35"/>
      <x:c r="W398" s="212"/>
    </x:row>
    <x:row r="399">
      <x:c r="D399" s="35"/>
      <x:c r="E399" s="35"/>
      <x:c r="F399" s="35"/>
      <x:c r="G399" s="35"/>
      <x:c r="H399" s="35"/>
      <x:c r="I399" s="35"/>
      <x:c r="J399" s="35"/>
      <x:c r="K399" s="35"/>
      <x:c r="L399" s="35"/>
      <x:c r="M399" s="35"/>
      <x:c r="N399" s="35"/>
      <x:c r="O399" s="35"/>
      <x:c r="P399" s="35"/>
      <x:c r="Q399" s="35"/>
      <x:c r="R399" s="35"/>
      <x:c r="S399" s="35"/>
      <x:c r="T399" s="35"/>
      <x:c r="U399" s="35"/>
      <x:c r="V399" s="35"/>
      <x:c r="W399" s="212"/>
    </x:row>
    <x:row r="400">
      <x:c r="D400" s="35"/>
      <x:c r="E400" s="35"/>
      <x:c r="F400" s="35"/>
      <x:c r="G400" s="35"/>
      <x:c r="H400" s="35"/>
      <x:c r="I400" s="35"/>
      <x:c r="J400" s="35"/>
      <x:c r="K400" s="35"/>
      <x:c r="L400" s="35"/>
      <x:c r="M400" s="35"/>
      <x:c r="N400" s="35"/>
      <x:c r="O400" s="35"/>
      <x:c r="P400" s="35"/>
      <x:c r="Q400" s="35"/>
      <x:c r="R400" s="35"/>
      <x:c r="S400" s="35"/>
      <x:c r="T400" s="35"/>
      <x:c r="U400" s="35"/>
      <x:c r="V400" s="35"/>
      <x:c r="W400" s="212"/>
    </x:row>
    <x:row r="401">
      <x:c r="D401" s="35"/>
      <x:c r="E401" s="35"/>
      <x:c r="F401" s="35"/>
      <x:c r="G401" s="35"/>
      <x:c r="H401" s="35"/>
      <x:c r="I401" s="35"/>
      <x:c r="J401" s="35"/>
      <x:c r="K401" s="35"/>
      <x:c r="L401" s="35"/>
      <x:c r="M401" s="35"/>
      <x:c r="N401" s="35"/>
      <x:c r="O401" s="35"/>
      <x:c r="P401" s="35"/>
      <x:c r="Q401" s="35"/>
      <x:c r="R401" s="35"/>
      <x:c r="S401" s="35"/>
      <x:c r="T401" s="35"/>
      <x:c r="U401" s="35"/>
      <x:c r="V401" s="35"/>
      <x:c r="W401" s="212"/>
    </x:row>
    <x:row r="402">
      <x:c r="D402" s="35"/>
      <x:c r="E402" s="35"/>
      <x:c r="F402" s="35"/>
      <x:c r="G402" s="35"/>
      <x:c r="H402" s="35"/>
      <x:c r="I402" s="35"/>
      <x:c r="J402" s="35"/>
      <x:c r="K402" s="35"/>
      <x:c r="L402" s="35"/>
      <x:c r="M402" s="35"/>
      <x:c r="N402" s="35"/>
      <x:c r="O402" s="35"/>
      <x:c r="P402" s="35"/>
      <x:c r="Q402" s="35"/>
      <x:c r="R402" s="35"/>
      <x:c r="S402" s="35"/>
      <x:c r="T402" s="35"/>
      <x:c r="U402" s="35"/>
      <x:c r="V402" s="35"/>
      <x:c r="W402" s="212"/>
    </x:row>
    <x:row r="403">
      <x:c r="D403" s="35"/>
      <x:c r="E403" s="35"/>
      <x:c r="F403" s="35"/>
      <x:c r="G403" s="35"/>
      <x:c r="H403" s="35"/>
      <x:c r="I403" s="35"/>
      <x:c r="J403" s="35"/>
      <x:c r="K403" s="35"/>
      <x:c r="L403" s="35"/>
      <x:c r="M403" s="35"/>
      <x:c r="N403" s="35"/>
      <x:c r="O403" s="35"/>
      <x:c r="P403" s="35"/>
      <x:c r="Q403" s="35"/>
      <x:c r="R403" s="35"/>
      <x:c r="S403" s="35"/>
      <x:c r="T403" s="35"/>
      <x:c r="U403" s="35"/>
      <x:c r="V403" s="35"/>
      <x:c r="W403" s="212"/>
    </x:row>
    <x:row r="404">
      <x:c r="D404" s="35"/>
      <x:c r="E404" s="35"/>
      <x:c r="F404" s="35"/>
      <x:c r="G404" s="35"/>
      <x:c r="H404" s="35"/>
      <x:c r="I404" s="35"/>
      <x:c r="J404" s="35"/>
      <x:c r="K404" s="35"/>
      <x:c r="L404" s="35"/>
      <x:c r="M404" s="35"/>
      <x:c r="N404" s="35"/>
      <x:c r="O404" s="35"/>
      <x:c r="P404" s="35"/>
      <x:c r="Q404" s="35"/>
      <x:c r="R404" s="35"/>
      <x:c r="S404" s="35"/>
      <x:c r="T404" s="35"/>
      <x:c r="U404" s="35"/>
      <x:c r="V404" s="35"/>
      <x:c r="W404" s="212"/>
    </x:row>
    <x:row r="405">
      <x:c r="D405" s="35"/>
      <x:c r="E405" s="35"/>
      <x:c r="F405" s="35"/>
      <x:c r="G405" s="35"/>
      <x:c r="H405" s="35"/>
      <x:c r="I405" s="35"/>
      <x:c r="J405" s="35"/>
      <x:c r="K405" s="35"/>
      <x:c r="L405" s="35"/>
      <x:c r="M405" s="35"/>
      <x:c r="N405" s="35"/>
      <x:c r="O405" s="35"/>
      <x:c r="P405" s="35"/>
      <x:c r="Q405" s="35"/>
      <x:c r="R405" s="35"/>
      <x:c r="S405" s="35"/>
      <x:c r="T405" s="35"/>
      <x:c r="U405" s="35"/>
      <x:c r="V405" s="35"/>
      <x:c r="W405" s="212"/>
    </x:row>
    <x:row r="406">
      <x:c r="D406" s="35"/>
      <x:c r="E406" s="35"/>
      <x:c r="F406" s="35"/>
      <x:c r="G406" s="35"/>
      <x:c r="H406" s="35"/>
      <x:c r="I406" s="35"/>
      <x:c r="J406" s="35"/>
      <x:c r="K406" s="35"/>
      <x:c r="L406" s="35"/>
      <x:c r="M406" s="35"/>
      <x:c r="N406" s="35"/>
      <x:c r="O406" s="35"/>
      <x:c r="P406" s="35"/>
      <x:c r="Q406" s="35"/>
      <x:c r="R406" s="35"/>
      <x:c r="S406" s="35"/>
      <x:c r="T406" s="35"/>
      <x:c r="U406" s="35"/>
      <x:c r="V406" s="35"/>
      <x:c r="W406" s="212"/>
    </x:row>
    <x:row r="407">
      <x:c r="D407" s="35"/>
      <x:c r="E407" s="35"/>
      <x:c r="F407" s="35"/>
      <x:c r="G407" s="35"/>
      <x:c r="H407" s="35"/>
      <x:c r="I407" s="35"/>
      <x:c r="J407" s="35"/>
      <x:c r="K407" s="35"/>
      <x:c r="L407" s="35"/>
      <x:c r="M407" s="35"/>
      <x:c r="N407" s="35"/>
      <x:c r="O407" s="35"/>
      <x:c r="P407" s="35"/>
      <x:c r="Q407" s="35"/>
      <x:c r="R407" s="35"/>
      <x:c r="S407" s="35"/>
      <x:c r="T407" s="35"/>
      <x:c r="U407" s="35"/>
      <x:c r="V407" s="35"/>
      <x:c r="W407" s="212"/>
    </x:row>
    <x:row r="408">
      <x:c r="D408" s="35"/>
      <x:c r="E408" s="35"/>
      <x:c r="F408" s="35"/>
      <x:c r="G408" s="35"/>
      <x:c r="H408" s="35"/>
      <x:c r="I408" s="35"/>
      <x:c r="J408" s="35"/>
      <x:c r="K408" s="35"/>
      <x:c r="L408" s="35"/>
      <x:c r="M408" s="35"/>
      <x:c r="N408" s="35"/>
      <x:c r="O408" s="35"/>
      <x:c r="P408" s="35"/>
      <x:c r="Q408" s="35"/>
      <x:c r="R408" s="35"/>
      <x:c r="S408" s="35"/>
      <x:c r="T408" s="35"/>
      <x:c r="U408" s="35"/>
      <x:c r="V408" s="35"/>
      <x:c r="W408" s="212"/>
    </x:row>
    <x:row r="409">
      <x:c r="D409" s="35"/>
      <x:c r="E409" s="35"/>
      <x:c r="F409" s="35"/>
      <x:c r="G409" s="35"/>
      <x:c r="H409" s="35"/>
      <x:c r="I409" s="35"/>
      <x:c r="J409" s="35"/>
      <x:c r="K409" s="35"/>
      <x:c r="L409" s="35"/>
      <x:c r="M409" s="35"/>
      <x:c r="N409" s="35"/>
      <x:c r="O409" s="35"/>
      <x:c r="P409" s="35"/>
      <x:c r="Q409" s="35"/>
      <x:c r="R409" s="35"/>
      <x:c r="S409" s="35"/>
      <x:c r="T409" s="35"/>
      <x:c r="U409" s="35"/>
      <x:c r="V409" s="35"/>
      <x:c r="W409" s="212"/>
    </x:row>
    <x:row r="410">
      <x:c r="D410" s="35"/>
      <x:c r="E410" s="35"/>
      <x:c r="F410" s="35"/>
      <x:c r="G410" s="35"/>
      <x:c r="H410" s="35"/>
      <x:c r="I410" s="35"/>
      <x:c r="J410" s="35"/>
      <x:c r="K410" s="35"/>
      <x:c r="L410" s="35"/>
      <x:c r="M410" s="35"/>
      <x:c r="N410" s="35"/>
      <x:c r="O410" s="35"/>
      <x:c r="P410" s="35"/>
      <x:c r="Q410" s="35"/>
      <x:c r="R410" s="35"/>
      <x:c r="S410" s="35"/>
      <x:c r="T410" s="35"/>
      <x:c r="U410" s="35"/>
      <x:c r="V410" s="35"/>
      <x:c r="W410" s="212"/>
    </x:row>
    <x:row r="411">
      <x:c r="D411" s="35"/>
      <x:c r="E411" s="35"/>
      <x:c r="F411" s="35"/>
      <x:c r="G411" s="35"/>
      <x:c r="H411" s="35"/>
      <x:c r="I411" s="35"/>
      <x:c r="J411" s="35"/>
      <x:c r="K411" s="35"/>
      <x:c r="L411" s="35"/>
      <x:c r="M411" s="35"/>
      <x:c r="N411" s="35"/>
      <x:c r="O411" s="35"/>
      <x:c r="P411" s="35"/>
      <x:c r="Q411" s="35"/>
      <x:c r="R411" s="35"/>
      <x:c r="S411" s="35"/>
      <x:c r="T411" s="35"/>
      <x:c r="U411" s="35"/>
      <x:c r="V411" s="35"/>
      <x:c r="W411" s="212"/>
    </x:row>
    <x:row r="412">
      <x:c r="D412" s="35"/>
      <x:c r="E412" s="35"/>
      <x:c r="F412" s="35"/>
      <x:c r="G412" s="35"/>
      <x:c r="H412" s="35"/>
      <x:c r="I412" s="35"/>
      <x:c r="J412" s="35"/>
      <x:c r="K412" s="35"/>
      <x:c r="L412" s="35"/>
      <x:c r="M412" s="35"/>
      <x:c r="N412" s="35"/>
      <x:c r="O412" s="35"/>
      <x:c r="P412" s="35"/>
      <x:c r="Q412" s="35"/>
      <x:c r="R412" s="35"/>
      <x:c r="S412" s="35"/>
      <x:c r="T412" s="35"/>
      <x:c r="U412" s="35"/>
      <x:c r="V412" s="35"/>
      <x:c r="W412" s="212"/>
    </x:row>
    <x:row r="413">
      <x:c r="D413" s="35"/>
      <x:c r="E413" s="35"/>
      <x:c r="F413" s="35"/>
      <x:c r="G413" s="35"/>
      <x:c r="H413" s="35"/>
      <x:c r="I413" s="35"/>
      <x:c r="J413" s="35"/>
      <x:c r="K413" s="35"/>
      <x:c r="L413" s="35"/>
      <x:c r="M413" s="35"/>
      <x:c r="N413" s="35"/>
      <x:c r="O413" s="35"/>
      <x:c r="P413" s="35"/>
      <x:c r="Q413" s="35"/>
      <x:c r="R413" s="35"/>
      <x:c r="S413" s="35"/>
      <x:c r="T413" s="35"/>
      <x:c r="U413" s="35"/>
      <x:c r="V413" s="35"/>
      <x:c r="W413" s="212"/>
    </x:row>
    <x:row r="414">
      <x:c r="D414" s="35"/>
      <x:c r="E414" s="35"/>
      <x:c r="F414" s="35"/>
      <x:c r="G414" s="35"/>
      <x:c r="H414" s="35"/>
      <x:c r="I414" s="35"/>
      <x:c r="J414" s="35"/>
      <x:c r="K414" s="35"/>
      <x:c r="L414" s="35"/>
      <x:c r="M414" s="35"/>
      <x:c r="N414" s="35"/>
      <x:c r="O414" s="35"/>
      <x:c r="P414" s="35"/>
      <x:c r="Q414" s="35"/>
      <x:c r="R414" s="35"/>
      <x:c r="S414" s="35"/>
      <x:c r="T414" s="35"/>
      <x:c r="U414" s="35"/>
      <x:c r="V414" s="35"/>
      <x:c r="W414" s="212"/>
    </x:row>
    <x:row r="415">
      <x:c r="D415" s="35"/>
      <x:c r="E415" s="35"/>
      <x:c r="F415" s="35"/>
      <x:c r="G415" s="35"/>
      <x:c r="H415" s="35"/>
      <x:c r="I415" s="35"/>
      <x:c r="J415" s="35"/>
      <x:c r="K415" s="35"/>
      <x:c r="L415" s="35"/>
      <x:c r="M415" s="35"/>
      <x:c r="N415" s="35"/>
      <x:c r="O415" s="35"/>
      <x:c r="P415" s="35"/>
      <x:c r="Q415" s="35"/>
      <x:c r="R415" s="35"/>
      <x:c r="S415" s="35"/>
      <x:c r="T415" s="35"/>
      <x:c r="U415" s="35"/>
      <x:c r="V415" s="35"/>
      <x:c r="W415" s="212"/>
    </x:row>
    <x:row r="416">
      <x:c r="D416" s="35"/>
      <x:c r="E416" s="35"/>
      <x:c r="F416" s="35"/>
      <x:c r="G416" s="35"/>
      <x:c r="H416" s="35"/>
      <x:c r="I416" s="35"/>
      <x:c r="J416" s="35"/>
      <x:c r="K416" s="35"/>
      <x:c r="L416" s="35"/>
      <x:c r="M416" s="35"/>
      <x:c r="N416" s="35"/>
      <x:c r="O416" s="35"/>
      <x:c r="P416" s="35"/>
      <x:c r="Q416" s="35"/>
      <x:c r="R416" s="35"/>
      <x:c r="S416" s="35"/>
      <x:c r="T416" s="35"/>
      <x:c r="U416" s="35"/>
      <x:c r="V416" s="35"/>
      <x:c r="W416" s="212"/>
    </x:row>
    <x:row r="417">
      <x:c r="D417" s="35"/>
      <x:c r="E417" s="35"/>
      <x:c r="F417" s="35"/>
      <x:c r="G417" s="35"/>
      <x:c r="H417" s="35"/>
      <x:c r="I417" s="35"/>
      <x:c r="J417" s="35"/>
      <x:c r="K417" s="35"/>
      <x:c r="L417" s="35"/>
      <x:c r="M417" s="35"/>
      <x:c r="N417" s="35"/>
      <x:c r="O417" s="35"/>
      <x:c r="P417" s="35"/>
      <x:c r="Q417" s="35"/>
      <x:c r="R417" s="35"/>
      <x:c r="S417" s="35"/>
      <x:c r="T417" s="35"/>
      <x:c r="U417" s="35"/>
      <x:c r="V417" s="35"/>
      <x:c r="W417" s="212"/>
    </x:row>
    <x:row r="418">
      <x:c r="D418" s="35"/>
      <x:c r="E418" s="35"/>
      <x:c r="F418" s="35"/>
      <x:c r="G418" s="35"/>
      <x:c r="H418" s="35"/>
      <x:c r="I418" s="35"/>
      <x:c r="J418" s="35"/>
      <x:c r="K418" s="35"/>
      <x:c r="L418" s="35"/>
      <x:c r="M418" s="35"/>
      <x:c r="N418" s="35"/>
      <x:c r="O418" s="35"/>
      <x:c r="P418" s="35"/>
      <x:c r="Q418" s="35"/>
      <x:c r="R418" s="35"/>
      <x:c r="S418" s="35"/>
      <x:c r="T418" s="35"/>
      <x:c r="U418" s="35"/>
      <x:c r="V418" s="35"/>
      <x:c r="W418" s="212"/>
    </x:row>
    <x:row r="419">
      <x:c r="D419" s="35"/>
      <x:c r="E419" s="35"/>
      <x:c r="F419" s="35"/>
      <x:c r="G419" s="35"/>
      <x:c r="H419" s="35"/>
      <x:c r="I419" s="35"/>
      <x:c r="J419" s="35"/>
      <x:c r="K419" s="35"/>
      <x:c r="L419" s="35"/>
      <x:c r="M419" s="35"/>
      <x:c r="N419" s="35"/>
      <x:c r="O419" s="35"/>
      <x:c r="P419" s="35"/>
      <x:c r="Q419" s="35"/>
      <x:c r="R419" s="35"/>
      <x:c r="S419" s="35"/>
      <x:c r="T419" s="35"/>
      <x:c r="U419" s="35"/>
      <x:c r="V419" s="35"/>
      <x:c r="W419" s="212"/>
    </x:row>
    <x:row r="420">
      <x:c r="D420" s="35"/>
      <x:c r="E420" s="35"/>
      <x:c r="F420" s="35"/>
      <x:c r="G420" s="35"/>
      <x:c r="H420" s="35"/>
      <x:c r="I420" s="35"/>
      <x:c r="J420" s="35"/>
      <x:c r="K420" s="35"/>
      <x:c r="L420" s="35"/>
      <x:c r="M420" s="35"/>
      <x:c r="N420" s="35"/>
      <x:c r="O420" s="35"/>
      <x:c r="P420" s="35"/>
      <x:c r="Q420" s="35"/>
      <x:c r="R420" s="35"/>
      <x:c r="S420" s="35"/>
      <x:c r="T420" s="35"/>
      <x:c r="U420" s="35"/>
      <x:c r="V420" s="35"/>
      <x:c r="W420" s="212"/>
    </x:row>
    <x:row r="421">
      <x:c r="D421" s="35"/>
      <x:c r="E421" s="35"/>
      <x:c r="F421" s="35"/>
      <x:c r="G421" s="35"/>
      <x:c r="H421" s="35"/>
      <x:c r="I421" s="35"/>
      <x:c r="J421" s="35"/>
      <x:c r="K421" s="35"/>
      <x:c r="L421" s="35"/>
      <x:c r="M421" s="35"/>
      <x:c r="N421" s="35"/>
      <x:c r="O421" s="35"/>
      <x:c r="P421" s="35"/>
      <x:c r="Q421" s="35"/>
      <x:c r="R421" s="35"/>
      <x:c r="S421" s="35"/>
      <x:c r="T421" s="35"/>
      <x:c r="U421" s="35"/>
      <x:c r="V421" s="35"/>
      <x:c r="W421" s="212"/>
    </x:row>
    <x:row r="422">
      <x:c r="D422" s="35"/>
      <x:c r="E422" s="35"/>
      <x:c r="F422" s="35"/>
      <x:c r="G422" s="35"/>
      <x:c r="H422" s="35"/>
      <x:c r="I422" s="35"/>
      <x:c r="J422" s="35"/>
      <x:c r="K422" s="35"/>
      <x:c r="L422" s="35"/>
      <x:c r="M422" s="35"/>
      <x:c r="N422" s="35"/>
      <x:c r="O422" s="35"/>
      <x:c r="P422" s="35"/>
      <x:c r="Q422" s="35"/>
      <x:c r="R422" s="35"/>
      <x:c r="S422" s="35"/>
      <x:c r="T422" s="35"/>
      <x:c r="U422" s="35"/>
      <x:c r="V422" s="35"/>
      <x:c r="W422" s="212"/>
    </x:row>
    <x:row r="423">
      <x:c r="D423" s="35"/>
      <x:c r="E423" s="35"/>
      <x:c r="F423" s="35"/>
      <x:c r="G423" s="35"/>
      <x:c r="H423" s="35"/>
      <x:c r="I423" s="35"/>
      <x:c r="J423" s="35"/>
      <x:c r="K423" s="35"/>
      <x:c r="L423" s="35"/>
      <x:c r="M423" s="35"/>
      <x:c r="N423" s="35"/>
      <x:c r="O423" s="35"/>
      <x:c r="P423" s="35"/>
      <x:c r="Q423" s="35"/>
      <x:c r="R423" s="35"/>
      <x:c r="S423" s="35"/>
      <x:c r="T423" s="35"/>
      <x:c r="U423" s="35"/>
      <x:c r="V423" s="35"/>
      <x:c r="W423" s="212"/>
    </x:row>
    <x:row r="424">
      <x:c r="D424" s="35"/>
      <x:c r="E424" s="35"/>
      <x:c r="F424" s="35"/>
      <x:c r="G424" s="35"/>
      <x:c r="H424" s="35"/>
      <x:c r="I424" s="35"/>
      <x:c r="J424" s="35"/>
      <x:c r="K424" s="35"/>
      <x:c r="L424" s="35"/>
      <x:c r="M424" s="35"/>
      <x:c r="N424" s="35"/>
      <x:c r="O424" s="35"/>
      <x:c r="P424" s="35"/>
      <x:c r="Q424" s="35"/>
      <x:c r="R424" s="35"/>
      <x:c r="S424" s="35"/>
      <x:c r="T424" s="35"/>
      <x:c r="U424" s="35"/>
      <x:c r="V424" s="35"/>
      <x:c r="W424" s="212"/>
    </x:row>
    <x:row r="425">
      <x:c r="D425" s="35"/>
      <x:c r="E425" s="35"/>
      <x:c r="F425" s="35"/>
      <x:c r="G425" s="35"/>
      <x:c r="H425" s="35"/>
      <x:c r="I425" s="35"/>
      <x:c r="J425" s="35"/>
      <x:c r="K425" s="35"/>
      <x:c r="L425" s="35"/>
      <x:c r="M425" s="35"/>
      <x:c r="N425" s="35"/>
      <x:c r="O425" s="35"/>
      <x:c r="P425" s="35"/>
      <x:c r="Q425" s="35"/>
      <x:c r="R425" s="35"/>
      <x:c r="S425" s="35"/>
      <x:c r="T425" s="35"/>
      <x:c r="U425" s="35"/>
      <x:c r="V425" s="35"/>
      <x:c r="W425" s="212"/>
    </x:row>
    <x:row r="426">
      <x:c r="D426" s="35"/>
      <x:c r="E426" s="35"/>
      <x:c r="F426" s="35"/>
      <x:c r="G426" s="35"/>
      <x:c r="H426" s="35"/>
      <x:c r="I426" s="35"/>
      <x:c r="J426" s="35"/>
      <x:c r="K426" s="35"/>
      <x:c r="L426" s="35"/>
      <x:c r="M426" s="35"/>
      <x:c r="N426" s="35"/>
      <x:c r="O426" s="35"/>
      <x:c r="P426" s="35"/>
      <x:c r="Q426" s="35"/>
      <x:c r="R426" s="35"/>
      <x:c r="S426" s="35"/>
      <x:c r="T426" s="35"/>
      <x:c r="U426" s="35"/>
      <x:c r="V426" s="35"/>
      <x:c r="W426" s="212"/>
    </x:row>
    <x:row r="427">
      <x:c r="D427" s="35"/>
      <x:c r="E427" s="35"/>
      <x:c r="F427" s="35"/>
      <x:c r="G427" s="35"/>
      <x:c r="H427" s="35"/>
      <x:c r="I427" s="35"/>
      <x:c r="J427" s="35"/>
      <x:c r="K427" s="35"/>
      <x:c r="L427" s="35"/>
      <x:c r="M427" s="35"/>
      <x:c r="N427" s="35"/>
      <x:c r="O427" s="35"/>
      <x:c r="P427" s="35"/>
      <x:c r="Q427" s="35"/>
      <x:c r="R427" s="35"/>
      <x:c r="S427" s="35"/>
      <x:c r="T427" s="35"/>
      <x:c r="U427" s="35"/>
      <x:c r="V427" s="35"/>
      <x:c r="W427" s="212"/>
    </x:row>
    <x:row r="428">
      <x:c r="D428" s="35"/>
      <x:c r="E428" s="35"/>
      <x:c r="F428" s="35"/>
      <x:c r="G428" s="35"/>
      <x:c r="H428" s="35"/>
      <x:c r="I428" s="35"/>
      <x:c r="J428" s="35"/>
      <x:c r="K428" s="35"/>
      <x:c r="L428" s="35"/>
      <x:c r="M428" s="35"/>
      <x:c r="N428" s="35"/>
      <x:c r="O428" s="35"/>
      <x:c r="P428" s="35"/>
      <x:c r="Q428" s="35"/>
      <x:c r="R428" s="35"/>
      <x:c r="S428" s="35"/>
      <x:c r="T428" s="35"/>
      <x:c r="U428" s="35"/>
      <x:c r="V428" s="35"/>
      <x:c r="W428" s="212"/>
    </x:row>
    <x:row r="429">
      <x:c r="D429" s="35"/>
      <x:c r="E429" s="35"/>
      <x:c r="F429" s="35"/>
      <x:c r="G429" s="35"/>
      <x:c r="H429" s="35"/>
      <x:c r="I429" s="35"/>
      <x:c r="J429" s="35"/>
      <x:c r="K429" s="35"/>
      <x:c r="L429" s="35"/>
      <x:c r="M429" s="35"/>
      <x:c r="N429" s="35"/>
      <x:c r="O429" s="35"/>
      <x:c r="P429" s="35"/>
      <x:c r="Q429" s="35"/>
      <x:c r="R429" s="35"/>
      <x:c r="S429" s="35"/>
      <x:c r="T429" s="35"/>
      <x:c r="U429" s="35"/>
      <x:c r="V429" s="35"/>
      <x:c r="W429" s="212"/>
    </x:row>
    <x:row r="430">
      <x:c r="D430" s="35"/>
      <x:c r="E430" s="35"/>
      <x:c r="F430" s="35"/>
      <x:c r="G430" s="35"/>
      <x:c r="H430" s="35"/>
      <x:c r="I430" s="35"/>
      <x:c r="J430" s="35"/>
      <x:c r="K430" s="35"/>
      <x:c r="L430" s="35"/>
      <x:c r="M430" s="35"/>
      <x:c r="N430" s="35"/>
      <x:c r="O430" s="35"/>
      <x:c r="P430" s="35"/>
      <x:c r="Q430" s="35"/>
      <x:c r="R430" s="35"/>
      <x:c r="S430" s="35"/>
      <x:c r="T430" s="35"/>
      <x:c r="U430" s="35"/>
      <x:c r="V430" s="35"/>
      <x:c r="W430" s="212"/>
    </x:row>
    <x:row r="431">
      <x:c r="D431" s="35"/>
      <x:c r="E431" s="35"/>
      <x:c r="F431" s="35"/>
      <x:c r="G431" s="35"/>
      <x:c r="H431" s="35"/>
      <x:c r="I431" s="35"/>
      <x:c r="J431" s="35"/>
      <x:c r="K431" s="35"/>
      <x:c r="L431" s="35"/>
      <x:c r="M431" s="35"/>
      <x:c r="N431" s="35"/>
      <x:c r="O431" s="35"/>
      <x:c r="P431" s="35"/>
      <x:c r="Q431" s="35"/>
      <x:c r="R431" s="35"/>
      <x:c r="S431" s="35"/>
      <x:c r="T431" s="35"/>
      <x:c r="U431" s="35"/>
      <x:c r="V431" s="35"/>
      <x:c r="W431" s="212"/>
    </x:row>
    <x:row r="432">
      <x:c r="D432" s="35"/>
      <x:c r="E432" s="35"/>
      <x:c r="F432" s="35"/>
      <x:c r="G432" s="35"/>
      <x:c r="H432" s="35"/>
      <x:c r="I432" s="35"/>
      <x:c r="J432" s="35"/>
      <x:c r="K432" s="35"/>
      <x:c r="L432" s="35"/>
      <x:c r="M432" s="35"/>
      <x:c r="N432" s="35"/>
      <x:c r="O432" s="35"/>
      <x:c r="P432" s="35"/>
      <x:c r="Q432" s="35"/>
      <x:c r="R432" s="35"/>
      <x:c r="S432" s="35"/>
      <x:c r="T432" s="35"/>
      <x:c r="U432" s="35"/>
      <x:c r="V432" s="35"/>
      <x:c r="W432" s="212"/>
    </x:row>
    <x:row r="433">
      <x:c r="D433" s="35"/>
      <x:c r="E433" s="35"/>
      <x:c r="F433" s="35"/>
      <x:c r="G433" s="35"/>
      <x:c r="H433" s="35"/>
      <x:c r="I433" s="35"/>
      <x:c r="J433" s="35"/>
      <x:c r="K433" s="35"/>
      <x:c r="L433" s="35"/>
      <x:c r="M433" s="35"/>
      <x:c r="N433" s="35"/>
      <x:c r="O433" s="35"/>
      <x:c r="P433" s="35"/>
      <x:c r="Q433" s="35"/>
      <x:c r="R433" s="35"/>
      <x:c r="S433" s="35"/>
      <x:c r="T433" s="35"/>
      <x:c r="U433" s="35"/>
      <x:c r="V433" s="35"/>
      <x:c r="W433" s="212"/>
    </x:row>
    <x:row r="434">
      <x:c r="D434" s="35"/>
      <x:c r="E434" s="35"/>
      <x:c r="F434" s="35"/>
      <x:c r="G434" s="35"/>
      <x:c r="H434" s="35"/>
      <x:c r="I434" s="35"/>
      <x:c r="J434" s="35"/>
      <x:c r="K434" s="35"/>
      <x:c r="L434" s="35"/>
      <x:c r="M434" s="35"/>
      <x:c r="N434" s="35"/>
      <x:c r="O434" s="35"/>
      <x:c r="P434" s="35"/>
      <x:c r="Q434" s="35"/>
      <x:c r="R434" s="35"/>
      <x:c r="S434" s="35"/>
      <x:c r="T434" s="35"/>
      <x:c r="U434" s="35"/>
      <x:c r="V434" s="35"/>
      <x:c r="W434" s="212"/>
    </x:row>
    <x:row r="435">
      <x:c r="D435" s="35"/>
      <x:c r="E435" s="35"/>
      <x:c r="F435" s="35"/>
      <x:c r="G435" s="35"/>
      <x:c r="H435" s="35"/>
      <x:c r="I435" s="35"/>
      <x:c r="J435" s="35"/>
      <x:c r="K435" s="35"/>
      <x:c r="L435" s="35"/>
      <x:c r="M435" s="35"/>
      <x:c r="N435" s="35"/>
      <x:c r="O435" s="35"/>
      <x:c r="P435" s="35"/>
      <x:c r="Q435" s="35"/>
      <x:c r="R435" s="35"/>
      <x:c r="S435" s="35"/>
      <x:c r="T435" s="35"/>
      <x:c r="U435" s="35"/>
      <x:c r="V435" s="35"/>
      <x:c r="W435" s="212"/>
    </x:row>
    <x:row r="436">
      <x:c r="D436" s="35"/>
      <x:c r="E436" s="35"/>
      <x:c r="F436" s="35"/>
      <x:c r="G436" s="35"/>
      <x:c r="H436" s="35"/>
      <x:c r="I436" s="35"/>
      <x:c r="J436" s="35"/>
      <x:c r="K436" s="35"/>
      <x:c r="L436" s="35"/>
      <x:c r="M436" s="35"/>
      <x:c r="N436" s="35"/>
      <x:c r="O436" s="35"/>
      <x:c r="P436" s="35"/>
      <x:c r="Q436" s="35"/>
      <x:c r="R436" s="35"/>
      <x:c r="S436" s="35"/>
      <x:c r="T436" s="35"/>
      <x:c r="U436" s="35"/>
      <x:c r="V436" s="35"/>
      <x:c r="W436" s="212"/>
    </x:row>
    <x:row r="437">
      <x:c r="D437" s="35"/>
      <x:c r="E437" s="35"/>
      <x:c r="F437" s="35"/>
      <x:c r="G437" s="35"/>
      <x:c r="H437" s="35"/>
      <x:c r="I437" s="35"/>
      <x:c r="J437" s="35"/>
      <x:c r="K437" s="35"/>
      <x:c r="L437" s="35"/>
      <x:c r="M437" s="35"/>
      <x:c r="N437" s="35"/>
      <x:c r="O437" s="35"/>
      <x:c r="P437" s="35"/>
      <x:c r="Q437" s="35"/>
      <x:c r="R437" s="35"/>
      <x:c r="S437" s="35"/>
      <x:c r="T437" s="35"/>
      <x:c r="U437" s="35"/>
      <x:c r="V437" s="35"/>
      <x:c r="W437" s="212"/>
    </x:row>
    <x:row r="438">
      <x:c r="D438" s="35"/>
      <x:c r="E438" s="35"/>
      <x:c r="F438" s="35"/>
      <x:c r="G438" s="35"/>
      <x:c r="H438" s="35"/>
      <x:c r="I438" s="35"/>
      <x:c r="J438" s="35"/>
      <x:c r="K438" s="35"/>
      <x:c r="L438" s="35"/>
      <x:c r="M438" s="35"/>
      <x:c r="N438" s="35"/>
      <x:c r="O438" s="35"/>
      <x:c r="P438" s="35"/>
      <x:c r="Q438" s="35"/>
      <x:c r="R438" s="35"/>
      <x:c r="S438" s="35"/>
      <x:c r="T438" s="35"/>
      <x:c r="U438" s="35"/>
      <x:c r="V438" s="35"/>
      <x:c r="W438" s="212"/>
    </x:row>
    <x:row r="439">
      <x:c r="D439" s="35"/>
      <x:c r="E439" s="35"/>
      <x:c r="F439" s="35"/>
      <x:c r="G439" s="35"/>
      <x:c r="H439" s="35"/>
      <x:c r="I439" s="35"/>
      <x:c r="J439" s="35"/>
      <x:c r="K439" s="35"/>
      <x:c r="L439" s="35"/>
      <x:c r="M439" s="35"/>
      <x:c r="N439" s="35"/>
      <x:c r="O439" s="35"/>
      <x:c r="P439" s="35"/>
      <x:c r="Q439" s="35"/>
      <x:c r="R439" s="35"/>
      <x:c r="S439" s="35"/>
      <x:c r="T439" s="35"/>
      <x:c r="U439" s="35"/>
      <x:c r="V439" s="35"/>
      <x:c r="W439" s="212"/>
    </x:row>
    <x:row r="440">
      <x:c r="D440" s="35"/>
      <x:c r="E440" s="35"/>
      <x:c r="F440" s="35"/>
      <x:c r="G440" s="35"/>
      <x:c r="H440" s="35"/>
      <x:c r="I440" s="35"/>
      <x:c r="J440" s="35"/>
      <x:c r="K440" s="35"/>
      <x:c r="L440" s="35"/>
      <x:c r="M440" s="35"/>
      <x:c r="N440" s="35"/>
      <x:c r="O440" s="35"/>
      <x:c r="P440" s="35"/>
      <x:c r="Q440" s="35"/>
      <x:c r="R440" s="35"/>
      <x:c r="S440" s="35"/>
      <x:c r="T440" s="35"/>
      <x:c r="U440" s="35"/>
      <x:c r="V440" s="35"/>
      <x:c r="W440" s="212"/>
    </x:row>
    <x:row r="441">
      <x:c r="D441" s="35"/>
      <x:c r="E441" s="35"/>
      <x:c r="F441" s="35"/>
      <x:c r="G441" s="35"/>
      <x:c r="H441" s="35"/>
      <x:c r="I441" s="35"/>
      <x:c r="J441" s="35"/>
      <x:c r="K441" s="35"/>
      <x:c r="L441" s="35"/>
      <x:c r="M441" s="35"/>
      <x:c r="N441" s="35"/>
      <x:c r="O441" s="35"/>
      <x:c r="P441" s="35"/>
      <x:c r="Q441" s="35"/>
      <x:c r="R441" s="35"/>
      <x:c r="S441" s="35"/>
      <x:c r="T441" s="35"/>
      <x:c r="U441" s="35"/>
      <x:c r="V441" s="35"/>
      <x:c r="W441" s="212"/>
    </x:row>
    <x:row r="442">
      <x:c r="D442" s="35"/>
      <x:c r="E442" s="35"/>
      <x:c r="F442" s="35"/>
      <x:c r="G442" s="35"/>
      <x:c r="H442" s="35"/>
      <x:c r="I442" s="35"/>
      <x:c r="J442" s="35"/>
      <x:c r="K442" s="35"/>
      <x:c r="L442" s="35"/>
      <x:c r="M442" s="35"/>
      <x:c r="N442" s="35"/>
      <x:c r="O442" s="35"/>
      <x:c r="P442" s="35"/>
      <x:c r="Q442" s="35"/>
      <x:c r="R442" s="35"/>
      <x:c r="S442" s="35"/>
      <x:c r="T442" s="35"/>
      <x:c r="U442" s="35"/>
      <x:c r="V442" s="35"/>
      <x:c r="W442" s="212"/>
    </x:row>
    <x:row r="443">
      <x:c r="D443" s="35"/>
      <x:c r="E443" s="35"/>
      <x:c r="F443" s="35"/>
      <x:c r="G443" s="35"/>
      <x:c r="H443" s="35"/>
      <x:c r="I443" s="35"/>
      <x:c r="J443" s="35"/>
      <x:c r="K443" s="35"/>
      <x:c r="L443" s="35"/>
      <x:c r="M443" s="35"/>
      <x:c r="N443" s="35"/>
      <x:c r="O443" s="35"/>
      <x:c r="P443" s="35"/>
      <x:c r="Q443" s="35"/>
      <x:c r="R443" s="35"/>
      <x:c r="S443" s="35"/>
      <x:c r="T443" s="35"/>
      <x:c r="U443" s="35"/>
      <x:c r="V443" s="35"/>
      <x:c r="W443" s="212"/>
    </x:row>
    <x:row r="444">
      <x:c r="D444" s="35"/>
      <x:c r="E444" s="35"/>
      <x:c r="F444" s="35"/>
      <x:c r="G444" s="35"/>
      <x:c r="H444" s="35"/>
      <x:c r="I444" s="35"/>
      <x:c r="J444" s="35"/>
      <x:c r="K444" s="35"/>
      <x:c r="L444" s="35"/>
      <x:c r="M444" s="35"/>
      <x:c r="N444" s="35"/>
      <x:c r="O444" s="35"/>
      <x:c r="P444" s="35"/>
      <x:c r="Q444" s="35"/>
      <x:c r="R444" s="35"/>
      <x:c r="S444" s="35"/>
      <x:c r="T444" s="35"/>
      <x:c r="U444" s="35"/>
      <x:c r="V444" s="35"/>
      <x:c r="W444" s="212"/>
    </x:row>
    <x:row r="445">
      <x:c r="D445" s="35"/>
      <x:c r="E445" s="35"/>
      <x:c r="F445" s="35"/>
      <x:c r="G445" s="35"/>
      <x:c r="H445" s="35"/>
      <x:c r="I445" s="35"/>
      <x:c r="J445" s="35"/>
      <x:c r="K445" s="35"/>
      <x:c r="L445" s="35"/>
      <x:c r="M445" s="35"/>
      <x:c r="N445" s="35"/>
      <x:c r="O445" s="35"/>
      <x:c r="P445" s="35"/>
      <x:c r="Q445" s="35"/>
      <x:c r="R445" s="35"/>
      <x:c r="S445" s="35"/>
      <x:c r="T445" s="35"/>
      <x:c r="U445" s="35"/>
      <x:c r="V445" s="35"/>
      <x:c r="W445" s="212"/>
    </x:row>
    <x:row r="446">
      <x:c r="D446" s="35"/>
      <x:c r="E446" s="35"/>
      <x:c r="F446" s="35"/>
      <x:c r="G446" s="35"/>
      <x:c r="H446" s="35"/>
      <x:c r="I446" s="35"/>
      <x:c r="J446" s="35"/>
      <x:c r="K446" s="35"/>
      <x:c r="L446" s="35"/>
      <x:c r="M446" s="35"/>
      <x:c r="N446" s="35"/>
      <x:c r="O446" s="35"/>
      <x:c r="P446" s="35"/>
      <x:c r="Q446" s="35"/>
      <x:c r="R446" s="35"/>
      <x:c r="S446" s="35"/>
      <x:c r="T446" s="35"/>
      <x:c r="U446" s="35"/>
      <x:c r="V446" s="35"/>
      <x:c r="W446" s="212"/>
    </x:row>
    <x:row r="447">
      <x:c r="D447" s="35"/>
      <x:c r="E447" s="35"/>
      <x:c r="F447" s="35"/>
      <x:c r="G447" s="35"/>
      <x:c r="H447" s="35"/>
      <x:c r="I447" s="35"/>
      <x:c r="J447" s="35"/>
      <x:c r="K447" s="35"/>
      <x:c r="L447" s="35"/>
      <x:c r="M447" s="35"/>
      <x:c r="N447" s="35"/>
      <x:c r="O447" s="35"/>
      <x:c r="P447" s="35"/>
      <x:c r="Q447" s="35"/>
      <x:c r="R447" s="35"/>
      <x:c r="S447" s="35"/>
      <x:c r="T447" s="35"/>
      <x:c r="U447" s="35"/>
      <x:c r="V447" s="35"/>
      <x:c r="W447" s="212"/>
    </x:row>
    <x:row r="448">
      <x:c r="D448" s="35"/>
      <x:c r="E448" s="35"/>
      <x:c r="F448" s="35"/>
      <x:c r="G448" s="35"/>
      <x:c r="H448" s="35"/>
      <x:c r="I448" s="35"/>
      <x:c r="J448" s="35"/>
      <x:c r="K448" s="35"/>
      <x:c r="L448" s="35"/>
      <x:c r="M448" s="35"/>
      <x:c r="N448" s="35"/>
      <x:c r="O448" s="35"/>
      <x:c r="P448" s="35"/>
      <x:c r="Q448" s="35"/>
      <x:c r="R448" s="35"/>
      <x:c r="S448" s="35"/>
      <x:c r="T448" s="35"/>
      <x:c r="U448" s="35"/>
      <x:c r="V448" s="35"/>
      <x:c r="W448" s="212"/>
    </x:row>
    <x:row r="449">
      <x:c r="D449" s="35"/>
      <x:c r="E449" s="35"/>
      <x:c r="F449" s="35"/>
      <x:c r="G449" s="35"/>
      <x:c r="H449" s="35"/>
      <x:c r="I449" s="35"/>
      <x:c r="J449" s="35"/>
      <x:c r="K449" s="35"/>
      <x:c r="L449" s="35"/>
      <x:c r="M449" s="35"/>
      <x:c r="N449" s="35"/>
      <x:c r="O449" s="35"/>
      <x:c r="P449" s="35"/>
      <x:c r="Q449" s="35"/>
      <x:c r="R449" s="35"/>
      <x:c r="S449" s="35"/>
      <x:c r="T449" s="35"/>
      <x:c r="U449" s="35"/>
      <x:c r="V449" s="35"/>
      <x:c r="W449" s="212"/>
    </x:row>
    <x:row r="450">
      <x:c r="D450" s="35"/>
      <x:c r="E450" s="35"/>
      <x:c r="F450" s="35"/>
      <x:c r="G450" s="35"/>
      <x:c r="H450" s="35"/>
      <x:c r="I450" s="35"/>
      <x:c r="J450" s="35"/>
      <x:c r="K450" s="35"/>
      <x:c r="L450" s="35"/>
      <x:c r="M450" s="35"/>
      <x:c r="N450" s="35"/>
      <x:c r="O450" s="35"/>
      <x:c r="P450" s="35"/>
      <x:c r="Q450" s="35"/>
      <x:c r="R450" s="35"/>
      <x:c r="S450" s="35"/>
      <x:c r="T450" s="35"/>
      <x:c r="U450" s="35"/>
      <x:c r="V450" s="35"/>
      <x:c r="W450" s="212"/>
    </x:row>
    <x:row r="451">
      <x:c r="D451" s="35"/>
      <x:c r="E451" s="35"/>
      <x:c r="F451" s="35"/>
      <x:c r="G451" s="35"/>
      <x:c r="H451" s="35"/>
      <x:c r="I451" s="35"/>
      <x:c r="J451" s="35"/>
      <x:c r="K451" s="35"/>
      <x:c r="L451" s="35"/>
      <x:c r="M451" s="35"/>
      <x:c r="N451" s="35"/>
      <x:c r="O451" s="35"/>
      <x:c r="P451" s="35"/>
      <x:c r="Q451" s="35"/>
      <x:c r="R451" s="35"/>
      <x:c r="S451" s="35"/>
      <x:c r="T451" s="35"/>
      <x:c r="U451" s="35"/>
      <x:c r="V451" s="35"/>
      <x:c r="W451" s="212"/>
    </x:row>
    <x:row r="452">
      <x:c r="D452" s="35"/>
      <x:c r="E452" s="35"/>
      <x:c r="F452" s="35"/>
      <x:c r="G452" s="35"/>
      <x:c r="H452" s="35"/>
      <x:c r="I452" s="35"/>
      <x:c r="J452" s="35"/>
      <x:c r="K452" s="35"/>
      <x:c r="L452" s="35"/>
      <x:c r="M452" s="35"/>
      <x:c r="N452" s="35"/>
      <x:c r="O452" s="35"/>
      <x:c r="P452" s="35"/>
      <x:c r="Q452" s="35"/>
      <x:c r="R452" s="35"/>
      <x:c r="S452" s="35"/>
      <x:c r="T452" s="35"/>
      <x:c r="U452" s="35"/>
      <x:c r="V452" s="35"/>
      <x:c r="W452" s="212"/>
    </x:row>
    <x:row r="453">
      <x:c r="D453" s="35"/>
      <x:c r="E453" s="35"/>
      <x:c r="F453" s="35"/>
      <x:c r="G453" s="35"/>
      <x:c r="H453" s="35"/>
      <x:c r="I453" s="35"/>
      <x:c r="J453" s="35"/>
      <x:c r="K453" s="35"/>
      <x:c r="L453" s="35"/>
      <x:c r="M453" s="35"/>
      <x:c r="N453" s="35"/>
      <x:c r="O453" s="35"/>
      <x:c r="P453" s="35"/>
      <x:c r="Q453" s="35"/>
      <x:c r="R453" s="35"/>
      <x:c r="S453" s="35"/>
      <x:c r="T453" s="35"/>
      <x:c r="U453" s="35"/>
      <x:c r="V453" s="35"/>
      <x:c r="W453" s="212"/>
    </x:row>
    <x:row r="454">
      <x:c r="D454" s="35"/>
      <x:c r="E454" s="35"/>
      <x:c r="F454" s="35"/>
      <x:c r="G454" s="35"/>
      <x:c r="H454" s="35"/>
      <x:c r="I454" s="35"/>
      <x:c r="J454" s="35"/>
      <x:c r="K454" s="35"/>
      <x:c r="L454" s="35"/>
      <x:c r="M454" s="35"/>
      <x:c r="N454" s="35"/>
      <x:c r="O454" s="35"/>
      <x:c r="P454" s="35"/>
      <x:c r="Q454" s="35"/>
      <x:c r="R454" s="35"/>
      <x:c r="S454" s="35"/>
      <x:c r="T454" s="35"/>
      <x:c r="U454" s="35"/>
      <x:c r="V454" s="35"/>
      <x:c r="W454" s="212"/>
    </x:row>
    <x:row r="455">
      <x:c r="D455" s="35"/>
      <x:c r="E455" s="35"/>
      <x:c r="F455" s="35"/>
      <x:c r="G455" s="35"/>
      <x:c r="H455" s="35"/>
      <x:c r="I455" s="35"/>
      <x:c r="J455" s="35"/>
      <x:c r="K455" s="35"/>
      <x:c r="L455" s="35"/>
      <x:c r="M455" s="35"/>
      <x:c r="N455" s="35"/>
      <x:c r="O455" s="35"/>
      <x:c r="P455" s="35"/>
      <x:c r="Q455" s="35"/>
      <x:c r="R455" s="35"/>
      <x:c r="S455" s="35"/>
      <x:c r="T455" s="35"/>
      <x:c r="U455" s="35"/>
      <x:c r="V455" s="35"/>
      <x:c r="W455" s="212"/>
    </x:row>
    <x:row r="456">
      <x:c r="D456" s="35"/>
      <x:c r="E456" s="35"/>
      <x:c r="F456" s="35"/>
      <x:c r="G456" s="35"/>
      <x:c r="H456" s="35"/>
      <x:c r="I456" s="35"/>
      <x:c r="J456" s="35"/>
      <x:c r="K456" s="35"/>
      <x:c r="L456" s="35"/>
      <x:c r="M456" s="35"/>
      <x:c r="N456" s="35"/>
      <x:c r="O456" s="35"/>
      <x:c r="P456" s="35"/>
      <x:c r="Q456" s="35"/>
      <x:c r="R456" s="35"/>
      <x:c r="S456" s="35"/>
      <x:c r="T456" s="35"/>
      <x:c r="U456" s="35"/>
      <x:c r="V456" s="35"/>
      <x:c r="W456" s="212"/>
    </x:row>
    <x:row r="457">
      <x:c r="D457" s="35"/>
      <x:c r="E457" s="35"/>
      <x:c r="F457" s="35"/>
      <x:c r="G457" s="35"/>
      <x:c r="H457" s="35"/>
      <x:c r="I457" s="35"/>
      <x:c r="J457" s="35"/>
      <x:c r="K457" s="35"/>
      <x:c r="L457" s="35"/>
      <x:c r="M457" s="35"/>
      <x:c r="N457" s="35"/>
      <x:c r="O457" s="35"/>
      <x:c r="P457" s="35"/>
      <x:c r="Q457" s="35"/>
      <x:c r="R457" s="35"/>
      <x:c r="S457" s="35"/>
      <x:c r="T457" s="35"/>
      <x:c r="U457" s="35"/>
      <x:c r="V457" s="35"/>
      <x:c r="W457" s="212"/>
    </x:row>
    <x:row r="458">
      <x:c r="D458" s="35"/>
      <x:c r="E458" s="35"/>
      <x:c r="F458" s="35"/>
      <x:c r="G458" s="35"/>
      <x:c r="H458" s="35"/>
      <x:c r="I458" s="35"/>
      <x:c r="J458" s="35"/>
      <x:c r="K458" s="35"/>
      <x:c r="L458" s="35"/>
      <x:c r="M458" s="35"/>
      <x:c r="N458" s="35"/>
      <x:c r="O458" s="35"/>
      <x:c r="P458" s="35"/>
      <x:c r="Q458" s="35"/>
      <x:c r="R458" s="35"/>
      <x:c r="S458" s="35"/>
      <x:c r="T458" s="35"/>
      <x:c r="U458" s="35"/>
      <x:c r="V458" s="35"/>
      <x:c r="W458" s="212"/>
    </x:row>
    <x:row r="459">
      <x:c r="D459" s="35"/>
      <x:c r="E459" s="35"/>
      <x:c r="F459" s="35"/>
      <x:c r="G459" s="35"/>
      <x:c r="H459" s="35"/>
      <x:c r="I459" s="35"/>
      <x:c r="J459" s="35"/>
      <x:c r="K459" s="35"/>
      <x:c r="L459" s="35"/>
      <x:c r="M459" s="35"/>
      <x:c r="N459" s="35"/>
      <x:c r="O459" s="35"/>
      <x:c r="P459" s="35"/>
      <x:c r="Q459" s="35"/>
      <x:c r="R459" s="35"/>
      <x:c r="S459" s="35"/>
      <x:c r="T459" s="35"/>
      <x:c r="U459" s="35"/>
      <x:c r="V459" s="35"/>
      <x:c r="W459" s="212"/>
    </x:row>
    <x:row r="460">
      <x:c r="D460" s="35"/>
      <x:c r="E460" s="35"/>
      <x:c r="F460" s="35"/>
      <x:c r="G460" s="35"/>
      <x:c r="H460" s="35"/>
      <x:c r="I460" s="35"/>
      <x:c r="J460" s="35"/>
      <x:c r="K460" s="35"/>
      <x:c r="L460" s="35"/>
      <x:c r="M460" s="35"/>
      <x:c r="N460" s="35"/>
      <x:c r="O460" s="35"/>
      <x:c r="P460" s="35"/>
      <x:c r="Q460" s="35"/>
      <x:c r="R460" s="35"/>
      <x:c r="S460" s="35"/>
      <x:c r="T460" s="35"/>
      <x:c r="U460" s="35"/>
      <x:c r="V460" s="35"/>
      <x:c r="W460" s="212"/>
    </x:row>
    <x:row r="461">
      <x:c r="D461" s="35"/>
      <x:c r="E461" s="35"/>
      <x:c r="F461" s="35"/>
      <x:c r="G461" s="35"/>
      <x:c r="H461" s="35"/>
      <x:c r="I461" s="35"/>
      <x:c r="J461" s="35"/>
      <x:c r="K461" s="35"/>
      <x:c r="L461" s="35"/>
      <x:c r="M461" s="35"/>
      <x:c r="N461" s="35"/>
      <x:c r="O461" s="35"/>
      <x:c r="P461" s="35"/>
      <x:c r="Q461" s="35"/>
      <x:c r="R461" s="35"/>
      <x:c r="S461" s="35"/>
      <x:c r="T461" s="35"/>
      <x:c r="U461" s="35"/>
      <x:c r="V461" s="35"/>
      <x:c r="W461" s="212"/>
    </x:row>
    <x:row r="462">
      <x:c r="D462" s="35"/>
      <x:c r="E462" s="35"/>
      <x:c r="F462" s="35"/>
      <x:c r="G462" s="35"/>
      <x:c r="H462" s="35"/>
      <x:c r="I462" s="35"/>
      <x:c r="J462" s="35"/>
      <x:c r="K462" s="35"/>
      <x:c r="L462" s="35"/>
      <x:c r="M462" s="35"/>
      <x:c r="N462" s="35"/>
      <x:c r="O462" s="35"/>
      <x:c r="P462" s="35"/>
      <x:c r="Q462" s="35"/>
      <x:c r="R462" s="35"/>
      <x:c r="S462" s="35"/>
      <x:c r="T462" s="35"/>
      <x:c r="U462" s="35"/>
      <x:c r="V462" s="35"/>
      <x:c r="W462" s="212"/>
    </x:row>
    <x:row r="463">
      <x:c r="D463" s="35"/>
      <x:c r="E463" s="35"/>
      <x:c r="F463" s="35"/>
      <x:c r="G463" s="35"/>
      <x:c r="H463" s="35"/>
      <x:c r="I463" s="35"/>
      <x:c r="J463" s="35"/>
      <x:c r="K463" s="35"/>
      <x:c r="L463" s="35"/>
      <x:c r="M463" s="35"/>
      <x:c r="N463" s="35"/>
      <x:c r="O463" s="35"/>
      <x:c r="P463" s="35"/>
      <x:c r="Q463" s="35"/>
      <x:c r="R463" s="35"/>
      <x:c r="S463" s="35"/>
      <x:c r="T463" s="35"/>
      <x:c r="U463" s="35"/>
      <x:c r="V463" s="35"/>
      <x:c r="W463" s="212"/>
    </x:row>
    <x:row r="464">
      <x:c r="D464" s="35"/>
      <x:c r="E464" s="35"/>
      <x:c r="F464" s="35"/>
      <x:c r="G464" s="35"/>
      <x:c r="H464" s="35"/>
      <x:c r="I464" s="35"/>
      <x:c r="J464" s="35"/>
      <x:c r="K464" s="35"/>
      <x:c r="L464" s="35"/>
      <x:c r="M464" s="35"/>
      <x:c r="N464" s="35"/>
      <x:c r="O464" s="35"/>
      <x:c r="P464" s="35"/>
      <x:c r="Q464" s="35"/>
      <x:c r="R464" s="35"/>
      <x:c r="S464" s="35"/>
      <x:c r="T464" s="35"/>
      <x:c r="U464" s="35"/>
      <x:c r="V464" s="35"/>
      <x:c r="W464" s="212"/>
    </x:row>
    <x:row r="465">
      <x:c r="D465" s="35"/>
      <x:c r="E465" s="35"/>
      <x:c r="F465" s="35"/>
      <x:c r="G465" s="35"/>
      <x:c r="H465" s="35"/>
      <x:c r="I465" s="35"/>
      <x:c r="J465" s="35"/>
      <x:c r="K465" s="35"/>
      <x:c r="L465" s="35"/>
      <x:c r="M465" s="35"/>
      <x:c r="N465" s="35"/>
      <x:c r="O465" s="35"/>
      <x:c r="P465" s="35"/>
      <x:c r="Q465" s="35"/>
      <x:c r="R465" s="35"/>
      <x:c r="S465" s="35"/>
      <x:c r="T465" s="35"/>
      <x:c r="U465" s="35"/>
      <x:c r="V465" s="35"/>
      <x:c r="W465" s="212"/>
    </x:row>
    <x:row r="466">
      <x:c r="D466" s="35"/>
      <x:c r="E466" s="35"/>
      <x:c r="F466" s="35"/>
      <x:c r="G466" s="35"/>
      <x:c r="H466" s="35"/>
      <x:c r="I466" s="35"/>
      <x:c r="J466" s="35"/>
      <x:c r="K466" s="35"/>
      <x:c r="L466" s="35"/>
      <x:c r="M466" s="35"/>
      <x:c r="N466" s="35"/>
      <x:c r="O466" s="35"/>
      <x:c r="P466" s="35"/>
      <x:c r="Q466" s="35"/>
      <x:c r="R466" s="35"/>
      <x:c r="S466" s="35"/>
      <x:c r="T466" s="35"/>
      <x:c r="U466" s="35"/>
      <x:c r="V466" s="35"/>
      <x:c r="W466" s="212"/>
    </x:row>
    <x:row r="467">
      <x:c r="D467" s="35"/>
      <x:c r="E467" s="35"/>
      <x:c r="F467" s="35"/>
      <x:c r="G467" s="35"/>
      <x:c r="H467" s="35"/>
      <x:c r="I467" s="35"/>
      <x:c r="J467" s="35"/>
      <x:c r="K467" s="35"/>
      <x:c r="L467" s="35"/>
      <x:c r="M467" s="35"/>
      <x:c r="N467" s="35"/>
      <x:c r="O467" s="35"/>
      <x:c r="P467" s="35"/>
      <x:c r="Q467" s="35"/>
      <x:c r="R467" s="35"/>
      <x:c r="S467" s="35"/>
      <x:c r="T467" s="35"/>
      <x:c r="U467" s="35"/>
      <x:c r="V467" s="35"/>
      <x:c r="W467" s="212"/>
    </x:row>
    <x:row r="468">
      <x:c r="D468" s="35"/>
      <x:c r="E468" s="35"/>
      <x:c r="F468" s="35"/>
      <x:c r="G468" s="35"/>
      <x:c r="H468" s="35"/>
      <x:c r="I468" s="35"/>
      <x:c r="J468" s="35"/>
      <x:c r="K468" s="35"/>
      <x:c r="L468" s="35"/>
      <x:c r="M468" s="35"/>
      <x:c r="N468" s="35"/>
      <x:c r="O468" s="35"/>
      <x:c r="P468" s="35"/>
      <x:c r="Q468" s="35"/>
      <x:c r="R468" s="35"/>
      <x:c r="S468" s="35"/>
      <x:c r="T468" s="35"/>
      <x:c r="U468" s="35"/>
      <x:c r="V468" s="35"/>
      <x:c r="W468" s="212"/>
    </x:row>
    <x:row r="469">
      <x:c r="D469" s="35"/>
      <x:c r="E469" s="35"/>
      <x:c r="F469" s="35"/>
      <x:c r="G469" s="35"/>
      <x:c r="H469" s="35"/>
      <x:c r="I469" s="35"/>
      <x:c r="J469" s="35"/>
      <x:c r="K469" s="35"/>
      <x:c r="L469" s="35"/>
      <x:c r="M469" s="35"/>
      <x:c r="N469" s="35"/>
      <x:c r="O469" s="35"/>
      <x:c r="P469" s="35"/>
      <x:c r="Q469" s="35"/>
      <x:c r="R469" s="35"/>
      <x:c r="S469" s="35"/>
      <x:c r="T469" s="35"/>
      <x:c r="U469" s="35"/>
      <x:c r="V469" s="35"/>
      <x:c r="W469" s="212"/>
    </x:row>
    <x:row r="470">
      <x:c r="D470" s="35"/>
      <x:c r="E470" s="35"/>
      <x:c r="F470" s="35"/>
      <x:c r="G470" s="35"/>
      <x:c r="H470" s="35"/>
      <x:c r="I470" s="35"/>
      <x:c r="J470" s="35"/>
      <x:c r="K470" s="35"/>
      <x:c r="L470" s="35"/>
      <x:c r="M470" s="35"/>
      <x:c r="N470" s="35"/>
      <x:c r="O470" s="35"/>
      <x:c r="P470" s="35"/>
      <x:c r="Q470" s="35"/>
      <x:c r="R470" s="35"/>
      <x:c r="S470" s="35"/>
      <x:c r="T470" s="35"/>
      <x:c r="U470" s="35"/>
      <x:c r="V470" s="35"/>
      <x:c r="W470" s="212"/>
    </x:row>
    <x:row r="471">
      <x:c r="D471" s="35"/>
      <x:c r="E471" s="35"/>
      <x:c r="F471" s="35"/>
      <x:c r="G471" s="35"/>
      <x:c r="H471" s="35"/>
      <x:c r="I471" s="35"/>
      <x:c r="J471" s="35"/>
      <x:c r="K471" s="35"/>
      <x:c r="L471" s="35"/>
      <x:c r="M471" s="35"/>
      <x:c r="N471" s="35"/>
      <x:c r="O471" s="35"/>
      <x:c r="P471" s="35"/>
      <x:c r="Q471" s="35"/>
      <x:c r="R471" s="35"/>
      <x:c r="S471" s="35"/>
      <x:c r="T471" s="35"/>
      <x:c r="U471" s="35"/>
      <x:c r="V471" s="35"/>
      <x:c r="W471" s="212"/>
    </x:row>
    <x:row r="472">
      <x:c r="D472" s="35"/>
      <x:c r="E472" s="35"/>
      <x:c r="F472" s="35"/>
      <x:c r="G472" s="35"/>
      <x:c r="H472" s="35"/>
      <x:c r="I472" s="35"/>
      <x:c r="J472" s="35"/>
      <x:c r="K472" s="35"/>
      <x:c r="L472" s="35"/>
      <x:c r="M472" s="35"/>
      <x:c r="N472" s="35"/>
      <x:c r="O472" s="35"/>
      <x:c r="P472" s="35"/>
      <x:c r="Q472" s="35"/>
      <x:c r="R472" s="35"/>
      <x:c r="S472" s="35"/>
      <x:c r="T472" s="35"/>
      <x:c r="U472" s="35"/>
      <x:c r="V472" s="35"/>
      <x:c r="W472" s="212"/>
    </x:row>
    <x:row r="473">
      <x:c r="D473" s="35"/>
      <x:c r="E473" s="35"/>
      <x:c r="F473" s="35"/>
      <x:c r="G473" s="35"/>
      <x:c r="H473" s="35"/>
      <x:c r="I473" s="35"/>
      <x:c r="J473" s="35"/>
      <x:c r="K473" s="35"/>
      <x:c r="L473" s="35"/>
      <x:c r="M473" s="35"/>
      <x:c r="N473" s="35"/>
      <x:c r="O473" s="35"/>
      <x:c r="P473" s="35"/>
      <x:c r="Q473" s="35"/>
      <x:c r="R473" s="35"/>
      <x:c r="S473" s="35"/>
      <x:c r="T473" s="35"/>
      <x:c r="U473" s="35"/>
      <x:c r="V473" s="35"/>
      <x:c r="W473" s="212"/>
    </x:row>
    <x:row r="474">
      <x:c r="D474" s="35"/>
      <x:c r="E474" s="35"/>
      <x:c r="F474" s="35"/>
      <x:c r="G474" s="35"/>
      <x:c r="H474" s="35"/>
      <x:c r="I474" s="35"/>
      <x:c r="J474" s="35"/>
      <x:c r="K474" s="35"/>
      <x:c r="L474" s="35"/>
      <x:c r="M474" s="35"/>
      <x:c r="N474" s="35"/>
      <x:c r="O474" s="35"/>
      <x:c r="P474" s="35"/>
      <x:c r="Q474" s="35"/>
      <x:c r="R474" s="35"/>
      <x:c r="S474" s="35"/>
      <x:c r="T474" s="35"/>
      <x:c r="U474" s="35"/>
      <x:c r="V474" s="35"/>
      <x:c r="W474" s="212"/>
    </x:row>
    <x:row r="475">
      <x:c r="D475" s="35"/>
      <x:c r="E475" s="35"/>
      <x:c r="F475" s="35"/>
      <x:c r="G475" s="35"/>
      <x:c r="H475" s="35"/>
      <x:c r="I475" s="35"/>
      <x:c r="J475" s="35"/>
      <x:c r="K475" s="35"/>
      <x:c r="L475" s="35"/>
      <x:c r="M475" s="35"/>
      <x:c r="N475" s="35"/>
      <x:c r="O475" s="35"/>
      <x:c r="P475" s="35"/>
      <x:c r="Q475" s="35"/>
      <x:c r="R475" s="35"/>
      <x:c r="S475" s="35"/>
      <x:c r="T475" s="35"/>
      <x:c r="U475" s="35"/>
      <x:c r="V475" s="35"/>
      <x:c r="W475" s="212"/>
    </x:row>
    <x:row r="476">
      <x:c r="D476" s="35"/>
      <x:c r="E476" s="35"/>
      <x:c r="F476" s="35"/>
      <x:c r="G476" s="35"/>
      <x:c r="H476" s="35"/>
      <x:c r="I476" s="35"/>
      <x:c r="J476" s="35"/>
      <x:c r="K476" s="35"/>
      <x:c r="L476" s="35"/>
      <x:c r="M476" s="35"/>
      <x:c r="N476" s="35"/>
      <x:c r="O476" s="35"/>
      <x:c r="P476" s="35"/>
      <x:c r="Q476" s="35"/>
      <x:c r="R476" s="35"/>
      <x:c r="S476" s="35"/>
      <x:c r="T476" s="35"/>
      <x:c r="U476" s="35"/>
      <x:c r="V476" s="35"/>
      <x:c r="W476" s="212"/>
    </x:row>
    <x:row r="477">
      <x:c r="D477" s="35"/>
      <x:c r="E477" s="35"/>
      <x:c r="F477" s="35"/>
      <x:c r="G477" s="35"/>
      <x:c r="H477" s="35"/>
      <x:c r="I477" s="35"/>
      <x:c r="J477" s="35"/>
      <x:c r="K477" s="35"/>
      <x:c r="L477" s="35"/>
      <x:c r="M477" s="35"/>
      <x:c r="N477" s="35"/>
      <x:c r="O477" s="35"/>
      <x:c r="P477" s="35"/>
      <x:c r="Q477" s="35"/>
      <x:c r="R477" s="35"/>
      <x:c r="S477" s="35"/>
      <x:c r="T477" s="35"/>
      <x:c r="U477" s="35"/>
      <x:c r="V477" s="35"/>
      <x:c r="W477" s="212"/>
    </x:row>
    <x:row r="478">
      <x:c r="D478" s="35"/>
      <x:c r="E478" s="35"/>
      <x:c r="F478" s="35"/>
      <x:c r="G478" s="35"/>
      <x:c r="H478" s="35"/>
      <x:c r="I478" s="35"/>
      <x:c r="J478" s="35"/>
      <x:c r="K478" s="35"/>
      <x:c r="L478" s="35"/>
      <x:c r="M478" s="35"/>
      <x:c r="N478" s="35"/>
      <x:c r="O478" s="35"/>
      <x:c r="P478" s="35"/>
      <x:c r="Q478" s="35"/>
      <x:c r="R478" s="35"/>
      <x:c r="S478" s="35"/>
      <x:c r="T478" s="35"/>
      <x:c r="U478" s="35"/>
      <x:c r="V478" s="35"/>
      <x:c r="W478" s="212"/>
    </x:row>
    <x:row r="479">
      <x:c r="D479" s="35"/>
      <x:c r="E479" s="35"/>
      <x:c r="F479" s="35"/>
      <x:c r="G479" s="35"/>
      <x:c r="H479" s="35"/>
      <x:c r="I479" s="35"/>
      <x:c r="J479" s="35"/>
      <x:c r="K479" s="35"/>
      <x:c r="L479" s="35"/>
      <x:c r="M479" s="35"/>
      <x:c r="N479" s="35"/>
      <x:c r="O479" s="35"/>
      <x:c r="P479" s="35"/>
      <x:c r="Q479" s="35"/>
      <x:c r="R479" s="35"/>
      <x:c r="S479" s="35"/>
      <x:c r="T479" s="35"/>
      <x:c r="U479" s="35"/>
      <x:c r="V479" s="35"/>
      <x:c r="W479" s="212"/>
    </x:row>
    <x:row r="480">
      <x:c r="D480" s="35"/>
      <x:c r="E480" s="35"/>
      <x:c r="F480" s="35"/>
      <x:c r="G480" s="35"/>
      <x:c r="H480" s="35"/>
      <x:c r="I480" s="35"/>
      <x:c r="J480" s="35"/>
      <x:c r="K480" s="35"/>
      <x:c r="L480" s="35"/>
      <x:c r="M480" s="35"/>
      <x:c r="N480" s="35"/>
      <x:c r="O480" s="35"/>
      <x:c r="P480" s="35"/>
      <x:c r="Q480" s="35"/>
      <x:c r="R480" s="35"/>
      <x:c r="S480" s="35"/>
      <x:c r="T480" s="35"/>
      <x:c r="U480" s="35"/>
      <x:c r="V480" s="35"/>
      <x:c r="W480" s="212"/>
    </x:row>
    <x:row r="481">
      <x:c r="D481" s="35"/>
      <x:c r="E481" s="35"/>
      <x:c r="F481" s="35"/>
      <x:c r="G481" s="35"/>
      <x:c r="H481" s="35"/>
      <x:c r="I481" s="35"/>
      <x:c r="J481" s="35"/>
      <x:c r="K481" s="35"/>
      <x:c r="L481" s="35"/>
      <x:c r="M481" s="35"/>
      <x:c r="N481" s="35"/>
      <x:c r="O481" s="35"/>
      <x:c r="P481" s="35"/>
      <x:c r="Q481" s="35"/>
      <x:c r="R481" s="35"/>
      <x:c r="S481" s="35"/>
      <x:c r="T481" s="35"/>
      <x:c r="U481" s="35"/>
      <x:c r="V481" s="35"/>
      <x:c r="W481" s="212"/>
    </x:row>
    <x:row r="482">
      <x:c r="D482" s="35"/>
      <x:c r="E482" s="35"/>
      <x:c r="F482" s="35"/>
      <x:c r="G482" s="35"/>
      <x:c r="H482" s="35"/>
      <x:c r="I482" s="35"/>
      <x:c r="J482" s="35"/>
      <x:c r="K482" s="35"/>
      <x:c r="L482" s="35"/>
      <x:c r="M482" s="35"/>
      <x:c r="N482" s="35"/>
      <x:c r="O482" s="35"/>
      <x:c r="P482" s="35"/>
      <x:c r="Q482" s="35"/>
      <x:c r="R482" s="35"/>
      <x:c r="S482" s="35"/>
      <x:c r="T482" s="35"/>
      <x:c r="U482" s="35"/>
      <x:c r="V482" s="35"/>
      <x:c r="W482" s="212"/>
    </x:row>
    <x:row r="483">
      <x:c r="D483" s="35"/>
      <x:c r="E483" s="35"/>
      <x:c r="F483" s="35"/>
      <x:c r="G483" s="35"/>
      <x:c r="H483" s="35"/>
      <x:c r="I483" s="35"/>
      <x:c r="J483" s="35"/>
      <x:c r="K483" s="35"/>
      <x:c r="L483" s="35"/>
      <x:c r="M483" s="35"/>
      <x:c r="N483" s="35"/>
      <x:c r="O483" s="35"/>
      <x:c r="P483" s="35"/>
      <x:c r="Q483" s="35"/>
      <x:c r="R483" s="35"/>
      <x:c r="S483" s="35"/>
      <x:c r="T483" s="35"/>
      <x:c r="U483" s="35"/>
      <x:c r="V483" s="35"/>
      <x:c r="W483" s="212"/>
    </x:row>
    <x:row r="484">
      <x:c r="D484" s="35"/>
      <x:c r="E484" s="35"/>
      <x:c r="F484" s="35"/>
      <x:c r="G484" s="35"/>
      <x:c r="H484" s="35"/>
      <x:c r="I484" s="35"/>
      <x:c r="J484" s="35"/>
      <x:c r="K484" s="35"/>
      <x:c r="L484" s="35"/>
      <x:c r="M484" s="35"/>
      <x:c r="N484" s="35"/>
      <x:c r="O484" s="35"/>
      <x:c r="P484" s="35"/>
      <x:c r="Q484" s="35"/>
      <x:c r="R484" s="35"/>
      <x:c r="S484" s="35"/>
      <x:c r="T484" s="35"/>
      <x:c r="U484" s="35"/>
      <x:c r="V484" s="35"/>
      <x:c r="W484" s="212"/>
    </x:row>
    <x:row r="485">
      <x:c r="D485" s="35"/>
      <x:c r="E485" s="35"/>
      <x:c r="F485" s="35"/>
      <x:c r="G485" s="35"/>
      <x:c r="H485" s="35"/>
      <x:c r="I485" s="35"/>
      <x:c r="J485" s="35"/>
      <x:c r="K485" s="35"/>
      <x:c r="L485" s="35"/>
      <x:c r="M485" s="35"/>
      <x:c r="N485" s="35"/>
      <x:c r="O485" s="35"/>
      <x:c r="P485" s="35"/>
      <x:c r="Q485" s="35"/>
      <x:c r="R485" s="35"/>
      <x:c r="S485" s="35"/>
      <x:c r="T485" s="35"/>
      <x:c r="U485" s="35"/>
      <x:c r="V485" s="35"/>
      <x:c r="W485" s="212"/>
    </x:row>
    <x:row r="486">
      <x:c r="D486" s="35"/>
      <x:c r="E486" s="35"/>
      <x:c r="F486" s="35"/>
      <x:c r="G486" s="35"/>
      <x:c r="H486" s="35"/>
      <x:c r="I486" s="35"/>
      <x:c r="J486" s="35"/>
      <x:c r="K486" s="35"/>
      <x:c r="L486" s="35"/>
      <x:c r="M486" s="35"/>
      <x:c r="N486" s="35"/>
      <x:c r="O486" s="35"/>
      <x:c r="P486" s="35"/>
      <x:c r="Q486" s="35"/>
      <x:c r="R486" s="35"/>
      <x:c r="S486" s="35"/>
      <x:c r="T486" s="35"/>
      <x:c r="U486" s="35"/>
      <x:c r="V486" s="35"/>
      <x:c r="W486" s="212"/>
    </x:row>
    <x:row r="487">
      <x:c r="D487" s="35"/>
      <x:c r="E487" s="35"/>
      <x:c r="F487" s="35"/>
      <x:c r="G487" s="35"/>
      <x:c r="H487" s="35"/>
      <x:c r="I487" s="35"/>
      <x:c r="J487" s="35"/>
      <x:c r="K487" s="35"/>
      <x:c r="L487" s="35"/>
      <x:c r="M487" s="35"/>
      <x:c r="N487" s="35"/>
      <x:c r="O487" s="35"/>
      <x:c r="P487" s="35"/>
      <x:c r="Q487" s="35"/>
      <x:c r="R487" s="35"/>
      <x:c r="S487" s="35"/>
      <x:c r="T487" s="35"/>
      <x:c r="U487" s="35"/>
      <x:c r="V487" s="35"/>
      <x:c r="W487" s="212"/>
    </x:row>
    <x:row r="488">
      <x:c r="D488" s="35"/>
      <x:c r="E488" s="35"/>
      <x:c r="F488" s="35"/>
      <x:c r="G488" s="35"/>
      <x:c r="H488" s="35"/>
      <x:c r="I488" s="35"/>
      <x:c r="J488" s="35"/>
      <x:c r="K488" s="35"/>
      <x:c r="L488" s="35"/>
      <x:c r="M488" s="35"/>
      <x:c r="N488" s="35"/>
      <x:c r="O488" s="35"/>
      <x:c r="P488" s="35"/>
      <x:c r="Q488" s="35"/>
      <x:c r="R488" s="35"/>
      <x:c r="S488" s="35"/>
      <x:c r="T488" s="35"/>
      <x:c r="U488" s="35"/>
      <x:c r="V488" s="35"/>
      <x:c r="W488" s="212"/>
    </x:row>
    <x:row r="489">
      <x:c r="D489" s="35"/>
      <x:c r="E489" s="35"/>
      <x:c r="F489" s="35"/>
      <x:c r="G489" s="35"/>
      <x:c r="H489" s="35"/>
      <x:c r="I489" s="35"/>
      <x:c r="J489" s="35"/>
      <x:c r="K489" s="35"/>
      <x:c r="L489" s="35"/>
      <x:c r="M489" s="35"/>
      <x:c r="N489" s="35"/>
      <x:c r="O489" s="35"/>
      <x:c r="P489" s="35"/>
      <x:c r="Q489" s="35"/>
      <x:c r="R489" s="35"/>
      <x:c r="S489" s="35"/>
      <x:c r="T489" s="35"/>
      <x:c r="U489" s="35"/>
      <x:c r="V489" s="35"/>
      <x:c r="W489" s="212"/>
    </x:row>
    <x:row r="490">
      <x:c r="D490" s="35"/>
      <x:c r="E490" s="35"/>
      <x:c r="F490" s="35"/>
      <x:c r="G490" s="35"/>
      <x:c r="H490" s="35"/>
      <x:c r="I490" s="35"/>
      <x:c r="J490" s="35"/>
      <x:c r="K490" s="35"/>
      <x:c r="L490" s="35"/>
      <x:c r="M490" s="35"/>
      <x:c r="N490" s="35"/>
      <x:c r="O490" s="35"/>
      <x:c r="P490" s="35"/>
      <x:c r="Q490" s="35"/>
      <x:c r="R490" s="35"/>
      <x:c r="S490" s="35"/>
      <x:c r="T490" s="35"/>
      <x:c r="U490" s="35"/>
      <x:c r="V490" s="35"/>
      <x:c r="W490" s="212"/>
    </x:row>
    <x:row r="491">
      <x:c r="D491" s="35"/>
      <x:c r="E491" s="35"/>
      <x:c r="F491" s="35"/>
      <x:c r="G491" s="35"/>
      <x:c r="H491" s="35"/>
      <x:c r="I491" s="35"/>
      <x:c r="J491" s="35"/>
      <x:c r="K491" s="35"/>
      <x:c r="L491" s="35"/>
      <x:c r="M491" s="35"/>
      <x:c r="N491" s="35"/>
      <x:c r="O491" s="35"/>
      <x:c r="P491" s="35"/>
      <x:c r="Q491" s="35"/>
      <x:c r="R491" s="35"/>
      <x:c r="S491" s="35"/>
      <x:c r="T491" s="35"/>
      <x:c r="U491" s="35"/>
      <x:c r="V491" s="35"/>
      <x:c r="W491" s="212"/>
    </x:row>
    <x:row r="492">
      <x:c r="D492" s="35"/>
      <x:c r="E492" s="35"/>
      <x:c r="F492" s="35"/>
      <x:c r="G492" s="35"/>
      <x:c r="H492" s="35"/>
      <x:c r="I492" s="35"/>
      <x:c r="J492" s="35"/>
      <x:c r="K492" s="35"/>
      <x:c r="L492" s="35"/>
      <x:c r="M492" s="35"/>
      <x:c r="N492" s="35"/>
      <x:c r="O492" s="35"/>
      <x:c r="P492" s="35"/>
      <x:c r="Q492" s="35"/>
      <x:c r="R492" s="35"/>
      <x:c r="S492" s="35"/>
      <x:c r="T492" s="35"/>
      <x:c r="U492" s="35"/>
      <x:c r="V492" s="35"/>
      <x:c r="W492" s="212"/>
    </x:row>
    <x:row r="493">
      <x:c r="D493" s="35"/>
      <x:c r="E493" s="35"/>
      <x:c r="F493" s="35"/>
      <x:c r="G493" s="35"/>
      <x:c r="H493" s="35"/>
      <x:c r="I493" s="35"/>
      <x:c r="J493" s="35"/>
      <x:c r="K493" s="35"/>
      <x:c r="L493" s="35"/>
      <x:c r="M493" s="35"/>
      <x:c r="N493" s="35"/>
      <x:c r="O493" s="35"/>
      <x:c r="P493" s="35"/>
      <x:c r="Q493" s="35"/>
      <x:c r="R493" s="35"/>
      <x:c r="S493" s="35"/>
      <x:c r="T493" s="35"/>
      <x:c r="U493" s="35"/>
      <x:c r="V493" s="35"/>
      <x:c r="W493" s="212"/>
    </x:row>
    <x:row r="494">
      <x:c r="D494" s="35"/>
      <x:c r="E494" s="35"/>
      <x:c r="F494" s="35"/>
      <x:c r="G494" s="35"/>
      <x:c r="H494" s="35"/>
      <x:c r="I494" s="35"/>
      <x:c r="J494" s="35"/>
      <x:c r="K494" s="35"/>
      <x:c r="L494" s="35"/>
      <x:c r="M494" s="35"/>
      <x:c r="N494" s="35"/>
      <x:c r="O494" s="35"/>
      <x:c r="P494" s="35"/>
      <x:c r="Q494" s="35"/>
      <x:c r="R494" s="35"/>
      <x:c r="S494" s="35"/>
      <x:c r="T494" s="35"/>
      <x:c r="U494" s="35"/>
      <x:c r="V494" s="35"/>
      <x:c r="W494" s="212"/>
    </x:row>
    <x:row r="495">
      <x:c r="D495" s="35"/>
      <x:c r="E495" s="35"/>
      <x:c r="F495" s="35"/>
      <x:c r="G495" s="35"/>
      <x:c r="H495" s="35"/>
      <x:c r="I495" s="35"/>
      <x:c r="J495" s="35"/>
      <x:c r="K495" s="35"/>
      <x:c r="L495" s="35"/>
      <x:c r="M495" s="35"/>
      <x:c r="N495" s="35"/>
      <x:c r="O495" s="35"/>
      <x:c r="P495" s="35"/>
      <x:c r="Q495" s="35"/>
      <x:c r="R495" s="35"/>
      <x:c r="S495" s="35"/>
      <x:c r="T495" s="35"/>
      <x:c r="U495" s="35"/>
      <x:c r="V495" s="35"/>
      <x:c r="W495" s="212"/>
    </x:row>
    <x:row r="496">
      <x:c r="D496" s="35"/>
      <x:c r="E496" s="35"/>
      <x:c r="F496" s="35"/>
      <x:c r="G496" s="35"/>
      <x:c r="H496" s="35"/>
      <x:c r="I496" s="35"/>
      <x:c r="J496" s="35"/>
      <x:c r="K496" s="35"/>
      <x:c r="L496" s="35"/>
      <x:c r="M496" s="35"/>
      <x:c r="N496" s="35"/>
      <x:c r="O496" s="35"/>
      <x:c r="P496" s="35"/>
      <x:c r="Q496" s="35"/>
      <x:c r="R496" s="35"/>
      <x:c r="S496" s="35"/>
      <x:c r="T496" s="35"/>
      <x:c r="U496" s="35"/>
      <x:c r="V496" s="35"/>
      <x:c r="W496" s="212"/>
    </x:row>
    <x:row r="497">
      <x:c r="D497" s="35"/>
      <x:c r="E497" s="35"/>
      <x:c r="F497" s="35"/>
      <x:c r="G497" s="35"/>
      <x:c r="H497" s="35"/>
      <x:c r="I497" s="35"/>
      <x:c r="J497" s="35"/>
      <x:c r="K497" s="35"/>
      <x:c r="L497" s="35"/>
      <x:c r="M497" s="35"/>
      <x:c r="N497" s="35"/>
      <x:c r="O497" s="35"/>
      <x:c r="P497" s="35"/>
      <x:c r="Q497" s="35"/>
      <x:c r="R497" s="35"/>
      <x:c r="S497" s="35"/>
      <x:c r="T497" s="35"/>
      <x:c r="U497" s="35"/>
      <x:c r="V497" s="35"/>
      <x:c r="W497" s="212"/>
    </x:row>
    <x:row r="498">
      <x:c r="D498" s="35"/>
      <x:c r="E498" s="35"/>
      <x:c r="F498" s="35"/>
      <x:c r="G498" s="35"/>
      <x:c r="H498" s="35"/>
      <x:c r="I498" s="35"/>
      <x:c r="J498" s="35"/>
      <x:c r="K498" s="35"/>
      <x:c r="L498" s="35"/>
      <x:c r="M498" s="35"/>
      <x:c r="N498" s="35"/>
      <x:c r="O498" s="35"/>
      <x:c r="P498" s="35"/>
      <x:c r="Q498" s="35"/>
      <x:c r="R498" s="35"/>
      <x:c r="S498" s="35"/>
      <x:c r="T498" s="35"/>
      <x:c r="U498" s="35"/>
      <x:c r="V498" s="35"/>
      <x:c r="W498" s="212"/>
    </x:row>
    <x:row r="499">
      <x:c r="D499" s="35"/>
      <x:c r="E499" s="35"/>
      <x:c r="F499" s="35"/>
      <x:c r="G499" s="35"/>
      <x:c r="H499" s="35"/>
      <x:c r="I499" s="35"/>
      <x:c r="J499" s="35"/>
      <x:c r="K499" s="35"/>
      <x:c r="L499" s="35"/>
      <x:c r="M499" s="35"/>
      <x:c r="N499" s="35"/>
      <x:c r="O499" s="35"/>
      <x:c r="P499" s="35"/>
      <x:c r="Q499" s="35"/>
      <x:c r="R499" s="35"/>
      <x:c r="S499" s="35"/>
      <x:c r="T499" s="35"/>
      <x:c r="U499" s="35"/>
      <x:c r="V499" s="35"/>
      <x:c r="W499" s="212"/>
    </x:row>
    <x:row r="500">
      <x:c r="D500" s="35"/>
      <x:c r="E500" s="35"/>
      <x:c r="F500" s="35"/>
      <x:c r="G500" s="35"/>
      <x:c r="H500" s="35"/>
      <x:c r="I500" s="35"/>
      <x:c r="J500" s="35"/>
      <x:c r="K500" s="35"/>
      <x:c r="L500" s="35"/>
      <x:c r="M500" s="35"/>
      <x:c r="N500" s="35"/>
      <x:c r="O500" s="35"/>
      <x:c r="P500" s="35"/>
      <x:c r="Q500" s="35"/>
      <x:c r="R500" s="35"/>
      <x:c r="S500" s="35"/>
      <x:c r="T500" s="35"/>
      <x:c r="U500" s="35"/>
      <x:c r="V500" s="35"/>
      <x:c r="W500" s="212"/>
    </x:row>
  </x:sheetData>
  <x:pageMargins left="0.7" right="0.7" top="0.75" bottom="0.75" header="0.3" footer="0.3"/>
  <x:tableParts count="1">
    <x:tablePart xmlns:r="http://schemas.openxmlformats.org/officeDocument/2006/relationships" r:id="R531113f135c54629"/>
  </x:tableParts>
</x:worksheet>
</file>